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Тази_работна_книга"/>
  <mc:AlternateContent xmlns:mc="http://schemas.openxmlformats.org/markup-compatibility/2006">
    <mc:Choice Requires="x15">
      <x15ac:absPath xmlns:x15ac="http://schemas.microsoft.com/office/spreadsheetml/2010/11/ac" url="D:\Creative\Creations\Automated Excel Dashboard for Performance Marketing\"/>
    </mc:Choice>
  </mc:AlternateContent>
  <xr:revisionPtr revIDLastSave="0" documentId="8_{F9D91755-A6BB-4F8D-AC39-CB31E6DF429F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PIC List" sheetId="1" r:id="rId1"/>
    <sheet name="Tasks" sheetId="2" r:id="rId2"/>
    <sheet name="Archive" sheetId="3" r:id="rId3"/>
    <sheet name="Campaigns" sheetId="4" r:id="rId4"/>
    <sheet name="Campaigns Archive" sheetId="5" r:id="rId5"/>
    <sheet name="Recurring Tasks" sheetId="6" r:id="rId6"/>
    <sheet name="Calendar" sheetId="7" r:id="rId7"/>
    <sheet name="Schedule Data" sheetId="8" r:id="rId8"/>
    <sheet name="Schedule" sheetId="9" r:id="rId9"/>
    <sheet name="Login Information" sheetId="10" r:id="rId10"/>
    <sheet name="Quick Links" sheetId="11" r:id="rId11"/>
    <sheet name="Instructions" sheetId="12" r:id="rId12"/>
    <sheet name="Dashboard" sheetId="13" r:id="rId13"/>
  </sheets>
  <functionGroups builtInGroupCount="19"/>
  <definedNames>
    <definedName name="CampaignNameList">OFFSET(Campaigns!$Z$3,0,0,COUNTA(Campaigns!$Z$3:$Z$23),1)</definedName>
    <definedName name="DayNumberList">'Recurring Tasks'!$Z$1:$Z$31</definedName>
    <definedName name="HandoffKey">Calendar!$Z$2</definedName>
    <definedName name="HandoffKeyColumn">Calendar!$Z$3</definedName>
    <definedName name="HandoffOriginSheet">Calendar!$Z$1</definedName>
    <definedName name="HandoffTargetColumn">Calendar!$Z$4</definedName>
    <definedName name="PICList">OFFSET('PIC List'!$A$2,0,0,MAX(1,COUNTA('PIC List'!$A$2:$A$201)),1)</definedName>
    <definedName name="ReminderCount">Schedule!$J$4</definedName>
    <definedName name="ReminderFirstOffset">Schedule!$J$3</definedName>
    <definedName name="ReminderInterval">Schedule!$J$5</definedName>
    <definedName name="ScheduleMonth">Schedule!$J$2</definedName>
    <definedName name="ScheduleYear">Schedule!$J$1</definedName>
    <definedName name="SelectedDate">Calendar!$J$3</definedName>
    <definedName name="SelectedDateTime">Calendar!$J$4</definedName>
    <definedName name="SelectedHour">Calendar!$B$10</definedName>
    <definedName name="SelectedMinute">Calendar!$D$10</definedName>
    <definedName name="SelectedMonth">Calendar!$J$2</definedName>
    <definedName name="SelectedYear">Calendar!$J$1</definedName>
    <definedName name="TasksRowAllowance">1500</definedName>
    <definedName name="TimeList">'Recurring Tasks'!$AA$1:$AA$64</definedName>
    <definedName name="WeekdayList">'Recurring Tasks'!$Y$1:$Y$7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5" i="13" l="1"/>
  <c r="I34" i="13"/>
  <c r="I33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I9" i="13"/>
  <c r="I8" i="13"/>
  <c r="G2" i="13"/>
  <c r="D2" i="13"/>
  <c r="A2" i="13"/>
  <c r="G13" i="9"/>
  <c r="G14" i="9" s="1"/>
  <c r="F13" i="9"/>
  <c r="F14" i="9" s="1"/>
  <c r="E13" i="9"/>
  <c r="E14" i="9" s="1"/>
  <c r="D13" i="9"/>
  <c r="D14" i="9" s="1"/>
  <c r="C13" i="9"/>
  <c r="C14" i="9" s="1"/>
  <c r="B13" i="9"/>
  <c r="B14" i="9" s="1"/>
  <c r="A13" i="9"/>
  <c r="A14" i="9" s="1"/>
  <c r="E11" i="9"/>
  <c r="E12" i="9" s="1"/>
  <c r="D11" i="9"/>
  <c r="D12" i="9" s="1"/>
  <c r="C11" i="9"/>
  <c r="C12" i="9" s="1"/>
  <c r="B11" i="9"/>
  <c r="B12" i="9" s="1"/>
  <c r="A11" i="9"/>
  <c r="A12" i="9" s="1"/>
  <c r="G9" i="9"/>
  <c r="G10" i="9" s="1"/>
  <c r="J8" i="9"/>
  <c r="F9" i="9" s="1"/>
  <c r="F10" i="9" s="1"/>
  <c r="G7" i="9"/>
  <c r="G8" i="9" s="1"/>
  <c r="F7" i="9"/>
  <c r="F8" i="9" s="1"/>
  <c r="E7" i="9"/>
  <c r="E8" i="9" s="1"/>
  <c r="D7" i="9"/>
  <c r="D8" i="9" s="1"/>
  <c r="C7" i="9"/>
  <c r="C8" i="9" s="1"/>
  <c r="B7" i="9"/>
  <c r="B8" i="9" s="1"/>
  <c r="G5" i="9"/>
  <c r="G6" i="9" s="1"/>
  <c r="F5" i="9"/>
  <c r="F6" i="9" s="1"/>
  <c r="E5" i="9"/>
  <c r="E6" i="9" s="1"/>
  <c r="D5" i="9"/>
  <c r="D6" i="9" s="1"/>
  <c r="C5" i="9"/>
  <c r="C6" i="9" s="1"/>
  <c r="B5" i="9"/>
  <c r="B6" i="9" s="1"/>
  <c r="A5" i="9"/>
  <c r="A6" i="9" s="1"/>
  <c r="B3" i="9"/>
  <c r="B4" i="9" s="1"/>
  <c r="A3" i="9"/>
  <c r="A4" i="9" s="1"/>
  <c r="B1" i="9"/>
  <c r="A11" i="7"/>
  <c r="G8" i="7"/>
  <c r="F8" i="7"/>
  <c r="E8" i="7"/>
  <c r="D8" i="7"/>
  <c r="C8" i="7"/>
  <c r="B8" i="7"/>
  <c r="A8" i="7"/>
  <c r="G7" i="7"/>
  <c r="F7" i="7"/>
  <c r="J6" i="7"/>
  <c r="E7" i="7" s="1"/>
  <c r="G6" i="7"/>
  <c r="F6" i="7"/>
  <c r="E6" i="7"/>
  <c r="D6" i="7"/>
  <c r="C6" i="7"/>
  <c r="B6" i="7"/>
  <c r="A6" i="7"/>
  <c r="G5" i="7"/>
  <c r="F5" i="7"/>
  <c r="E5" i="7"/>
  <c r="D5" i="7"/>
  <c r="C5" i="7"/>
  <c r="B5" i="7"/>
  <c r="A5" i="7"/>
  <c r="J4" i="7"/>
  <c r="B4" i="7"/>
  <c r="A4" i="7"/>
  <c r="G3" i="7"/>
  <c r="F3" i="7"/>
  <c r="E3" i="7"/>
  <c r="D3" i="7"/>
  <c r="C3" i="7"/>
  <c r="B3" i="7"/>
  <c r="A3" i="7"/>
  <c r="B1" i="7"/>
  <c r="W101" i="6"/>
  <c r="F101" i="6"/>
  <c r="W100" i="6"/>
  <c r="F100" i="6"/>
  <c r="W99" i="6"/>
  <c r="F99" i="6"/>
  <c r="W98" i="6"/>
  <c r="F98" i="6"/>
  <c r="W97" i="6"/>
  <c r="F97" i="6"/>
  <c r="W96" i="6"/>
  <c r="F96" i="6"/>
  <c r="W95" i="6"/>
  <c r="F95" i="6"/>
  <c r="W94" i="6"/>
  <c r="F94" i="6"/>
  <c r="W93" i="6"/>
  <c r="F93" i="6"/>
  <c r="W92" i="6"/>
  <c r="F92" i="6"/>
  <c r="W91" i="6"/>
  <c r="F91" i="6"/>
  <c r="W90" i="6"/>
  <c r="F90" i="6"/>
  <c r="W89" i="6"/>
  <c r="F89" i="6"/>
  <c r="W88" i="6"/>
  <c r="F88" i="6"/>
  <c r="W87" i="6"/>
  <c r="F87" i="6"/>
  <c r="W86" i="6"/>
  <c r="F86" i="6"/>
  <c r="W85" i="6"/>
  <c r="F85" i="6"/>
  <c r="W84" i="6"/>
  <c r="F84" i="6"/>
  <c r="W83" i="6"/>
  <c r="F83" i="6"/>
  <c r="W82" i="6"/>
  <c r="F82" i="6"/>
  <c r="W81" i="6"/>
  <c r="F81" i="6"/>
  <c r="W80" i="6"/>
  <c r="F80" i="6"/>
  <c r="W79" i="6"/>
  <c r="F79" i="6"/>
  <c r="W78" i="6"/>
  <c r="F78" i="6"/>
  <c r="W77" i="6"/>
  <c r="F77" i="6"/>
  <c r="W76" i="6"/>
  <c r="F76" i="6"/>
  <c r="W75" i="6"/>
  <c r="F75" i="6"/>
  <c r="W74" i="6"/>
  <c r="F74" i="6"/>
  <c r="W73" i="6"/>
  <c r="F73" i="6"/>
  <c r="W72" i="6"/>
  <c r="F72" i="6"/>
  <c r="W71" i="6"/>
  <c r="F71" i="6"/>
  <c r="W70" i="6"/>
  <c r="F70" i="6"/>
  <c r="W69" i="6"/>
  <c r="F69" i="6"/>
  <c r="W68" i="6"/>
  <c r="F68" i="6"/>
  <c r="W67" i="6"/>
  <c r="F67" i="6"/>
  <c r="W66" i="6"/>
  <c r="F66" i="6"/>
  <c r="W65" i="6"/>
  <c r="F65" i="6"/>
  <c r="W64" i="6"/>
  <c r="F64" i="6"/>
  <c r="W63" i="6"/>
  <c r="F63" i="6"/>
  <c r="W62" i="6"/>
  <c r="F62" i="6"/>
  <c r="W61" i="6"/>
  <c r="F61" i="6"/>
  <c r="W60" i="6"/>
  <c r="F60" i="6"/>
  <c r="W59" i="6"/>
  <c r="F59" i="6"/>
  <c r="W58" i="6"/>
  <c r="F58" i="6"/>
  <c r="W57" i="6"/>
  <c r="F57" i="6"/>
  <c r="W56" i="6"/>
  <c r="F56" i="6"/>
  <c r="W55" i="6"/>
  <c r="F55" i="6"/>
  <c r="W54" i="6"/>
  <c r="F54" i="6"/>
  <c r="W53" i="6"/>
  <c r="F53" i="6"/>
  <c r="W52" i="6"/>
  <c r="F52" i="6"/>
  <c r="W51" i="6"/>
  <c r="F51" i="6"/>
  <c r="W50" i="6"/>
  <c r="F50" i="6"/>
  <c r="W49" i="6"/>
  <c r="F49" i="6"/>
  <c r="W48" i="6"/>
  <c r="F48" i="6"/>
  <c r="W47" i="6"/>
  <c r="F47" i="6"/>
  <c r="W46" i="6"/>
  <c r="F46" i="6"/>
  <c r="W45" i="6"/>
  <c r="F45" i="6"/>
  <c r="W44" i="6"/>
  <c r="F44" i="6"/>
  <c r="W43" i="6"/>
  <c r="F43" i="6"/>
  <c r="W42" i="6"/>
  <c r="F42" i="6"/>
  <c r="W41" i="6"/>
  <c r="F41" i="6"/>
  <c r="W40" i="6"/>
  <c r="F40" i="6"/>
  <c r="W39" i="6"/>
  <c r="F39" i="6"/>
  <c r="W38" i="6"/>
  <c r="F38" i="6"/>
  <c r="W37" i="6"/>
  <c r="F37" i="6"/>
  <c r="W36" i="6"/>
  <c r="F36" i="6"/>
  <c r="W35" i="6"/>
  <c r="F35" i="6"/>
  <c r="W34" i="6"/>
  <c r="F34" i="6"/>
  <c r="W33" i="6"/>
  <c r="F33" i="6"/>
  <c r="W32" i="6"/>
  <c r="F32" i="6"/>
  <c r="W31" i="6"/>
  <c r="F31" i="6"/>
  <c r="W30" i="6"/>
  <c r="F30" i="6"/>
  <c r="W29" i="6"/>
  <c r="F29" i="6"/>
  <c r="W28" i="6"/>
  <c r="F28" i="6"/>
  <c r="W27" i="6"/>
  <c r="F27" i="6"/>
  <c r="W26" i="6"/>
  <c r="F26" i="6"/>
  <c r="W25" i="6"/>
  <c r="F25" i="6"/>
  <c r="W24" i="6"/>
  <c r="F24" i="6"/>
  <c r="W23" i="6"/>
  <c r="F23" i="6"/>
  <c r="W22" i="6"/>
  <c r="F22" i="6"/>
  <c r="W21" i="6"/>
  <c r="F21" i="6"/>
  <c r="W20" i="6"/>
  <c r="F20" i="6"/>
  <c r="W19" i="6"/>
  <c r="F19" i="6"/>
  <c r="W18" i="6"/>
  <c r="F18" i="6"/>
  <c r="W17" i="6"/>
  <c r="F17" i="6"/>
  <c r="W16" i="6"/>
  <c r="F16" i="6"/>
  <c r="W15" i="6"/>
  <c r="F15" i="6"/>
  <c r="W14" i="6"/>
  <c r="F14" i="6"/>
  <c r="W13" i="6"/>
  <c r="F13" i="6"/>
  <c r="W12" i="6"/>
  <c r="F12" i="6"/>
  <c r="W11" i="6"/>
  <c r="F11" i="6"/>
  <c r="W10" i="6"/>
  <c r="F10" i="6"/>
  <c r="W9" i="6"/>
  <c r="F9" i="6"/>
  <c r="W8" i="6"/>
  <c r="F8" i="6"/>
  <c r="W7" i="6"/>
  <c r="F7" i="6"/>
  <c r="W6" i="6"/>
  <c r="F6" i="6"/>
  <c r="W5" i="6"/>
  <c r="F5" i="6"/>
  <c r="W4" i="6"/>
  <c r="F4" i="6"/>
  <c r="W3" i="6"/>
  <c r="F3" i="6"/>
  <c r="W2" i="6"/>
  <c r="F2" i="6"/>
  <c r="G201" i="4"/>
  <c r="F201" i="4"/>
  <c r="E201" i="4"/>
  <c r="D201" i="4"/>
  <c r="C201" i="4"/>
  <c r="G200" i="4"/>
  <c r="F200" i="4"/>
  <c r="E200" i="4"/>
  <c r="D200" i="4"/>
  <c r="C200" i="4"/>
  <c r="G199" i="4"/>
  <c r="F199" i="4"/>
  <c r="E199" i="4"/>
  <c r="D199" i="4"/>
  <c r="C199" i="4"/>
  <c r="G198" i="4"/>
  <c r="F198" i="4"/>
  <c r="E198" i="4"/>
  <c r="D198" i="4"/>
  <c r="C198" i="4"/>
  <c r="G197" i="4"/>
  <c r="F197" i="4"/>
  <c r="E197" i="4"/>
  <c r="D197" i="4"/>
  <c r="C197" i="4"/>
  <c r="G196" i="4"/>
  <c r="F196" i="4"/>
  <c r="E196" i="4"/>
  <c r="D196" i="4"/>
  <c r="C196" i="4"/>
  <c r="G195" i="4"/>
  <c r="F195" i="4"/>
  <c r="E195" i="4"/>
  <c r="D195" i="4"/>
  <c r="C195" i="4"/>
  <c r="AA193" i="4"/>
  <c r="AB193" i="4" s="1"/>
  <c r="H193" i="4"/>
  <c r="D193" i="4"/>
  <c r="D202" i="4" s="1"/>
  <c r="G191" i="4"/>
  <c r="F191" i="4"/>
  <c r="E191" i="4"/>
  <c r="D191" i="4"/>
  <c r="C191" i="4"/>
  <c r="G190" i="4"/>
  <c r="F190" i="4"/>
  <c r="E190" i="4"/>
  <c r="D190" i="4"/>
  <c r="C190" i="4"/>
  <c r="G189" i="4"/>
  <c r="F189" i="4"/>
  <c r="E189" i="4"/>
  <c r="D189" i="4"/>
  <c r="C189" i="4"/>
  <c r="G188" i="4"/>
  <c r="F188" i="4"/>
  <c r="E188" i="4"/>
  <c r="D188" i="4"/>
  <c r="C188" i="4"/>
  <c r="G187" i="4"/>
  <c r="F187" i="4"/>
  <c r="E187" i="4"/>
  <c r="D187" i="4"/>
  <c r="C187" i="4"/>
  <c r="G186" i="4"/>
  <c r="F186" i="4"/>
  <c r="E186" i="4"/>
  <c r="D186" i="4"/>
  <c r="C186" i="4"/>
  <c r="G185" i="4"/>
  <c r="F185" i="4"/>
  <c r="E185" i="4"/>
  <c r="D185" i="4"/>
  <c r="C185" i="4"/>
  <c r="AA183" i="4"/>
  <c r="AB183" i="4" s="1"/>
  <c r="H183" i="4"/>
  <c r="G181" i="4"/>
  <c r="F181" i="4"/>
  <c r="E181" i="4"/>
  <c r="D181" i="4"/>
  <c r="C181" i="4"/>
  <c r="G180" i="4"/>
  <c r="F180" i="4"/>
  <c r="E180" i="4"/>
  <c r="D180" i="4"/>
  <c r="C180" i="4"/>
  <c r="G179" i="4"/>
  <c r="F179" i="4"/>
  <c r="E179" i="4"/>
  <c r="D179" i="4"/>
  <c r="C179" i="4"/>
  <c r="G178" i="4"/>
  <c r="F178" i="4"/>
  <c r="E178" i="4"/>
  <c r="D178" i="4"/>
  <c r="C178" i="4"/>
  <c r="G177" i="4"/>
  <c r="F177" i="4"/>
  <c r="E177" i="4"/>
  <c r="D177" i="4"/>
  <c r="C177" i="4"/>
  <c r="G176" i="4"/>
  <c r="F176" i="4"/>
  <c r="E176" i="4"/>
  <c r="D176" i="4"/>
  <c r="C176" i="4"/>
  <c r="G175" i="4"/>
  <c r="F175" i="4"/>
  <c r="E175" i="4"/>
  <c r="D175" i="4"/>
  <c r="C175" i="4"/>
  <c r="AA173" i="4"/>
  <c r="AB173" i="4" s="1"/>
  <c r="H173" i="4"/>
  <c r="G171" i="4"/>
  <c r="F171" i="4"/>
  <c r="E171" i="4"/>
  <c r="D171" i="4"/>
  <c r="C171" i="4"/>
  <c r="G170" i="4"/>
  <c r="F170" i="4"/>
  <c r="E170" i="4"/>
  <c r="D170" i="4"/>
  <c r="C170" i="4"/>
  <c r="G169" i="4"/>
  <c r="F169" i="4"/>
  <c r="E169" i="4"/>
  <c r="D169" i="4"/>
  <c r="C169" i="4"/>
  <c r="G168" i="4"/>
  <c r="F168" i="4"/>
  <c r="E168" i="4"/>
  <c r="D168" i="4"/>
  <c r="C168" i="4"/>
  <c r="G167" i="4"/>
  <c r="F167" i="4"/>
  <c r="E167" i="4"/>
  <c r="D167" i="4"/>
  <c r="C167" i="4"/>
  <c r="G166" i="4"/>
  <c r="F166" i="4"/>
  <c r="E166" i="4"/>
  <c r="D166" i="4"/>
  <c r="C166" i="4"/>
  <c r="G165" i="4"/>
  <c r="F165" i="4"/>
  <c r="E165" i="4"/>
  <c r="D165" i="4"/>
  <c r="C165" i="4"/>
  <c r="AA163" i="4"/>
  <c r="AB163" i="4" s="1"/>
  <c r="H163" i="4"/>
  <c r="G161" i="4"/>
  <c r="F161" i="4"/>
  <c r="E161" i="4"/>
  <c r="D161" i="4"/>
  <c r="C161" i="4"/>
  <c r="G160" i="4"/>
  <c r="F160" i="4"/>
  <c r="E160" i="4"/>
  <c r="D160" i="4"/>
  <c r="C160" i="4"/>
  <c r="G159" i="4"/>
  <c r="F159" i="4"/>
  <c r="E159" i="4"/>
  <c r="D159" i="4"/>
  <c r="C159" i="4"/>
  <c r="G158" i="4"/>
  <c r="F158" i="4"/>
  <c r="E158" i="4"/>
  <c r="D158" i="4"/>
  <c r="C158" i="4"/>
  <c r="G157" i="4"/>
  <c r="F157" i="4"/>
  <c r="E157" i="4"/>
  <c r="D157" i="4"/>
  <c r="C157" i="4"/>
  <c r="G156" i="4"/>
  <c r="F156" i="4"/>
  <c r="E156" i="4"/>
  <c r="D156" i="4"/>
  <c r="C156" i="4"/>
  <c r="G155" i="4"/>
  <c r="F155" i="4"/>
  <c r="E155" i="4"/>
  <c r="D155" i="4"/>
  <c r="C155" i="4"/>
  <c r="AA153" i="4"/>
  <c r="AB153" i="4" s="1"/>
  <c r="H153" i="4"/>
  <c r="D152" i="4"/>
  <c r="G151" i="4"/>
  <c r="F151" i="4"/>
  <c r="E151" i="4"/>
  <c r="D151" i="4"/>
  <c r="C151" i="4"/>
  <c r="G150" i="4"/>
  <c r="F150" i="4"/>
  <c r="E150" i="4"/>
  <c r="D150" i="4"/>
  <c r="C150" i="4"/>
  <c r="G149" i="4"/>
  <c r="F149" i="4"/>
  <c r="E149" i="4"/>
  <c r="D149" i="4"/>
  <c r="C149" i="4"/>
  <c r="G148" i="4"/>
  <c r="F148" i="4"/>
  <c r="E148" i="4"/>
  <c r="D148" i="4"/>
  <c r="C148" i="4"/>
  <c r="G147" i="4"/>
  <c r="F147" i="4"/>
  <c r="E147" i="4"/>
  <c r="D147" i="4"/>
  <c r="C147" i="4"/>
  <c r="G146" i="4"/>
  <c r="F146" i="4"/>
  <c r="E146" i="4"/>
  <c r="D146" i="4"/>
  <c r="C146" i="4"/>
  <c r="G145" i="4"/>
  <c r="F145" i="4"/>
  <c r="E145" i="4"/>
  <c r="D145" i="4"/>
  <c r="C145" i="4"/>
  <c r="AA143" i="4"/>
  <c r="AB143" i="4" s="1"/>
  <c r="H143" i="4"/>
  <c r="D143" i="4"/>
  <c r="G141" i="4"/>
  <c r="F141" i="4"/>
  <c r="E141" i="4"/>
  <c r="D141" i="4"/>
  <c r="C141" i="4"/>
  <c r="G140" i="4"/>
  <c r="F140" i="4"/>
  <c r="E140" i="4"/>
  <c r="D140" i="4"/>
  <c r="C140" i="4"/>
  <c r="G139" i="4"/>
  <c r="F139" i="4"/>
  <c r="E139" i="4"/>
  <c r="D139" i="4"/>
  <c r="C139" i="4"/>
  <c r="G138" i="4"/>
  <c r="F138" i="4"/>
  <c r="E138" i="4"/>
  <c r="D138" i="4"/>
  <c r="C138" i="4"/>
  <c r="G137" i="4"/>
  <c r="F137" i="4"/>
  <c r="E137" i="4"/>
  <c r="D137" i="4"/>
  <c r="C137" i="4"/>
  <c r="G136" i="4"/>
  <c r="F136" i="4"/>
  <c r="E136" i="4"/>
  <c r="D136" i="4"/>
  <c r="C136" i="4"/>
  <c r="G135" i="4"/>
  <c r="F135" i="4"/>
  <c r="E135" i="4"/>
  <c r="D135" i="4"/>
  <c r="C135" i="4"/>
  <c r="AA133" i="4"/>
  <c r="AB133" i="4" s="1"/>
  <c r="H133" i="4"/>
  <c r="G131" i="4"/>
  <c r="F131" i="4"/>
  <c r="E131" i="4"/>
  <c r="D131" i="4"/>
  <c r="C131" i="4"/>
  <c r="G130" i="4"/>
  <c r="F130" i="4"/>
  <c r="E130" i="4"/>
  <c r="D130" i="4"/>
  <c r="C130" i="4"/>
  <c r="G129" i="4"/>
  <c r="F129" i="4"/>
  <c r="E129" i="4"/>
  <c r="D129" i="4"/>
  <c r="C129" i="4"/>
  <c r="G128" i="4"/>
  <c r="F128" i="4"/>
  <c r="E128" i="4"/>
  <c r="D128" i="4"/>
  <c r="C128" i="4"/>
  <c r="G127" i="4"/>
  <c r="F127" i="4"/>
  <c r="E127" i="4"/>
  <c r="D127" i="4"/>
  <c r="C127" i="4"/>
  <c r="G126" i="4"/>
  <c r="F126" i="4"/>
  <c r="E126" i="4"/>
  <c r="D126" i="4"/>
  <c r="C126" i="4"/>
  <c r="G125" i="4"/>
  <c r="F125" i="4"/>
  <c r="E125" i="4"/>
  <c r="D125" i="4"/>
  <c r="C125" i="4"/>
  <c r="AA123" i="4"/>
  <c r="AB123" i="4" s="1"/>
  <c r="H123" i="4"/>
  <c r="G121" i="4"/>
  <c r="F121" i="4"/>
  <c r="E121" i="4"/>
  <c r="D121" i="4"/>
  <c r="C121" i="4"/>
  <c r="G120" i="4"/>
  <c r="F120" i="4"/>
  <c r="E120" i="4"/>
  <c r="D120" i="4"/>
  <c r="C120" i="4"/>
  <c r="G119" i="4"/>
  <c r="F119" i="4"/>
  <c r="E119" i="4"/>
  <c r="D119" i="4"/>
  <c r="C119" i="4"/>
  <c r="G118" i="4"/>
  <c r="F118" i="4"/>
  <c r="E118" i="4"/>
  <c r="D118" i="4"/>
  <c r="C118" i="4"/>
  <c r="G117" i="4"/>
  <c r="F117" i="4"/>
  <c r="E117" i="4"/>
  <c r="D117" i="4"/>
  <c r="C117" i="4"/>
  <c r="G116" i="4"/>
  <c r="F116" i="4"/>
  <c r="E116" i="4"/>
  <c r="D116" i="4"/>
  <c r="C116" i="4"/>
  <c r="G115" i="4"/>
  <c r="F115" i="4"/>
  <c r="E115" i="4"/>
  <c r="D115" i="4"/>
  <c r="C115" i="4"/>
  <c r="AA113" i="4"/>
  <c r="AB113" i="4" s="1"/>
  <c r="H113" i="4"/>
  <c r="G111" i="4"/>
  <c r="F111" i="4"/>
  <c r="E111" i="4"/>
  <c r="D111" i="4"/>
  <c r="C111" i="4"/>
  <c r="G110" i="4"/>
  <c r="F110" i="4"/>
  <c r="E110" i="4"/>
  <c r="D110" i="4"/>
  <c r="C110" i="4"/>
  <c r="G109" i="4"/>
  <c r="F109" i="4"/>
  <c r="E109" i="4"/>
  <c r="D109" i="4"/>
  <c r="C109" i="4"/>
  <c r="G108" i="4"/>
  <c r="F108" i="4"/>
  <c r="E108" i="4"/>
  <c r="D108" i="4"/>
  <c r="C108" i="4"/>
  <c r="G107" i="4"/>
  <c r="F107" i="4"/>
  <c r="E107" i="4"/>
  <c r="D107" i="4"/>
  <c r="C107" i="4"/>
  <c r="G106" i="4"/>
  <c r="F106" i="4"/>
  <c r="E106" i="4"/>
  <c r="D106" i="4"/>
  <c r="C106" i="4"/>
  <c r="G105" i="4"/>
  <c r="F105" i="4"/>
  <c r="E105" i="4"/>
  <c r="D105" i="4"/>
  <c r="C105" i="4"/>
  <c r="AA103" i="4"/>
  <c r="AB103" i="4" s="1"/>
  <c r="H103" i="4"/>
  <c r="D102" i="4"/>
  <c r="G101" i="4"/>
  <c r="F101" i="4"/>
  <c r="E101" i="4"/>
  <c r="D101" i="4"/>
  <c r="C101" i="4"/>
  <c r="G100" i="4"/>
  <c r="F100" i="4"/>
  <c r="E100" i="4"/>
  <c r="D100" i="4"/>
  <c r="C100" i="4"/>
  <c r="G99" i="4"/>
  <c r="F99" i="4"/>
  <c r="E99" i="4"/>
  <c r="D99" i="4"/>
  <c r="C99" i="4"/>
  <c r="G98" i="4"/>
  <c r="F98" i="4"/>
  <c r="E98" i="4"/>
  <c r="D98" i="4"/>
  <c r="C98" i="4"/>
  <c r="G97" i="4"/>
  <c r="F97" i="4"/>
  <c r="E97" i="4"/>
  <c r="D97" i="4"/>
  <c r="C97" i="4"/>
  <c r="G96" i="4"/>
  <c r="F96" i="4"/>
  <c r="E96" i="4"/>
  <c r="D96" i="4"/>
  <c r="C96" i="4"/>
  <c r="G95" i="4"/>
  <c r="F95" i="4"/>
  <c r="E95" i="4"/>
  <c r="D95" i="4"/>
  <c r="C95" i="4"/>
  <c r="AA93" i="4"/>
  <c r="AB93" i="4" s="1"/>
  <c r="H93" i="4"/>
  <c r="D93" i="4"/>
  <c r="G91" i="4"/>
  <c r="F91" i="4"/>
  <c r="E91" i="4"/>
  <c r="D91" i="4"/>
  <c r="C91" i="4"/>
  <c r="G90" i="4"/>
  <c r="F90" i="4"/>
  <c r="E90" i="4"/>
  <c r="D90" i="4"/>
  <c r="C90" i="4"/>
  <c r="G89" i="4"/>
  <c r="F89" i="4"/>
  <c r="E89" i="4"/>
  <c r="D89" i="4"/>
  <c r="C89" i="4"/>
  <c r="G88" i="4"/>
  <c r="F88" i="4"/>
  <c r="E88" i="4"/>
  <c r="D88" i="4"/>
  <c r="C88" i="4"/>
  <c r="G87" i="4"/>
  <c r="F87" i="4"/>
  <c r="E87" i="4"/>
  <c r="D87" i="4"/>
  <c r="C87" i="4"/>
  <c r="G86" i="4"/>
  <c r="F86" i="4"/>
  <c r="E86" i="4"/>
  <c r="D86" i="4"/>
  <c r="C86" i="4"/>
  <c r="G85" i="4"/>
  <c r="F85" i="4"/>
  <c r="E85" i="4"/>
  <c r="D85" i="4"/>
  <c r="C85" i="4"/>
  <c r="AA83" i="4"/>
  <c r="AB83" i="4" s="1"/>
  <c r="H83" i="4"/>
  <c r="G81" i="4"/>
  <c r="F81" i="4"/>
  <c r="E81" i="4"/>
  <c r="D81" i="4"/>
  <c r="C81" i="4"/>
  <c r="G80" i="4"/>
  <c r="F80" i="4"/>
  <c r="E80" i="4"/>
  <c r="D80" i="4"/>
  <c r="C80" i="4"/>
  <c r="G79" i="4"/>
  <c r="F79" i="4"/>
  <c r="E79" i="4"/>
  <c r="D79" i="4"/>
  <c r="C79" i="4"/>
  <c r="G78" i="4"/>
  <c r="F78" i="4"/>
  <c r="E78" i="4"/>
  <c r="D78" i="4"/>
  <c r="C78" i="4"/>
  <c r="G77" i="4"/>
  <c r="F77" i="4"/>
  <c r="E77" i="4"/>
  <c r="D77" i="4"/>
  <c r="C77" i="4"/>
  <c r="G76" i="4"/>
  <c r="F76" i="4"/>
  <c r="E76" i="4"/>
  <c r="D76" i="4"/>
  <c r="C76" i="4"/>
  <c r="G75" i="4"/>
  <c r="F75" i="4"/>
  <c r="E75" i="4"/>
  <c r="D75" i="4"/>
  <c r="C75" i="4"/>
  <c r="AA73" i="4"/>
  <c r="AB73" i="4" s="1"/>
  <c r="H73" i="4"/>
  <c r="G71" i="4"/>
  <c r="F71" i="4"/>
  <c r="E71" i="4"/>
  <c r="D71" i="4"/>
  <c r="C71" i="4"/>
  <c r="G70" i="4"/>
  <c r="F70" i="4"/>
  <c r="E70" i="4"/>
  <c r="D70" i="4"/>
  <c r="C70" i="4"/>
  <c r="G69" i="4"/>
  <c r="F69" i="4"/>
  <c r="E69" i="4"/>
  <c r="D69" i="4"/>
  <c r="C69" i="4"/>
  <c r="G68" i="4"/>
  <c r="F68" i="4"/>
  <c r="E68" i="4"/>
  <c r="D68" i="4"/>
  <c r="C68" i="4"/>
  <c r="G67" i="4"/>
  <c r="F67" i="4"/>
  <c r="E67" i="4"/>
  <c r="D67" i="4"/>
  <c r="C67" i="4"/>
  <c r="G66" i="4"/>
  <c r="F66" i="4"/>
  <c r="E66" i="4"/>
  <c r="D66" i="4"/>
  <c r="C66" i="4"/>
  <c r="G65" i="4"/>
  <c r="F65" i="4"/>
  <c r="E65" i="4"/>
  <c r="D65" i="4"/>
  <c r="C65" i="4"/>
  <c r="AA63" i="4"/>
  <c r="AB63" i="4" s="1"/>
  <c r="H63" i="4"/>
  <c r="G61" i="4"/>
  <c r="F61" i="4"/>
  <c r="E61" i="4"/>
  <c r="D61" i="4"/>
  <c r="C61" i="4"/>
  <c r="G60" i="4"/>
  <c r="F60" i="4"/>
  <c r="E60" i="4"/>
  <c r="D60" i="4"/>
  <c r="C60" i="4"/>
  <c r="G59" i="4"/>
  <c r="F59" i="4"/>
  <c r="E59" i="4"/>
  <c r="D59" i="4"/>
  <c r="C59" i="4"/>
  <c r="G58" i="4"/>
  <c r="F58" i="4"/>
  <c r="E58" i="4"/>
  <c r="D58" i="4"/>
  <c r="C58" i="4"/>
  <c r="G57" i="4"/>
  <c r="F57" i="4"/>
  <c r="E57" i="4"/>
  <c r="D57" i="4"/>
  <c r="C57" i="4"/>
  <c r="G56" i="4"/>
  <c r="F56" i="4"/>
  <c r="E56" i="4"/>
  <c r="D56" i="4"/>
  <c r="C56" i="4"/>
  <c r="G55" i="4"/>
  <c r="F55" i="4"/>
  <c r="E55" i="4"/>
  <c r="D55" i="4"/>
  <c r="C55" i="4"/>
  <c r="AA53" i="4"/>
  <c r="AB53" i="4" s="1"/>
  <c r="H53" i="4"/>
  <c r="G51" i="4"/>
  <c r="F51" i="4"/>
  <c r="E51" i="4"/>
  <c r="D51" i="4"/>
  <c r="C51" i="4"/>
  <c r="G50" i="4"/>
  <c r="F50" i="4"/>
  <c r="E50" i="4"/>
  <c r="D50" i="4"/>
  <c r="C50" i="4"/>
  <c r="G49" i="4"/>
  <c r="F49" i="4"/>
  <c r="E49" i="4"/>
  <c r="D49" i="4"/>
  <c r="C49" i="4"/>
  <c r="G48" i="4"/>
  <c r="F48" i="4"/>
  <c r="E48" i="4"/>
  <c r="D48" i="4"/>
  <c r="C48" i="4"/>
  <c r="G47" i="4"/>
  <c r="F47" i="4"/>
  <c r="E47" i="4"/>
  <c r="D47" i="4"/>
  <c r="C47" i="4"/>
  <c r="G46" i="4"/>
  <c r="F46" i="4"/>
  <c r="E46" i="4"/>
  <c r="D46" i="4"/>
  <c r="C46" i="4"/>
  <c r="G45" i="4"/>
  <c r="F45" i="4"/>
  <c r="E45" i="4"/>
  <c r="D45" i="4"/>
  <c r="C45" i="4"/>
  <c r="AA43" i="4"/>
  <c r="AB43" i="4" s="1"/>
  <c r="H43" i="4"/>
  <c r="D43" i="4"/>
  <c r="D52" i="4" s="1"/>
  <c r="G41" i="4"/>
  <c r="F41" i="4"/>
  <c r="E41" i="4"/>
  <c r="D41" i="4"/>
  <c r="C41" i="4"/>
  <c r="G40" i="4"/>
  <c r="F40" i="4"/>
  <c r="E40" i="4"/>
  <c r="D40" i="4"/>
  <c r="C40" i="4"/>
  <c r="G39" i="4"/>
  <c r="F39" i="4"/>
  <c r="E39" i="4"/>
  <c r="D39" i="4"/>
  <c r="C39" i="4"/>
  <c r="G38" i="4"/>
  <c r="F38" i="4"/>
  <c r="E38" i="4"/>
  <c r="D38" i="4"/>
  <c r="C38" i="4"/>
  <c r="G37" i="4"/>
  <c r="F37" i="4"/>
  <c r="E37" i="4"/>
  <c r="D37" i="4"/>
  <c r="C37" i="4"/>
  <c r="G36" i="4"/>
  <c r="F36" i="4"/>
  <c r="E36" i="4"/>
  <c r="D36" i="4"/>
  <c r="C36" i="4"/>
  <c r="G35" i="4"/>
  <c r="F35" i="4"/>
  <c r="E35" i="4"/>
  <c r="D35" i="4"/>
  <c r="C35" i="4"/>
  <c r="AA33" i="4"/>
  <c r="AB33" i="4" s="1"/>
  <c r="H33" i="4"/>
  <c r="G31" i="4"/>
  <c r="F31" i="4"/>
  <c r="E31" i="4"/>
  <c r="D31" i="4"/>
  <c r="C31" i="4"/>
  <c r="G30" i="4"/>
  <c r="F30" i="4"/>
  <c r="E30" i="4"/>
  <c r="D30" i="4"/>
  <c r="C30" i="4"/>
  <c r="G29" i="4"/>
  <c r="F29" i="4"/>
  <c r="E29" i="4"/>
  <c r="D29" i="4"/>
  <c r="C29" i="4"/>
  <c r="G28" i="4"/>
  <c r="F28" i="4"/>
  <c r="E28" i="4"/>
  <c r="D28" i="4"/>
  <c r="C28" i="4"/>
  <c r="G27" i="4"/>
  <c r="F27" i="4"/>
  <c r="E27" i="4"/>
  <c r="D27" i="4"/>
  <c r="C27" i="4"/>
  <c r="G26" i="4"/>
  <c r="F26" i="4"/>
  <c r="E26" i="4"/>
  <c r="D26" i="4"/>
  <c r="C26" i="4"/>
  <c r="G25" i="4"/>
  <c r="F25" i="4"/>
  <c r="E25" i="4"/>
  <c r="D25" i="4"/>
  <c r="C25" i="4"/>
  <c r="AA23" i="4"/>
  <c r="AB23" i="4" s="1"/>
  <c r="H23" i="4"/>
  <c r="G21" i="4"/>
  <c r="F21" i="4"/>
  <c r="E21" i="4"/>
  <c r="D21" i="4"/>
  <c r="C21" i="4"/>
  <c r="G20" i="4"/>
  <c r="F20" i="4"/>
  <c r="E20" i="4"/>
  <c r="D20" i="4"/>
  <c r="C20" i="4"/>
  <c r="G19" i="4"/>
  <c r="F19" i="4"/>
  <c r="E19" i="4"/>
  <c r="D19" i="4"/>
  <c r="C19" i="4"/>
  <c r="G18" i="4"/>
  <c r="F18" i="4"/>
  <c r="E18" i="4"/>
  <c r="D18" i="4"/>
  <c r="C18" i="4"/>
  <c r="G17" i="4"/>
  <c r="F17" i="4"/>
  <c r="E17" i="4"/>
  <c r="D17" i="4"/>
  <c r="C17" i="4"/>
  <c r="G16" i="4"/>
  <c r="F16" i="4"/>
  <c r="E16" i="4"/>
  <c r="D16" i="4"/>
  <c r="C16" i="4"/>
  <c r="G15" i="4"/>
  <c r="F15" i="4"/>
  <c r="E15" i="4"/>
  <c r="D15" i="4"/>
  <c r="C15" i="4"/>
  <c r="AA13" i="4"/>
  <c r="AB13" i="4" s="1"/>
  <c r="H13" i="4"/>
  <c r="G11" i="4"/>
  <c r="F11" i="4"/>
  <c r="E11" i="4"/>
  <c r="D11" i="4"/>
  <c r="C11" i="4"/>
  <c r="G10" i="4"/>
  <c r="F10" i="4"/>
  <c r="E10" i="4"/>
  <c r="D10" i="4"/>
  <c r="C10" i="4"/>
  <c r="G9" i="4"/>
  <c r="F9" i="4"/>
  <c r="E9" i="4"/>
  <c r="D9" i="4"/>
  <c r="C9" i="4"/>
  <c r="G8" i="4"/>
  <c r="F8" i="4"/>
  <c r="E8" i="4"/>
  <c r="D8" i="4"/>
  <c r="C8" i="4"/>
  <c r="G7" i="4"/>
  <c r="F7" i="4"/>
  <c r="E7" i="4"/>
  <c r="D7" i="4"/>
  <c r="C7" i="4"/>
  <c r="G6" i="4"/>
  <c r="F6" i="4"/>
  <c r="E6" i="4"/>
  <c r="D6" i="4"/>
  <c r="C6" i="4"/>
  <c r="G5" i="4"/>
  <c r="F5" i="4"/>
  <c r="E5" i="4"/>
  <c r="D5" i="4"/>
  <c r="C5" i="4"/>
  <c r="AA3" i="4"/>
  <c r="H3" i="4"/>
  <c r="U1" i="4"/>
  <c r="U2" i="4" s="1"/>
  <c r="A1" i="4"/>
  <c r="O1" i="4" s="1"/>
  <c r="O2" i="4" s="1"/>
  <c r="Y1500" i="2"/>
  <c r="X1500" i="2"/>
  <c r="W1500" i="2"/>
  <c r="V1500" i="2"/>
  <c r="O1500" i="2"/>
  <c r="G1500" i="2"/>
  <c r="Y1499" i="2"/>
  <c r="X1499" i="2"/>
  <c r="W1499" i="2"/>
  <c r="V1499" i="2"/>
  <c r="O1499" i="2"/>
  <c r="G1499" i="2"/>
  <c r="Y1498" i="2"/>
  <c r="X1498" i="2"/>
  <c r="W1498" i="2"/>
  <c r="V1498" i="2"/>
  <c r="O1498" i="2"/>
  <c r="G1498" i="2"/>
  <c r="Y1497" i="2"/>
  <c r="X1497" i="2"/>
  <c r="W1497" i="2"/>
  <c r="V1497" i="2"/>
  <c r="O1497" i="2"/>
  <c r="G1497" i="2"/>
  <c r="Y1496" i="2"/>
  <c r="X1496" i="2"/>
  <c r="W1496" i="2"/>
  <c r="V1496" i="2"/>
  <c r="O1496" i="2"/>
  <c r="G1496" i="2"/>
  <c r="Y1495" i="2"/>
  <c r="X1495" i="2"/>
  <c r="W1495" i="2"/>
  <c r="V1495" i="2"/>
  <c r="O1495" i="2"/>
  <c r="G1495" i="2"/>
  <c r="Y1494" i="2"/>
  <c r="X1494" i="2"/>
  <c r="W1494" i="2"/>
  <c r="V1494" i="2"/>
  <c r="O1494" i="2"/>
  <c r="G1494" i="2"/>
  <c r="Y1493" i="2"/>
  <c r="X1493" i="2"/>
  <c r="W1493" i="2"/>
  <c r="V1493" i="2"/>
  <c r="O1493" i="2"/>
  <c r="G1493" i="2"/>
  <c r="Y1492" i="2"/>
  <c r="X1492" i="2"/>
  <c r="W1492" i="2"/>
  <c r="V1492" i="2"/>
  <c r="O1492" i="2"/>
  <c r="G1492" i="2"/>
  <c r="Y1491" i="2"/>
  <c r="X1491" i="2"/>
  <c r="W1491" i="2"/>
  <c r="V1491" i="2"/>
  <c r="O1491" i="2"/>
  <c r="G1491" i="2"/>
  <c r="Y1490" i="2"/>
  <c r="X1490" i="2"/>
  <c r="W1490" i="2"/>
  <c r="V1490" i="2"/>
  <c r="O1490" i="2"/>
  <c r="G1490" i="2"/>
  <c r="Y1489" i="2"/>
  <c r="X1489" i="2"/>
  <c r="W1489" i="2"/>
  <c r="V1489" i="2"/>
  <c r="O1489" i="2"/>
  <c r="G1489" i="2"/>
  <c r="Y1488" i="2"/>
  <c r="X1488" i="2"/>
  <c r="W1488" i="2"/>
  <c r="V1488" i="2"/>
  <c r="O1488" i="2"/>
  <c r="G1488" i="2"/>
  <c r="Y1487" i="2"/>
  <c r="X1487" i="2"/>
  <c r="W1487" i="2"/>
  <c r="V1487" i="2"/>
  <c r="O1487" i="2"/>
  <c r="G1487" i="2"/>
  <c r="Y1486" i="2"/>
  <c r="X1486" i="2"/>
  <c r="W1486" i="2"/>
  <c r="V1486" i="2"/>
  <c r="O1486" i="2"/>
  <c r="G1486" i="2"/>
  <c r="Y1485" i="2"/>
  <c r="X1485" i="2"/>
  <c r="W1485" i="2"/>
  <c r="V1485" i="2"/>
  <c r="O1485" i="2"/>
  <c r="G1485" i="2"/>
  <c r="Y1484" i="2"/>
  <c r="X1484" i="2"/>
  <c r="W1484" i="2"/>
  <c r="V1484" i="2"/>
  <c r="O1484" i="2"/>
  <c r="G1484" i="2"/>
  <c r="Y1483" i="2"/>
  <c r="X1483" i="2"/>
  <c r="W1483" i="2"/>
  <c r="V1483" i="2"/>
  <c r="O1483" i="2"/>
  <c r="G1483" i="2"/>
  <c r="Y1482" i="2"/>
  <c r="X1482" i="2"/>
  <c r="W1482" i="2"/>
  <c r="V1482" i="2"/>
  <c r="O1482" i="2"/>
  <c r="G1482" i="2"/>
  <c r="Y1481" i="2"/>
  <c r="X1481" i="2"/>
  <c r="W1481" i="2"/>
  <c r="V1481" i="2"/>
  <c r="O1481" i="2"/>
  <c r="G1481" i="2"/>
  <c r="Y1480" i="2"/>
  <c r="X1480" i="2"/>
  <c r="W1480" i="2"/>
  <c r="V1480" i="2"/>
  <c r="O1480" i="2"/>
  <c r="G1480" i="2"/>
  <c r="Y1479" i="2"/>
  <c r="X1479" i="2"/>
  <c r="W1479" i="2"/>
  <c r="V1479" i="2"/>
  <c r="O1479" i="2"/>
  <c r="G1479" i="2"/>
  <c r="Y1478" i="2"/>
  <c r="X1478" i="2"/>
  <c r="W1478" i="2"/>
  <c r="V1478" i="2"/>
  <c r="O1478" i="2"/>
  <c r="G1478" i="2"/>
  <c r="Y1477" i="2"/>
  <c r="X1477" i="2"/>
  <c r="W1477" i="2"/>
  <c r="V1477" i="2"/>
  <c r="O1477" i="2"/>
  <c r="G1477" i="2"/>
  <c r="Y1476" i="2"/>
  <c r="X1476" i="2"/>
  <c r="W1476" i="2"/>
  <c r="V1476" i="2"/>
  <c r="O1476" i="2"/>
  <c r="G1476" i="2"/>
  <c r="Y1475" i="2"/>
  <c r="X1475" i="2"/>
  <c r="W1475" i="2"/>
  <c r="V1475" i="2"/>
  <c r="O1475" i="2"/>
  <c r="G1475" i="2"/>
  <c r="Y1474" i="2"/>
  <c r="X1474" i="2"/>
  <c r="W1474" i="2"/>
  <c r="V1474" i="2"/>
  <c r="O1474" i="2"/>
  <c r="G1474" i="2"/>
  <c r="Y1473" i="2"/>
  <c r="X1473" i="2"/>
  <c r="W1473" i="2"/>
  <c r="V1473" i="2"/>
  <c r="O1473" i="2"/>
  <c r="G1473" i="2"/>
  <c r="Y1472" i="2"/>
  <c r="X1472" i="2"/>
  <c r="W1472" i="2"/>
  <c r="V1472" i="2"/>
  <c r="O1472" i="2"/>
  <c r="G1472" i="2"/>
  <c r="Y1471" i="2"/>
  <c r="X1471" i="2"/>
  <c r="W1471" i="2"/>
  <c r="V1471" i="2"/>
  <c r="O1471" i="2"/>
  <c r="G1471" i="2"/>
  <c r="Y1470" i="2"/>
  <c r="X1470" i="2"/>
  <c r="W1470" i="2"/>
  <c r="V1470" i="2"/>
  <c r="O1470" i="2"/>
  <c r="G1470" i="2"/>
  <c r="Y1469" i="2"/>
  <c r="X1469" i="2"/>
  <c r="W1469" i="2"/>
  <c r="V1469" i="2"/>
  <c r="O1469" i="2"/>
  <c r="G1469" i="2"/>
  <c r="Y1468" i="2"/>
  <c r="X1468" i="2"/>
  <c r="W1468" i="2"/>
  <c r="V1468" i="2"/>
  <c r="O1468" i="2"/>
  <c r="G1468" i="2"/>
  <c r="Y1467" i="2"/>
  <c r="X1467" i="2"/>
  <c r="W1467" i="2"/>
  <c r="V1467" i="2"/>
  <c r="O1467" i="2"/>
  <c r="G1467" i="2"/>
  <c r="Y1466" i="2"/>
  <c r="X1466" i="2"/>
  <c r="W1466" i="2"/>
  <c r="V1466" i="2"/>
  <c r="O1466" i="2"/>
  <c r="G1466" i="2"/>
  <c r="Y1465" i="2"/>
  <c r="X1465" i="2"/>
  <c r="W1465" i="2"/>
  <c r="V1465" i="2"/>
  <c r="O1465" i="2"/>
  <c r="G1465" i="2"/>
  <c r="Y1464" i="2"/>
  <c r="X1464" i="2"/>
  <c r="W1464" i="2"/>
  <c r="V1464" i="2"/>
  <c r="O1464" i="2"/>
  <c r="G1464" i="2"/>
  <c r="Y1463" i="2"/>
  <c r="X1463" i="2"/>
  <c r="W1463" i="2"/>
  <c r="V1463" i="2"/>
  <c r="O1463" i="2"/>
  <c r="G1463" i="2"/>
  <c r="Y1462" i="2"/>
  <c r="X1462" i="2"/>
  <c r="W1462" i="2"/>
  <c r="V1462" i="2"/>
  <c r="O1462" i="2"/>
  <c r="G1462" i="2"/>
  <c r="Y1461" i="2"/>
  <c r="X1461" i="2"/>
  <c r="W1461" i="2"/>
  <c r="V1461" i="2"/>
  <c r="O1461" i="2"/>
  <c r="G1461" i="2"/>
  <c r="Y1460" i="2"/>
  <c r="X1460" i="2"/>
  <c r="W1460" i="2"/>
  <c r="V1460" i="2"/>
  <c r="O1460" i="2"/>
  <c r="G1460" i="2"/>
  <c r="Y1459" i="2"/>
  <c r="X1459" i="2"/>
  <c r="W1459" i="2"/>
  <c r="V1459" i="2"/>
  <c r="O1459" i="2"/>
  <c r="G1459" i="2"/>
  <c r="Y1458" i="2"/>
  <c r="X1458" i="2"/>
  <c r="W1458" i="2"/>
  <c r="V1458" i="2"/>
  <c r="O1458" i="2"/>
  <c r="G1458" i="2"/>
  <c r="Y1457" i="2"/>
  <c r="X1457" i="2"/>
  <c r="W1457" i="2"/>
  <c r="V1457" i="2"/>
  <c r="O1457" i="2"/>
  <c r="G1457" i="2"/>
  <c r="Y1456" i="2"/>
  <c r="X1456" i="2"/>
  <c r="W1456" i="2"/>
  <c r="V1456" i="2"/>
  <c r="O1456" i="2"/>
  <c r="G1456" i="2"/>
  <c r="Y1455" i="2"/>
  <c r="X1455" i="2"/>
  <c r="W1455" i="2"/>
  <c r="V1455" i="2"/>
  <c r="O1455" i="2"/>
  <c r="G1455" i="2"/>
  <c r="Y1454" i="2"/>
  <c r="X1454" i="2"/>
  <c r="W1454" i="2"/>
  <c r="V1454" i="2"/>
  <c r="O1454" i="2"/>
  <c r="G1454" i="2"/>
  <c r="Y1453" i="2"/>
  <c r="X1453" i="2"/>
  <c r="W1453" i="2"/>
  <c r="V1453" i="2"/>
  <c r="O1453" i="2"/>
  <c r="G1453" i="2"/>
  <c r="Y1452" i="2"/>
  <c r="X1452" i="2"/>
  <c r="W1452" i="2"/>
  <c r="V1452" i="2"/>
  <c r="O1452" i="2"/>
  <c r="G1452" i="2"/>
  <c r="Y1451" i="2"/>
  <c r="X1451" i="2"/>
  <c r="W1451" i="2"/>
  <c r="V1451" i="2"/>
  <c r="O1451" i="2"/>
  <c r="G1451" i="2"/>
  <c r="Y1450" i="2"/>
  <c r="X1450" i="2"/>
  <c r="W1450" i="2"/>
  <c r="V1450" i="2"/>
  <c r="O1450" i="2"/>
  <c r="G1450" i="2"/>
  <c r="Y1449" i="2"/>
  <c r="X1449" i="2"/>
  <c r="W1449" i="2"/>
  <c r="V1449" i="2"/>
  <c r="O1449" i="2"/>
  <c r="G1449" i="2"/>
  <c r="Y1448" i="2"/>
  <c r="X1448" i="2"/>
  <c r="W1448" i="2"/>
  <c r="V1448" i="2"/>
  <c r="O1448" i="2"/>
  <c r="G1448" i="2"/>
  <c r="Y1447" i="2"/>
  <c r="X1447" i="2"/>
  <c r="W1447" i="2"/>
  <c r="V1447" i="2"/>
  <c r="O1447" i="2"/>
  <c r="G1447" i="2"/>
  <c r="Y1446" i="2"/>
  <c r="X1446" i="2"/>
  <c r="W1446" i="2"/>
  <c r="V1446" i="2"/>
  <c r="O1446" i="2"/>
  <c r="G1446" i="2"/>
  <c r="Y1445" i="2"/>
  <c r="X1445" i="2"/>
  <c r="W1445" i="2"/>
  <c r="V1445" i="2"/>
  <c r="O1445" i="2"/>
  <c r="G1445" i="2"/>
  <c r="Y1444" i="2"/>
  <c r="X1444" i="2"/>
  <c r="W1444" i="2"/>
  <c r="V1444" i="2"/>
  <c r="O1444" i="2"/>
  <c r="G1444" i="2"/>
  <c r="Y1443" i="2"/>
  <c r="X1443" i="2"/>
  <c r="W1443" i="2"/>
  <c r="V1443" i="2"/>
  <c r="O1443" i="2"/>
  <c r="G1443" i="2"/>
  <c r="Y1442" i="2"/>
  <c r="X1442" i="2"/>
  <c r="W1442" i="2"/>
  <c r="V1442" i="2"/>
  <c r="O1442" i="2"/>
  <c r="G1442" i="2"/>
  <c r="Y1441" i="2"/>
  <c r="X1441" i="2"/>
  <c r="W1441" i="2"/>
  <c r="V1441" i="2"/>
  <c r="O1441" i="2"/>
  <c r="G1441" i="2"/>
  <c r="Y1440" i="2"/>
  <c r="X1440" i="2"/>
  <c r="W1440" i="2"/>
  <c r="V1440" i="2"/>
  <c r="O1440" i="2"/>
  <c r="G1440" i="2"/>
  <c r="Y1439" i="2"/>
  <c r="X1439" i="2"/>
  <c r="W1439" i="2"/>
  <c r="V1439" i="2"/>
  <c r="O1439" i="2"/>
  <c r="G1439" i="2"/>
  <c r="Y1438" i="2"/>
  <c r="X1438" i="2"/>
  <c r="W1438" i="2"/>
  <c r="V1438" i="2"/>
  <c r="O1438" i="2"/>
  <c r="G1438" i="2"/>
  <c r="Y1437" i="2"/>
  <c r="X1437" i="2"/>
  <c r="W1437" i="2"/>
  <c r="V1437" i="2"/>
  <c r="O1437" i="2"/>
  <c r="G1437" i="2"/>
  <c r="Y1436" i="2"/>
  <c r="X1436" i="2"/>
  <c r="W1436" i="2"/>
  <c r="V1436" i="2"/>
  <c r="O1436" i="2"/>
  <c r="G1436" i="2"/>
  <c r="Y1435" i="2"/>
  <c r="X1435" i="2"/>
  <c r="W1435" i="2"/>
  <c r="V1435" i="2"/>
  <c r="O1435" i="2"/>
  <c r="G1435" i="2"/>
  <c r="Y1434" i="2"/>
  <c r="X1434" i="2"/>
  <c r="W1434" i="2"/>
  <c r="V1434" i="2"/>
  <c r="O1434" i="2"/>
  <c r="G1434" i="2"/>
  <c r="Y1433" i="2"/>
  <c r="X1433" i="2"/>
  <c r="W1433" i="2"/>
  <c r="V1433" i="2"/>
  <c r="O1433" i="2"/>
  <c r="G1433" i="2"/>
  <c r="Y1432" i="2"/>
  <c r="X1432" i="2"/>
  <c r="W1432" i="2"/>
  <c r="V1432" i="2"/>
  <c r="O1432" i="2"/>
  <c r="G1432" i="2"/>
  <c r="Y1431" i="2"/>
  <c r="X1431" i="2"/>
  <c r="W1431" i="2"/>
  <c r="V1431" i="2"/>
  <c r="O1431" i="2"/>
  <c r="G1431" i="2"/>
  <c r="Y1430" i="2"/>
  <c r="X1430" i="2"/>
  <c r="W1430" i="2"/>
  <c r="V1430" i="2"/>
  <c r="O1430" i="2"/>
  <c r="G1430" i="2"/>
  <c r="Y1429" i="2"/>
  <c r="X1429" i="2"/>
  <c r="W1429" i="2"/>
  <c r="V1429" i="2"/>
  <c r="O1429" i="2"/>
  <c r="G1429" i="2"/>
  <c r="Y1428" i="2"/>
  <c r="X1428" i="2"/>
  <c r="W1428" i="2"/>
  <c r="V1428" i="2"/>
  <c r="O1428" i="2"/>
  <c r="G1428" i="2"/>
  <c r="Y1427" i="2"/>
  <c r="X1427" i="2"/>
  <c r="W1427" i="2"/>
  <c r="V1427" i="2"/>
  <c r="O1427" i="2"/>
  <c r="G1427" i="2"/>
  <c r="Y1426" i="2"/>
  <c r="X1426" i="2"/>
  <c r="W1426" i="2"/>
  <c r="V1426" i="2"/>
  <c r="O1426" i="2"/>
  <c r="G1426" i="2"/>
  <c r="Y1425" i="2"/>
  <c r="X1425" i="2"/>
  <c r="W1425" i="2"/>
  <c r="V1425" i="2"/>
  <c r="O1425" i="2"/>
  <c r="G1425" i="2"/>
  <c r="Y1424" i="2"/>
  <c r="X1424" i="2"/>
  <c r="W1424" i="2"/>
  <c r="V1424" i="2"/>
  <c r="O1424" i="2"/>
  <c r="G1424" i="2"/>
  <c r="Y1423" i="2"/>
  <c r="X1423" i="2"/>
  <c r="W1423" i="2"/>
  <c r="V1423" i="2"/>
  <c r="O1423" i="2"/>
  <c r="G1423" i="2"/>
  <c r="Y1422" i="2"/>
  <c r="X1422" i="2"/>
  <c r="W1422" i="2"/>
  <c r="V1422" i="2"/>
  <c r="O1422" i="2"/>
  <c r="G1422" i="2"/>
  <c r="Y1421" i="2"/>
  <c r="X1421" i="2"/>
  <c r="W1421" i="2"/>
  <c r="V1421" i="2"/>
  <c r="O1421" i="2"/>
  <c r="G1421" i="2"/>
  <c r="Y1420" i="2"/>
  <c r="X1420" i="2"/>
  <c r="W1420" i="2"/>
  <c r="V1420" i="2"/>
  <c r="O1420" i="2"/>
  <c r="G1420" i="2"/>
  <c r="Y1419" i="2"/>
  <c r="X1419" i="2"/>
  <c r="W1419" i="2"/>
  <c r="V1419" i="2"/>
  <c r="O1419" i="2"/>
  <c r="G1419" i="2"/>
  <c r="Y1418" i="2"/>
  <c r="X1418" i="2"/>
  <c r="W1418" i="2"/>
  <c r="V1418" i="2"/>
  <c r="O1418" i="2"/>
  <c r="G1418" i="2"/>
  <c r="Y1417" i="2"/>
  <c r="X1417" i="2"/>
  <c r="W1417" i="2"/>
  <c r="V1417" i="2"/>
  <c r="O1417" i="2"/>
  <c r="G1417" i="2"/>
  <c r="Y1416" i="2"/>
  <c r="X1416" i="2"/>
  <c r="W1416" i="2"/>
  <c r="V1416" i="2"/>
  <c r="O1416" i="2"/>
  <c r="G1416" i="2"/>
  <c r="Y1415" i="2"/>
  <c r="X1415" i="2"/>
  <c r="W1415" i="2"/>
  <c r="V1415" i="2"/>
  <c r="O1415" i="2"/>
  <c r="G1415" i="2"/>
  <c r="Y1414" i="2"/>
  <c r="X1414" i="2"/>
  <c r="W1414" i="2"/>
  <c r="V1414" i="2"/>
  <c r="O1414" i="2"/>
  <c r="G1414" i="2"/>
  <c r="Y1413" i="2"/>
  <c r="X1413" i="2"/>
  <c r="W1413" i="2"/>
  <c r="V1413" i="2"/>
  <c r="O1413" i="2"/>
  <c r="G1413" i="2"/>
  <c r="Y1412" i="2"/>
  <c r="X1412" i="2"/>
  <c r="W1412" i="2"/>
  <c r="V1412" i="2"/>
  <c r="O1412" i="2"/>
  <c r="G1412" i="2"/>
  <c r="Y1411" i="2"/>
  <c r="X1411" i="2"/>
  <c r="W1411" i="2"/>
  <c r="V1411" i="2"/>
  <c r="O1411" i="2"/>
  <c r="G1411" i="2"/>
  <c r="Y1410" i="2"/>
  <c r="X1410" i="2"/>
  <c r="W1410" i="2"/>
  <c r="V1410" i="2"/>
  <c r="O1410" i="2"/>
  <c r="G1410" i="2"/>
  <c r="Y1409" i="2"/>
  <c r="X1409" i="2"/>
  <c r="W1409" i="2"/>
  <c r="V1409" i="2"/>
  <c r="O1409" i="2"/>
  <c r="G1409" i="2"/>
  <c r="Y1408" i="2"/>
  <c r="X1408" i="2"/>
  <c r="W1408" i="2"/>
  <c r="V1408" i="2"/>
  <c r="O1408" i="2"/>
  <c r="G1408" i="2"/>
  <c r="Y1407" i="2"/>
  <c r="X1407" i="2"/>
  <c r="W1407" i="2"/>
  <c r="V1407" i="2"/>
  <c r="O1407" i="2"/>
  <c r="G1407" i="2"/>
  <c r="Y1406" i="2"/>
  <c r="X1406" i="2"/>
  <c r="W1406" i="2"/>
  <c r="V1406" i="2"/>
  <c r="O1406" i="2"/>
  <c r="G1406" i="2"/>
  <c r="Y1405" i="2"/>
  <c r="X1405" i="2"/>
  <c r="W1405" i="2"/>
  <c r="V1405" i="2"/>
  <c r="O1405" i="2"/>
  <c r="G1405" i="2"/>
  <c r="Y1404" i="2"/>
  <c r="X1404" i="2"/>
  <c r="W1404" i="2"/>
  <c r="V1404" i="2"/>
  <c r="O1404" i="2"/>
  <c r="G1404" i="2"/>
  <c r="Y1403" i="2"/>
  <c r="X1403" i="2"/>
  <c r="W1403" i="2"/>
  <c r="V1403" i="2"/>
  <c r="O1403" i="2"/>
  <c r="G1403" i="2"/>
  <c r="Y1402" i="2"/>
  <c r="X1402" i="2"/>
  <c r="W1402" i="2"/>
  <c r="V1402" i="2"/>
  <c r="O1402" i="2"/>
  <c r="G1402" i="2"/>
  <c r="Y1401" i="2"/>
  <c r="X1401" i="2"/>
  <c r="W1401" i="2"/>
  <c r="V1401" i="2"/>
  <c r="O1401" i="2"/>
  <c r="G1401" i="2"/>
  <c r="Y1400" i="2"/>
  <c r="X1400" i="2"/>
  <c r="W1400" i="2"/>
  <c r="V1400" i="2"/>
  <c r="O1400" i="2"/>
  <c r="G1400" i="2"/>
  <c r="Y1399" i="2"/>
  <c r="X1399" i="2"/>
  <c r="W1399" i="2"/>
  <c r="V1399" i="2"/>
  <c r="O1399" i="2"/>
  <c r="G1399" i="2"/>
  <c r="Y1398" i="2"/>
  <c r="X1398" i="2"/>
  <c r="W1398" i="2"/>
  <c r="V1398" i="2"/>
  <c r="O1398" i="2"/>
  <c r="G1398" i="2"/>
  <c r="Y1397" i="2"/>
  <c r="X1397" i="2"/>
  <c r="W1397" i="2"/>
  <c r="V1397" i="2"/>
  <c r="O1397" i="2"/>
  <c r="G1397" i="2"/>
  <c r="Y1396" i="2"/>
  <c r="X1396" i="2"/>
  <c r="W1396" i="2"/>
  <c r="V1396" i="2"/>
  <c r="O1396" i="2"/>
  <c r="G1396" i="2"/>
  <c r="Y1395" i="2"/>
  <c r="X1395" i="2"/>
  <c r="W1395" i="2"/>
  <c r="V1395" i="2"/>
  <c r="O1395" i="2"/>
  <c r="G1395" i="2"/>
  <c r="Y1394" i="2"/>
  <c r="X1394" i="2"/>
  <c r="W1394" i="2"/>
  <c r="V1394" i="2"/>
  <c r="O1394" i="2"/>
  <c r="G1394" i="2"/>
  <c r="Y1393" i="2"/>
  <c r="X1393" i="2"/>
  <c r="W1393" i="2"/>
  <c r="V1393" i="2"/>
  <c r="O1393" i="2"/>
  <c r="G1393" i="2"/>
  <c r="Y1392" i="2"/>
  <c r="X1392" i="2"/>
  <c r="W1392" i="2"/>
  <c r="V1392" i="2"/>
  <c r="O1392" i="2"/>
  <c r="G1392" i="2"/>
  <c r="Y1391" i="2"/>
  <c r="X1391" i="2"/>
  <c r="W1391" i="2"/>
  <c r="V1391" i="2"/>
  <c r="O1391" i="2"/>
  <c r="G1391" i="2"/>
  <c r="Y1390" i="2"/>
  <c r="X1390" i="2"/>
  <c r="W1390" i="2"/>
  <c r="V1390" i="2"/>
  <c r="O1390" i="2"/>
  <c r="G1390" i="2"/>
  <c r="Y1389" i="2"/>
  <c r="X1389" i="2"/>
  <c r="W1389" i="2"/>
  <c r="V1389" i="2"/>
  <c r="O1389" i="2"/>
  <c r="G1389" i="2"/>
  <c r="Y1388" i="2"/>
  <c r="X1388" i="2"/>
  <c r="W1388" i="2"/>
  <c r="V1388" i="2"/>
  <c r="O1388" i="2"/>
  <c r="G1388" i="2"/>
  <c r="Y1387" i="2"/>
  <c r="X1387" i="2"/>
  <c r="W1387" i="2"/>
  <c r="V1387" i="2"/>
  <c r="O1387" i="2"/>
  <c r="G1387" i="2"/>
  <c r="Y1386" i="2"/>
  <c r="X1386" i="2"/>
  <c r="W1386" i="2"/>
  <c r="V1386" i="2"/>
  <c r="O1386" i="2"/>
  <c r="G1386" i="2"/>
  <c r="Y1385" i="2"/>
  <c r="X1385" i="2"/>
  <c r="W1385" i="2"/>
  <c r="V1385" i="2"/>
  <c r="O1385" i="2"/>
  <c r="G1385" i="2"/>
  <c r="Y1384" i="2"/>
  <c r="X1384" i="2"/>
  <c r="W1384" i="2"/>
  <c r="V1384" i="2"/>
  <c r="O1384" i="2"/>
  <c r="G1384" i="2"/>
  <c r="Y1383" i="2"/>
  <c r="X1383" i="2"/>
  <c r="W1383" i="2"/>
  <c r="V1383" i="2"/>
  <c r="O1383" i="2"/>
  <c r="G1383" i="2"/>
  <c r="Y1382" i="2"/>
  <c r="X1382" i="2"/>
  <c r="W1382" i="2"/>
  <c r="V1382" i="2"/>
  <c r="O1382" i="2"/>
  <c r="G1382" i="2"/>
  <c r="Y1381" i="2"/>
  <c r="X1381" i="2"/>
  <c r="W1381" i="2"/>
  <c r="V1381" i="2"/>
  <c r="O1381" i="2"/>
  <c r="G1381" i="2"/>
  <c r="Y1380" i="2"/>
  <c r="X1380" i="2"/>
  <c r="W1380" i="2"/>
  <c r="V1380" i="2"/>
  <c r="O1380" i="2"/>
  <c r="G1380" i="2"/>
  <c r="Y1379" i="2"/>
  <c r="X1379" i="2"/>
  <c r="W1379" i="2"/>
  <c r="V1379" i="2"/>
  <c r="O1379" i="2"/>
  <c r="G1379" i="2"/>
  <c r="Y1378" i="2"/>
  <c r="X1378" i="2"/>
  <c r="W1378" i="2"/>
  <c r="V1378" i="2"/>
  <c r="O1378" i="2"/>
  <c r="G1378" i="2"/>
  <c r="Y1377" i="2"/>
  <c r="X1377" i="2"/>
  <c r="W1377" i="2"/>
  <c r="V1377" i="2"/>
  <c r="O1377" i="2"/>
  <c r="G1377" i="2"/>
  <c r="Y1376" i="2"/>
  <c r="X1376" i="2"/>
  <c r="W1376" i="2"/>
  <c r="V1376" i="2"/>
  <c r="O1376" i="2"/>
  <c r="G1376" i="2"/>
  <c r="Y1375" i="2"/>
  <c r="X1375" i="2"/>
  <c r="W1375" i="2"/>
  <c r="V1375" i="2"/>
  <c r="O1375" i="2"/>
  <c r="G1375" i="2"/>
  <c r="Y1374" i="2"/>
  <c r="X1374" i="2"/>
  <c r="W1374" i="2"/>
  <c r="V1374" i="2"/>
  <c r="O1374" i="2"/>
  <c r="G1374" i="2"/>
  <c r="Y1373" i="2"/>
  <c r="X1373" i="2"/>
  <c r="W1373" i="2"/>
  <c r="V1373" i="2"/>
  <c r="O1373" i="2"/>
  <c r="G1373" i="2"/>
  <c r="Y1372" i="2"/>
  <c r="X1372" i="2"/>
  <c r="W1372" i="2"/>
  <c r="V1372" i="2"/>
  <c r="O1372" i="2"/>
  <c r="G1372" i="2"/>
  <c r="Y1371" i="2"/>
  <c r="X1371" i="2"/>
  <c r="W1371" i="2"/>
  <c r="V1371" i="2"/>
  <c r="O1371" i="2"/>
  <c r="G1371" i="2"/>
  <c r="Y1370" i="2"/>
  <c r="X1370" i="2"/>
  <c r="W1370" i="2"/>
  <c r="V1370" i="2"/>
  <c r="O1370" i="2"/>
  <c r="G1370" i="2"/>
  <c r="Y1369" i="2"/>
  <c r="X1369" i="2"/>
  <c r="W1369" i="2"/>
  <c r="V1369" i="2"/>
  <c r="O1369" i="2"/>
  <c r="G1369" i="2"/>
  <c r="Y1368" i="2"/>
  <c r="X1368" i="2"/>
  <c r="W1368" i="2"/>
  <c r="V1368" i="2"/>
  <c r="O1368" i="2"/>
  <c r="G1368" i="2"/>
  <c r="Y1367" i="2"/>
  <c r="X1367" i="2"/>
  <c r="W1367" i="2"/>
  <c r="V1367" i="2"/>
  <c r="O1367" i="2"/>
  <c r="G1367" i="2"/>
  <c r="Y1366" i="2"/>
  <c r="X1366" i="2"/>
  <c r="W1366" i="2"/>
  <c r="V1366" i="2"/>
  <c r="O1366" i="2"/>
  <c r="G1366" i="2"/>
  <c r="Y1365" i="2"/>
  <c r="X1365" i="2"/>
  <c r="W1365" i="2"/>
  <c r="V1365" i="2"/>
  <c r="O1365" i="2"/>
  <c r="G1365" i="2"/>
  <c r="Y1364" i="2"/>
  <c r="X1364" i="2"/>
  <c r="W1364" i="2"/>
  <c r="V1364" i="2"/>
  <c r="O1364" i="2"/>
  <c r="G1364" i="2"/>
  <c r="Y1363" i="2"/>
  <c r="X1363" i="2"/>
  <c r="W1363" i="2"/>
  <c r="V1363" i="2"/>
  <c r="O1363" i="2"/>
  <c r="G1363" i="2"/>
  <c r="Y1362" i="2"/>
  <c r="X1362" i="2"/>
  <c r="W1362" i="2"/>
  <c r="V1362" i="2"/>
  <c r="O1362" i="2"/>
  <c r="G1362" i="2"/>
  <c r="Y1361" i="2"/>
  <c r="X1361" i="2"/>
  <c r="W1361" i="2"/>
  <c r="V1361" i="2"/>
  <c r="O1361" i="2"/>
  <c r="G1361" i="2"/>
  <c r="Y1360" i="2"/>
  <c r="X1360" i="2"/>
  <c r="W1360" i="2"/>
  <c r="V1360" i="2"/>
  <c r="O1360" i="2"/>
  <c r="G1360" i="2"/>
  <c r="Y1359" i="2"/>
  <c r="X1359" i="2"/>
  <c r="W1359" i="2"/>
  <c r="V1359" i="2"/>
  <c r="O1359" i="2"/>
  <c r="G1359" i="2"/>
  <c r="Y1358" i="2"/>
  <c r="X1358" i="2"/>
  <c r="W1358" i="2"/>
  <c r="V1358" i="2"/>
  <c r="O1358" i="2"/>
  <c r="G1358" i="2"/>
  <c r="Y1357" i="2"/>
  <c r="X1357" i="2"/>
  <c r="W1357" i="2"/>
  <c r="V1357" i="2"/>
  <c r="O1357" i="2"/>
  <c r="G1357" i="2"/>
  <c r="Y1356" i="2"/>
  <c r="X1356" i="2"/>
  <c r="W1356" i="2"/>
  <c r="V1356" i="2"/>
  <c r="O1356" i="2"/>
  <c r="G1356" i="2"/>
  <c r="Y1355" i="2"/>
  <c r="X1355" i="2"/>
  <c r="W1355" i="2"/>
  <c r="V1355" i="2"/>
  <c r="O1355" i="2"/>
  <c r="G1355" i="2"/>
  <c r="Y1354" i="2"/>
  <c r="X1354" i="2"/>
  <c r="W1354" i="2"/>
  <c r="V1354" i="2"/>
  <c r="O1354" i="2"/>
  <c r="G1354" i="2"/>
  <c r="Y1353" i="2"/>
  <c r="X1353" i="2"/>
  <c r="W1353" i="2"/>
  <c r="V1353" i="2"/>
  <c r="O1353" i="2"/>
  <c r="G1353" i="2"/>
  <c r="Y1352" i="2"/>
  <c r="X1352" i="2"/>
  <c r="W1352" i="2"/>
  <c r="V1352" i="2"/>
  <c r="O1352" i="2"/>
  <c r="G1352" i="2"/>
  <c r="Y1351" i="2"/>
  <c r="X1351" i="2"/>
  <c r="W1351" i="2"/>
  <c r="V1351" i="2"/>
  <c r="O1351" i="2"/>
  <c r="G1351" i="2"/>
  <c r="Y1350" i="2"/>
  <c r="X1350" i="2"/>
  <c r="W1350" i="2"/>
  <c r="V1350" i="2"/>
  <c r="O1350" i="2"/>
  <c r="G1350" i="2"/>
  <c r="Y1349" i="2"/>
  <c r="X1349" i="2"/>
  <c r="W1349" i="2"/>
  <c r="V1349" i="2"/>
  <c r="O1349" i="2"/>
  <c r="G1349" i="2"/>
  <c r="Y1348" i="2"/>
  <c r="X1348" i="2"/>
  <c r="W1348" i="2"/>
  <c r="V1348" i="2"/>
  <c r="O1348" i="2"/>
  <c r="G1348" i="2"/>
  <c r="Y1347" i="2"/>
  <c r="X1347" i="2"/>
  <c r="W1347" i="2"/>
  <c r="V1347" i="2"/>
  <c r="O1347" i="2"/>
  <c r="G1347" i="2"/>
  <c r="Y1346" i="2"/>
  <c r="X1346" i="2"/>
  <c r="W1346" i="2"/>
  <c r="V1346" i="2"/>
  <c r="O1346" i="2"/>
  <c r="G1346" i="2"/>
  <c r="Y1345" i="2"/>
  <c r="X1345" i="2"/>
  <c r="W1345" i="2"/>
  <c r="V1345" i="2"/>
  <c r="O1345" i="2"/>
  <c r="G1345" i="2"/>
  <c r="Y1344" i="2"/>
  <c r="X1344" i="2"/>
  <c r="W1344" i="2"/>
  <c r="V1344" i="2"/>
  <c r="O1344" i="2"/>
  <c r="G1344" i="2"/>
  <c r="Y1343" i="2"/>
  <c r="X1343" i="2"/>
  <c r="W1343" i="2"/>
  <c r="V1343" i="2"/>
  <c r="O1343" i="2"/>
  <c r="G1343" i="2"/>
  <c r="Y1342" i="2"/>
  <c r="X1342" i="2"/>
  <c r="W1342" i="2"/>
  <c r="V1342" i="2"/>
  <c r="O1342" i="2"/>
  <c r="G1342" i="2"/>
  <c r="Y1341" i="2"/>
  <c r="X1341" i="2"/>
  <c r="W1341" i="2"/>
  <c r="V1341" i="2"/>
  <c r="O1341" i="2"/>
  <c r="G1341" i="2"/>
  <c r="Y1340" i="2"/>
  <c r="X1340" i="2"/>
  <c r="W1340" i="2"/>
  <c r="V1340" i="2"/>
  <c r="O1340" i="2"/>
  <c r="G1340" i="2"/>
  <c r="Y1339" i="2"/>
  <c r="X1339" i="2"/>
  <c r="W1339" i="2"/>
  <c r="V1339" i="2"/>
  <c r="O1339" i="2"/>
  <c r="G1339" i="2"/>
  <c r="Y1338" i="2"/>
  <c r="X1338" i="2"/>
  <c r="W1338" i="2"/>
  <c r="V1338" i="2"/>
  <c r="O1338" i="2"/>
  <c r="G1338" i="2"/>
  <c r="Y1337" i="2"/>
  <c r="X1337" i="2"/>
  <c r="W1337" i="2"/>
  <c r="V1337" i="2"/>
  <c r="O1337" i="2"/>
  <c r="G1337" i="2"/>
  <c r="Y1336" i="2"/>
  <c r="X1336" i="2"/>
  <c r="W1336" i="2"/>
  <c r="V1336" i="2"/>
  <c r="O1336" i="2"/>
  <c r="G1336" i="2"/>
  <c r="Y1335" i="2"/>
  <c r="X1335" i="2"/>
  <c r="W1335" i="2"/>
  <c r="V1335" i="2"/>
  <c r="O1335" i="2"/>
  <c r="G1335" i="2"/>
  <c r="Y1334" i="2"/>
  <c r="X1334" i="2"/>
  <c r="W1334" i="2"/>
  <c r="V1334" i="2"/>
  <c r="O1334" i="2"/>
  <c r="G1334" i="2"/>
  <c r="Y1333" i="2"/>
  <c r="X1333" i="2"/>
  <c r="W1333" i="2"/>
  <c r="V1333" i="2"/>
  <c r="O1333" i="2"/>
  <c r="G1333" i="2"/>
  <c r="Y1332" i="2"/>
  <c r="X1332" i="2"/>
  <c r="W1332" i="2"/>
  <c r="V1332" i="2"/>
  <c r="O1332" i="2"/>
  <c r="G1332" i="2"/>
  <c r="Y1331" i="2"/>
  <c r="X1331" i="2"/>
  <c r="W1331" i="2"/>
  <c r="V1331" i="2"/>
  <c r="O1331" i="2"/>
  <c r="G1331" i="2"/>
  <c r="Y1330" i="2"/>
  <c r="X1330" i="2"/>
  <c r="W1330" i="2"/>
  <c r="V1330" i="2"/>
  <c r="O1330" i="2"/>
  <c r="G1330" i="2"/>
  <c r="Y1329" i="2"/>
  <c r="X1329" i="2"/>
  <c r="W1329" i="2"/>
  <c r="V1329" i="2"/>
  <c r="O1329" i="2"/>
  <c r="G1329" i="2"/>
  <c r="Y1328" i="2"/>
  <c r="X1328" i="2"/>
  <c r="W1328" i="2"/>
  <c r="V1328" i="2"/>
  <c r="O1328" i="2"/>
  <c r="G1328" i="2"/>
  <c r="Y1327" i="2"/>
  <c r="X1327" i="2"/>
  <c r="W1327" i="2"/>
  <c r="V1327" i="2"/>
  <c r="O1327" i="2"/>
  <c r="G1327" i="2"/>
  <c r="Y1326" i="2"/>
  <c r="X1326" i="2"/>
  <c r="W1326" i="2"/>
  <c r="V1326" i="2"/>
  <c r="O1326" i="2"/>
  <c r="G1326" i="2"/>
  <c r="Y1325" i="2"/>
  <c r="X1325" i="2"/>
  <c r="W1325" i="2"/>
  <c r="V1325" i="2"/>
  <c r="O1325" i="2"/>
  <c r="G1325" i="2"/>
  <c r="Y1324" i="2"/>
  <c r="X1324" i="2"/>
  <c r="W1324" i="2"/>
  <c r="V1324" i="2"/>
  <c r="O1324" i="2"/>
  <c r="G1324" i="2"/>
  <c r="Y1323" i="2"/>
  <c r="X1323" i="2"/>
  <c r="W1323" i="2"/>
  <c r="V1323" i="2"/>
  <c r="O1323" i="2"/>
  <c r="G1323" i="2"/>
  <c r="Y1322" i="2"/>
  <c r="X1322" i="2"/>
  <c r="W1322" i="2"/>
  <c r="V1322" i="2"/>
  <c r="O1322" i="2"/>
  <c r="G1322" i="2"/>
  <c r="Y1321" i="2"/>
  <c r="X1321" i="2"/>
  <c r="W1321" i="2"/>
  <c r="V1321" i="2"/>
  <c r="O1321" i="2"/>
  <c r="G1321" i="2"/>
  <c r="Y1320" i="2"/>
  <c r="X1320" i="2"/>
  <c r="W1320" i="2"/>
  <c r="V1320" i="2"/>
  <c r="O1320" i="2"/>
  <c r="G1320" i="2"/>
  <c r="Y1319" i="2"/>
  <c r="X1319" i="2"/>
  <c r="W1319" i="2"/>
  <c r="V1319" i="2"/>
  <c r="O1319" i="2"/>
  <c r="G1319" i="2"/>
  <c r="Y1318" i="2"/>
  <c r="X1318" i="2"/>
  <c r="W1318" i="2"/>
  <c r="V1318" i="2"/>
  <c r="O1318" i="2"/>
  <c r="G1318" i="2"/>
  <c r="Y1317" i="2"/>
  <c r="X1317" i="2"/>
  <c r="W1317" i="2"/>
  <c r="V1317" i="2"/>
  <c r="O1317" i="2"/>
  <c r="G1317" i="2"/>
  <c r="Y1316" i="2"/>
  <c r="X1316" i="2"/>
  <c r="W1316" i="2"/>
  <c r="V1316" i="2"/>
  <c r="O1316" i="2"/>
  <c r="G1316" i="2"/>
  <c r="Y1315" i="2"/>
  <c r="X1315" i="2"/>
  <c r="W1315" i="2"/>
  <c r="V1315" i="2"/>
  <c r="O1315" i="2"/>
  <c r="G1315" i="2"/>
  <c r="Y1314" i="2"/>
  <c r="X1314" i="2"/>
  <c r="W1314" i="2"/>
  <c r="V1314" i="2"/>
  <c r="O1314" i="2"/>
  <c r="G1314" i="2"/>
  <c r="Y1313" i="2"/>
  <c r="X1313" i="2"/>
  <c r="W1313" i="2"/>
  <c r="V1313" i="2"/>
  <c r="O1313" i="2"/>
  <c r="G1313" i="2"/>
  <c r="Y1312" i="2"/>
  <c r="X1312" i="2"/>
  <c r="W1312" i="2"/>
  <c r="V1312" i="2"/>
  <c r="O1312" i="2"/>
  <c r="G1312" i="2"/>
  <c r="Y1311" i="2"/>
  <c r="X1311" i="2"/>
  <c r="W1311" i="2"/>
  <c r="V1311" i="2"/>
  <c r="O1311" i="2"/>
  <c r="G1311" i="2"/>
  <c r="Y1310" i="2"/>
  <c r="X1310" i="2"/>
  <c r="W1310" i="2"/>
  <c r="V1310" i="2"/>
  <c r="O1310" i="2"/>
  <c r="G1310" i="2"/>
  <c r="Y1309" i="2"/>
  <c r="X1309" i="2"/>
  <c r="W1309" i="2"/>
  <c r="V1309" i="2"/>
  <c r="O1309" i="2"/>
  <c r="G1309" i="2"/>
  <c r="Y1308" i="2"/>
  <c r="X1308" i="2"/>
  <c r="W1308" i="2"/>
  <c r="V1308" i="2"/>
  <c r="O1308" i="2"/>
  <c r="G1308" i="2"/>
  <c r="Y1307" i="2"/>
  <c r="X1307" i="2"/>
  <c r="W1307" i="2"/>
  <c r="V1307" i="2"/>
  <c r="O1307" i="2"/>
  <c r="G1307" i="2"/>
  <c r="Y1306" i="2"/>
  <c r="X1306" i="2"/>
  <c r="W1306" i="2"/>
  <c r="V1306" i="2"/>
  <c r="O1306" i="2"/>
  <c r="G1306" i="2"/>
  <c r="Y1305" i="2"/>
  <c r="X1305" i="2"/>
  <c r="W1305" i="2"/>
  <c r="V1305" i="2"/>
  <c r="O1305" i="2"/>
  <c r="G1305" i="2"/>
  <c r="Y1304" i="2"/>
  <c r="X1304" i="2"/>
  <c r="W1304" i="2"/>
  <c r="V1304" i="2"/>
  <c r="O1304" i="2"/>
  <c r="G1304" i="2"/>
  <c r="Y1303" i="2"/>
  <c r="X1303" i="2"/>
  <c r="W1303" i="2"/>
  <c r="V1303" i="2"/>
  <c r="O1303" i="2"/>
  <c r="G1303" i="2"/>
  <c r="Y1302" i="2"/>
  <c r="X1302" i="2"/>
  <c r="W1302" i="2"/>
  <c r="V1302" i="2"/>
  <c r="O1302" i="2"/>
  <c r="G1302" i="2"/>
  <c r="Y1301" i="2"/>
  <c r="X1301" i="2"/>
  <c r="W1301" i="2"/>
  <c r="V1301" i="2"/>
  <c r="O1301" i="2"/>
  <c r="G1301" i="2"/>
  <c r="Y1300" i="2"/>
  <c r="X1300" i="2"/>
  <c r="W1300" i="2"/>
  <c r="V1300" i="2"/>
  <c r="O1300" i="2"/>
  <c r="G1300" i="2"/>
  <c r="Y1299" i="2"/>
  <c r="X1299" i="2"/>
  <c r="W1299" i="2"/>
  <c r="V1299" i="2"/>
  <c r="O1299" i="2"/>
  <c r="G1299" i="2"/>
  <c r="Y1298" i="2"/>
  <c r="X1298" i="2"/>
  <c r="W1298" i="2"/>
  <c r="V1298" i="2"/>
  <c r="O1298" i="2"/>
  <c r="G1298" i="2"/>
  <c r="Y1297" i="2"/>
  <c r="X1297" i="2"/>
  <c r="W1297" i="2"/>
  <c r="V1297" i="2"/>
  <c r="O1297" i="2"/>
  <c r="G1297" i="2"/>
  <c r="Y1296" i="2"/>
  <c r="X1296" i="2"/>
  <c r="W1296" i="2"/>
  <c r="V1296" i="2"/>
  <c r="O1296" i="2"/>
  <c r="G1296" i="2"/>
  <c r="Y1295" i="2"/>
  <c r="X1295" i="2"/>
  <c r="W1295" i="2"/>
  <c r="V1295" i="2"/>
  <c r="O1295" i="2"/>
  <c r="G1295" i="2"/>
  <c r="Y1294" i="2"/>
  <c r="X1294" i="2"/>
  <c r="W1294" i="2"/>
  <c r="V1294" i="2"/>
  <c r="O1294" i="2"/>
  <c r="G1294" i="2"/>
  <c r="Y1293" i="2"/>
  <c r="X1293" i="2"/>
  <c r="W1293" i="2"/>
  <c r="V1293" i="2"/>
  <c r="O1293" i="2"/>
  <c r="G1293" i="2"/>
  <c r="Y1292" i="2"/>
  <c r="X1292" i="2"/>
  <c r="W1292" i="2"/>
  <c r="V1292" i="2"/>
  <c r="O1292" i="2"/>
  <c r="G1292" i="2"/>
  <c r="Y1291" i="2"/>
  <c r="X1291" i="2"/>
  <c r="W1291" i="2"/>
  <c r="V1291" i="2"/>
  <c r="O1291" i="2"/>
  <c r="G1291" i="2"/>
  <c r="Y1290" i="2"/>
  <c r="X1290" i="2"/>
  <c r="W1290" i="2"/>
  <c r="V1290" i="2"/>
  <c r="O1290" i="2"/>
  <c r="G1290" i="2"/>
  <c r="Y1289" i="2"/>
  <c r="X1289" i="2"/>
  <c r="W1289" i="2"/>
  <c r="V1289" i="2"/>
  <c r="O1289" i="2"/>
  <c r="G1289" i="2"/>
  <c r="Y1288" i="2"/>
  <c r="X1288" i="2"/>
  <c r="W1288" i="2"/>
  <c r="V1288" i="2"/>
  <c r="O1288" i="2"/>
  <c r="G1288" i="2"/>
  <c r="Y1287" i="2"/>
  <c r="X1287" i="2"/>
  <c r="W1287" i="2"/>
  <c r="V1287" i="2"/>
  <c r="O1287" i="2"/>
  <c r="G1287" i="2"/>
  <c r="Y1286" i="2"/>
  <c r="X1286" i="2"/>
  <c r="W1286" i="2"/>
  <c r="V1286" i="2"/>
  <c r="O1286" i="2"/>
  <c r="G1286" i="2"/>
  <c r="Y1285" i="2"/>
  <c r="X1285" i="2"/>
  <c r="W1285" i="2"/>
  <c r="V1285" i="2"/>
  <c r="O1285" i="2"/>
  <c r="G1285" i="2"/>
  <c r="Y1284" i="2"/>
  <c r="X1284" i="2"/>
  <c r="W1284" i="2"/>
  <c r="V1284" i="2"/>
  <c r="O1284" i="2"/>
  <c r="G1284" i="2"/>
  <c r="Y1283" i="2"/>
  <c r="X1283" i="2"/>
  <c r="W1283" i="2"/>
  <c r="V1283" i="2"/>
  <c r="O1283" i="2"/>
  <c r="G1283" i="2"/>
  <c r="Y1282" i="2"/>
  <c r="X1282" i="2"/>
  <c r="W1282" i="2"/>
  <c r="V1282" i="2"/>
  <c r="O1282" i="2"/>
  <c r="G1282" i="2"/>
  <c r="Y1281" i="2"/>
  <c r="X1281" i="2"/>
  <c r="W1281" i="2"/>
  <c r="V1281" i="2"/>
  <c r="O1281" i="2"/>
  <c r="G1281" i="2"/>
  <c r="Y1280" i="2"/>
  <c r="X1280" i="2"/>
  <c r="W1280" i="2"/>
  <c r="V1280" i="2"/>
  <c r="O1280" i="2"/>
  <c r="G1280" i="2"/>
  <c r="Y1279" i="2"/>
  <c r="X1279" i="2"/>
  <c r="W1279" i="2"/>
  <c r="V1279" i="2"/>
  <c r="O1279" i="2"/>
  <c r="G1279" i="2"/>
  <c r="Y1278" i="2"/>
  <c r="X1278" i="2"/>
  <c r="W1278" i="2"/>
  <c r="V1278" i="2"/>
  <c r="O1278" i="2"/>
  <c r="G1278" i="2"/>
  <c r="Y1277" i="2"/>
  <c r="X1277" i="2"/>
  <c r="W1277" i="2"/>
  <c r="V1277" i="2"/>
  <c r="O1277" i="2"/>
  <c r="G1277" i="2"/>
  <c r="Y1276" i="2"/>
  <c r="X1276" i="2"/>
  <c r="W1276" i="2"/>
  <c r="V1276" i="2"/>
  <c r="O1276" i="2"/>
  <c r="G1276" i="2"/>
  <c r="Y1275" i="2"/>
  <c r="X1275" i="2"/>
  <c r="W1275" i="2"/>
  <c r="V1275" i="2"/>
  <c r="O1275" i="2"/>
  <c r="G1275" i="2"/>
  <c r="Y1274" i="2"/>
  <c r="X1274" i="2"/>
  <c r="W1274" i="2"/>
  <c r="V1274" i="2"/>
  <c r="O1274" i="2"/>
  <c r="G1274" i="2"/>
  <c r="Y1273" i="2"/>
  <c r="X1273" i="2"/>
  <c r="W1273" i="2"/>
  <c r="V1273" i="2"/>
  <c r="O1273" i="2"/>
  <c r="G1273" i="2"/>
  <c r="Y1272" i="2"/>
  <c r="X1272" i="2"/>
  <c r="W1272" i="2"/>
  <c r="V1272" i="2"/>
  <c r="O1272" i="2"/>
  <c r="G1272" i="2"/>
  <c r="Y1271" i="2"/>
  <c r="X1271" i="2"/>
  <c r="W1271" i="2"/>
  <c r="V1271" i="2"/>
  <c r="O1271" i="2"/>
  <c r="G1271" i="2"/>
  <c r="Y1270" i="2"/>
  <c r="X1270" i="2"/>
  <c r="W1270" i="2"/>
  <c r="V1270" i="2"/>
  <c r="O1270" i="2"/>
  <c r="G1270" i="2"/>
  <c r="Y1269" i="2"/>
  <c r="X1269" i="2"/>
  <c r="W1269" i="2"/>
  <c r="V1269" i="2"/>
  <c r="O1269" i="2"/>
  <c r="G1269" i="2"/>
  <c r="Y1268" i="2"/>
  <c r="X1268" i="2"/>
  <c r="W1268" i="2"/>
  <c r="V1268" i="2"/>
  <c r="O1268" i="2"/>
  <c r="G1268" i="2"/>
  <c r="Y1267" i="2"/>
  <c r="X1267" i="2"/>
  <c r="W1267" i="2"/>
  <c r="V1267" i="2"/>
  <c r="O1267" i="2"/>
  <c r="G1267" i="2"/>
  <c r="Y1266" i="2"/>
  <c r="X1266" i="2"/>
  <c r="W1266" i="2"/>
  <c r="V1266" i="2"/>
  <c r="O1266" i="2"/>
  <c r="G1266" i="2"/>
  <c r="Y1265" i="2"/>
  <c r="X1265" i="2"/>
  <c r="W1265" i="2"/>
  <c r="V1265" i="2"/>
  <c r="O1265" i="2"/>
  <c r="G1265" i="2"/>
  <c r="Y1264" i="2"/>
  <c r="X1264" i="2"/>
  <c r="W1264" i="2"/>
  <c r="V1264" i="2"/>
  <c r="O1264" i="2"/>
  <c r="G1264" i="2"/>
  <c r="Y1263" i="2"/>
  <c r="X1263" i="2"/>
  <c r="W1263" i="2"/>
  <c r="V1263" i="2"/>
  <c r="O1263" i="2"/>
  <c r="G1263" i="2"/>
  <c r="Y1262" i="2"/>
  <c r="X1262" i="2"/>
  <c r="W1262" i="2"/>
  <c r="V1262" i="2"/>
  <c r="O1262" i="2"/>
  <c r="G1262" i="2"/>
  <c r="Y1261" i="2"/>
  <c r="X1261" i="2"/>
  <c r="W1261" i="2"/>
  <c r="V1261" i="2"/>
  <c r="O1261" i="2"/>
  <c r="G1261" i="2"/>
  <c r="Y1260" i="2"/>
  <c r="X1260" i="2"/>
  <c r="W1260" i="2"/>
  <c r="V1260" i="2"/>
  <c r="O1260" i="2"/>
  <c r="G1260" i="2"/>
  <c r="Y1259" i="2"/>
  <c r="X1259" i="2"/>
  <c r="W1259" i="2"/>
  <c r="V1259" i="2"/>
  <c r="O1259" i="2"/>
  <c r="G1259" i="2"/>
  <c r="Y1258" i="2"/>
  <c r="X1258" i="2"/>
  <c r="W1258" i="2"/>
  <c r="V1258" i="2"/>
  <c r="O1258" i="2"/>
  <c r="G1258" i="2"/>
  <c r="Y1257" i="2"/>
  <c r="X1257" i="2"/>
  <c r="W1257" i="2"/>
  <c r="V1257" i="2"/>
  <c r="O1257" i="2"/>
  <c r="G1257" i="2"/>
  <c r="Y1256" i="2"/>
  <c r="X1256" i="2"/>
  <c r="W1256" i="2"/>
  <c r="V1256" i="2"/>
  <c r="O1256" i="2"/>
  <c r="G1256" i="2"/>
  <c r="Y1255" i="2"/>
  <c r="X1255" i="2"/>
  <c r="W1255" i="2"/>
  <c r="V1255" i="2"/>
  <c r="O1255" i="2"/>
  <c r="G1255" i="2"/>
  <c r="Y1254" i="2"/>
  <c r="X1254" i="2"/>
  <c r="W1254" i="2"/>
  <c r="V1254" i="2"/>
  <c r="O1254" i="2"/>
  <c r="G1254" i="2"/>
  <c r="Y1253" i="2"/>
  <c r="X1253" i="2"/>
  <c r="W1253" i="2"/>
  <c r="V1253" i="2"/>
  <c r="O1253" i="2"/>
  <c r="G1253" i="2"/>
  <c r="Y1252" i="2"/>
  <c r="X1252" i="2"/>
  <c r="W1252" i="2"/>
  <c r="V1252" i="2"/>
  <c r="O1252" i="2"/>
  <c r="G1252" i="2"/>
  <c r="Y1251" i="2"/>
  <c r="X1251" i="2"/>
  <c r="W1251" i="2"/>
  <c r="V1251" i="2"/>
  <c r="O1251" i="2"/>
  <c r="G1251" i="2"/>
  <c r="Y1250" i="2"/>
  <c r="X1250" i="2"/>
  <c r="W1250" i="2"/>
  <c r="V1250" i="2"/>
  <c r="O1250" i="2"/>
  <c r="G1250" i="2"/>
  <c r="Y1249" i="2"/>
  <c r="X1249" i="2"/>
  <c r="W1249" i="2"/>
  <c r="V1249" i="2"/>
  <c r="O1249" i="2"/>
  <c r="G1249" i="2"/>
  <c r="Y1248" i="2"/>
  <c r="X1248" i="2"/>
  <c r="W1248" i="2"/>
  <c r="V1248" i="2"/>
  <c r="O1248" i="2"/>
  <c r="G1248" i="2"/>
  <c r="Y1247" i="2"/>
  <c r="X1247" i="2"/>
  <c r="W1247" i="2"/>
  <c r="V1247" i="2"/>
  <c r="O1247" i="2"/>
  <c r="G1247" i="2"/>
  <c r="Y1246" i="2"/>
  <c r="X1246" i="2"/>
  <c r="W1246" i="2"/>
  <c r="V1246" i="2"/>
  <c r="O1246" i="2"/>
  <c r="G1246" i="2"/>
  <c r="Y1245" i="2"/>
  <c r="X1245" i="2"/>
  <c r="W1245" i="2"/>
  <c r="V1245" i="2"/>
  <c r="O1245" i="2"/>
  <c r="G1245" i="2"/>
  <c r="Y1244" i="2"/>
  <c r="X1244" i="2"/>
  <c r="W1244" i="2"/>
  <c r="V1244" i="2"/>
  <c r="O1244" i="2"/>
  <c r="G1244" i="2"/>
  <c r="Y1243" i="2"/>
  <c r="X1243" i="2"/>
  <c r="W1243" i="2"/>
  <c r="V1243" i="2"/>
  <c r="O1243" i="2"/>
  <c r="G1243" i="2"/>
  <c r="Y1242" i="2"/>
  <c r="X1242" i="2"/>
  <c r="W1242" i="2"/>
  <c r="V1242" i="2"/>
  <c r="O1242" i="2"/>
  <c r="G1242" i="2"/>
  <c r="Y1241" i="2"/>
  <c r="X1241" i="2"/>
  <c r="W1241" i="2"/>
  <c r="V1241" i="2"/>
  <c r="O1241" i="2"/>
  <c r="G1241" i="2"/>
  <c r="Y1240" i="2"/>
  <c r="X1240" i="2"/>
  <c r="W1240" i="2"/>
  <c r="V1240" i="2"/>
  <c r="O1240" i="2"/>
  <c r="G1240" i="2"/>
  <c r="Y1239" i="2"/>
  <c r="X1239" i="2"/>
  <c r="W1239" i="2"/>
  <c r="V1239" i="2"/>
  <c r="O1239" i="2"/>
  <c r="G1239" i="2"/>
  <c r="Y1238" i="2"/>
  <c r="X1238" i="2"/>
  <c r="W1238" i="2"/>
  <c r="V1238" i="2"/>
  <c r="O1238" i="2"/>
  <c r="G1238" i="2"/>
  <c r="Y1237" i="2"/>
  <c r="X1237" i="2"/>
  <c r="W1237" i="2"/>
  <c r="V1237" i="2"/>
  <c r="O1237" i="2"/>
  <c r="G1237" i="2"/>
  <c r="Y1236" i="2"/>
  <c r="X1236" i="2"/>
  <c r="W1236" i="2"/>
  <c r="V1236" i="2"/>
  <c r="O1236" i="2"/>
  <c r="G1236" i="2"/>
  <c r="Y1235" i="2"/>
  <c r="X1235" i="2"/>
  <c r="W1235" i="2"/>
  <c r="V1235" i="2"/>
  <c r="O1235" i="2"/>
  <c r="G1235" i="2"/>
  <c r="Y1234" i="2"/>
  <c r="X1234" i="2"/>
  <c r="W1234" i="2"/>
  <c r="V1234" i="2"/>
  <c r="O1234" i="2"/>
  <c r="G1234" i="2"/>
  <c r="Y1233" i="2"/>
  <c r="X1233" i="2"/>
  <c r="W1233" i="2"/>
  <c r="V1233" i="2"/>
  <c r="O1233" i="2"/>
  <c r="G1233" i="2"/>
  <c r="Y1232" i="2"/>
  <c r="X1232" i="2"/>
  <c r="W1232" i="2"/>
  <c r="V1232" i="2"/>
  <c r="O1232" i="2"/>
  <c r="G1232" i="2"/>
  <c r="Y1231" i="2"/>
  <c r="X1231" i="2"/>
  <c r="W1231" i="2"/>
  <c r="V1231" i="2"/>
  <c r="O1231" i="2"/>
  <c r="G1231" i="2"/>
  <c r="Y1230" i="2"/>
  <c r="X1230" i="2"/>
  <c r="W1230" i="2"/>
  <c r="V1230" i="2"/>
  <c r="O1230" i="2"/>
  <c r="G1230" i="2"/>
  <c r="Y1229" i="2"/>
  <c r="X1229" i="2"/>
  <c r="W1229" i="2"/>
  <c r="V1229" i="2"/>
  <c r="O1229" i="2"/>
  <c r="G1229" i="2"/>
  <c r="Y1228" i="2"/>
  <c r="X1228" i="2"/>
  <c r="W1228" i="2"/>
  <c r="V1228" i="2"/>
  <c r="O1228" i="2"/>
  <c r="G1228" i="2"/>
  <c r="Y1227" i="2"/>
  <c r="X1227" i="2"/>
  <c r="W1227" i="2"/>
  <c r="V1227" i="2"/>
  <c r="O1227" i="2"/>
  <c r="G1227" i="2"/>
  <c r="Y1226" i="2"/>
  <c r="X1226" i="2"/>
  <c r="W1226" i="2"/>
  <c r="V1226" i="2"/>
  <c r="O1226" i="2"/>
  <c r="G1226" i="2"/>
  <c r="Y1225" i="2"/>
  <c r="X1225" i="2"/>
  <c r="W1225" i="2"/>
  <c r="V1225" i="2"/>
  <c r="O1225" i="2"/>
  <c r="G1225" i="2"/>
  <c r="Y1224" i="2"/>
  <c r="X1224" i="2"/>
  <c r="W1224" i="2"/>
  <c r="V1224" i="2"/>
  <c r="O1224" i="2"/>
  <c r="G1224" i="2"/>
  <c r="Y1223" i="2"/>
  <c r="X1223" i="2"/>
  <c r="W1223" i="2"/>
  <c r="V1223" i="2"/>
  <c r="O1223" i="2"/>
  <c r="G1223" i="2"/>
  <c r="Y1222" i="2"/>
  <c r="X1222" i="2"/>
  <c r="W1222" i="2"/>
  <c r="V1222" i="2"/>
  <c r="O1222" i="2"/>
  <c r="G1222" i="2"/>
  <c r="Y1221" i="2"/>
  <c r="X1221" i="2"/>
  <c r="W1221" i="2"/>
  <c r="V1221" i="2"/>
  <c r="O1221" i="2"/>
  <c r="G1221" i="2"/>
  <c r="Y1220" i="2"/>
  <c r="X1220" i="2"/>
  <c r="W1220" i="2"/>
  <c r="V1220" i="2"/>
  <c r="O1220" i="2"/>
  <c r="G1220" i="2"/>
  <c r="Y1219" i="2"/>
  <c r="X1219" i="2"/>
  <c r="W1219" i="2"/>
  <c r="V1219" i="2"/>
  <c r="O1219" i="2"/>
  <c r="G1219" i="2"/>
  <c r="Y1218" i="2"/>
  <c r="X1218" i="2"/>
  <c r="W1218" i="2"/>
  <c r="V1218" i="2"/>
  <c r="O1218" i="2"/>
  <c r="G1218" i="2"/>
  <c r="Y1217" i="2"/>
  <c r="X1217" i="2"/>
  <c r="W1217" i="2"/>
  <c r="V1217" i="2"/>
  <c r="O1217" i="2"/>
  <c r="G1217" i="2"/>
  <c r="Y1216" i="2"/>
  <c r="X1216" i="2"/>
  <c r="W1216" i="2"/>
  <c r="V1216" i="2"/>
  <c r="O1216" i="2"/>
  <c r="G1216" i="2"/>
  <c r="Y1215" i="2"/>
  <c r="X1215" i="2"/>
  <c r="W1215" i="2"/>
  <c r="V1215" i="2"/>
  <c r="O1215" i="2"/>
  <c r="G1215" i="2"/>
  <c r="Y1214" i="2"/>
  <c r="X1214" i="2"/>
  <c r="W1214" i="2"/>
  <c r="V1214" i="2"/>
  <c r="O1214" i="2"/>
  <c r="G1214" i="2"/>
  <c r="Y1213" i="2"/>
  <c r="X1213" i="2"/>
  <c r="W1213" i="2"/>
  <c r="V1213" i="2"/>
  <c r="O1213" i="2"/>
  <c r="G1213" i="2"/>
  <c r="Y1212" i="2"/>
  <c r="X1212" i="2"/>
  <c r="W1212" i="2"/>
  <c r="V1212" i="2"/>
  <c r="O1212" i="2"/>
  <c r="G1212" i="2"/>
  <c r="Y1211" i="2"/>
  <c r="X1211" i="2"/>
  <c r="W1211" i="2"/>
  <c r="V1211" i="2"/>
  <c r="O1211" i="2"/>
  <c r="G1211" i="2"/>
  <c r="Y1210" i="2"/>
  <c r="X1210" i="2"/>
  <c r="W1210" i="2"/>
  <c r="V1210" i="2"/>
  <c r="O1210" i="2"/>
  <c r="G1210" i="2"/>
  <c r="Y1209" i="2"/>
  <c r="X1209" i="2"/>
  <c r="W1209" i="2"/>
  <c r="V1209" i="2"/>
  <c r="O1209" i="2"/>
  <c r="G1209" i="2"/>
  <c r="Y1208" i="2"/>
  <c r="X1208" i="2"/>
  <c r="W1208" i="2"/>
  <c r="V1208" i="2"/>
  <c r="O1208" i="2"/>
  <c r="G1208" i="2"/>
  <c r="Y1207" i="2"/>
  <c r="X1207" i="2"/>
  <c r="W1207" i="2"/>
  <c r="V1207" i="2"/>
  <c r="O1207" i="2"/>
  <c r="G1207" i="2"/>
  <c r="Y1206" i="2"/>
  <c r="X1206" i="2"/>
  <c r="W1206" i="2"/>
  <c r="V1206" i="2"/>
  <c r="O1206" i="2"/>
  <c r="G1206" i="2"/>
  <c r="Y1205" i="2"/>
  <c r="X1205" i="2"/>
  <c r="W1205" i="2"/>
  <c r="V1205" i="2"/>
  <c r="O1205" i="2"/>
  <c r="G1205" i="2"/>
  <c r="Y1204" i="2"/>
  <c r="X1204" i="2"/>
  <c r="W1204" i="2"/>
  <c r="V1204" i="2"/>
  <c r="O1204" i="2"/>
  <c r="G1204" i="2"/>
  <c r="Y1203" i="2"/>
  <c r="X1203" i="2"/>
  <c r="W1203" i="2"/>
  <c r="V1203" i="2"/>
  <c r="O1203" i="2"/>
  <c r="G1203" i="2"/>
  <c r="Y1202" i="2"/>
  <c r="X1202" i="2"/>
  <c r="W1202" i="2"/>
  <c r="V1202" i="2"/>
  <c r="O1202" i="2"/>
  <c r="G1202" i="2"/>
  <c r="Y1201" i="2"/>
  <c r="X1201" i="2"/>
  <c r="W1201" i="2"/>
  <c r="V1201" i="2"/>
  <c r="O1201" i="2"/>
  <c r="G1201" i="2"/>
  <c r="Y1200" i="2"/>
  <c r="X1200" i="2"/>
  <c r="W1200" i="2"/>
  <c r="V1200" i="2"/>
  <c r="O1200" i="2"/>
  <c r="G1200" i="2"/>
  <c r="Y1199" i="2"/>
  <c r="X1199" i="2"/>
  <c r="W1199" i="2"/>
  <c r="V1199" i="2"/>
  <c r="O1199" i="2"/>
  <c r="G1199" i="2"/>
  <c r="Y1198" i="2"/>
  <c r="X1198" i="2"/>
  <c r="W1198" i="2"/>
  <c r="V1198" i="2"/>
  <c r="O1198" i="2"/>
  <c r="G1198" i="2"/>
  <c r="Y1197" i="2"/>
  <c r="X1197" i="2"/>
  <c r="W1197" i="2"/>
  <c r="V1197" i="2"/>
  <c r="O1197" i="2"/>
  <c r="G1197" i="2"/>
  <c r="Y1196" i="2"/>
  <c r="X1196" i="2"/>
  <c r="W1196" i="2"/>
  <c r="V1196" i="2"/>
  <c r="O1196" i="2"/>
  <c r="G1196" i="2"/>
  <c r="Y1195" i="2"/>
  <c r="X1195" i="2"/>
  <c r="W1195" i="2"/>
  <c r="V1195" i="2"/>
  <c r="O1195" i="2"/>
  <c r="G1195" i="2"/>
  <c r="Y1194" i="2"/>
  <c r="X1194" i="2"/>
  <c r="W1194" i="2"/>
  <c r="V1194" i="2"/>
  <c r="O1194" i="2"/>
  <c r="G1194" i="2"/>
  <c r="Y1193" i="2"/>
  <c r="X1193" i="2"/>
  <c r="W1193" i="2"/>
  <c r="V1193" i="2"/>
  <c r="O1193" i="2"/>
  <c r="G1193" i="2"/>
  <c r="Y1192" i="2"/>
  <c r="X1192" i="2"/>
  <c r="W1192" i="2"/>
  <c r="V1192" i="2"/>
  <c r="O1192" i="2"/>
  <c r="G1192" i="2"/>
  <c r="Y1191" i="2"/>
  <c r="X1191" i="2"/>
  <c r="W1191" i="2"/>
  <c r="V1191" i="2"/>
  <c r="O1191" i="2"/>
  <c r="G1191" i="2"/>
  <c r="Y1190" i="2"/>
  <c r="X1190" i="2"/>
  <c r="W1190" i="2"/>
  <c r="V1190" i="2"/>
  <c r="O1190" i="2"/>
  <c r="G1190" i="2"/>
  <c r="Y1189" i="2"/>
  <c r="X1189" i="2"/>
  <c r="W1189" i="2"/>
  <c r="V1189" i="2"/>
  <c r="O1189" i="2"/>
  <c r="G1189" i="2"/>
  <c r="Y1188" i="2"/>
  <c r="X1188" i="2"/>
  <c r="W1188" i="2"/>
  <c r="V1188" i="2"/>
  <c r="O1188" i="2"/>
  <c r="G1188" i="2"/>
  <c r="Y1187" i="2"/>
  <c r="X1187" i="2"/>
  <c r="W1187" i="2"/>
  <c r="V1187" i="2"/>
  <c r="O1187" i="2"/>
  <c r="G1187" i="2"/>
  <c r="Y1186" i="2"/>
  <c r="X1186" i="2"/>
  <c r="W1186" i="2"/>
  <c r="V1186" i="2"/>
  <c r="O1186" i="2"/>
  <c r="G1186" i="2"/>
  <c r="Y1185" i="2"/>
  <c r="X1185" i="2"/>
  <c r="W1185" i="2"/>
  <c r="V1185" i="2"/>
  <c r="O1185" i="2"/>
  <c r="G1185" i="2"/>
  <c r="Y1184" i="2"/>
  <c r="X1184" i="2"/>
  <c r="W1184" i="2"/>
  <c r="V1184" i="2"/>
  <c r="O1184" i="2"/>
  <c r="G1184" i="2"/>
  <c r="Y1183" i="2"/>
  <c r="X1183" i="2"/>
  <c r="W1183" i="2"/>
  <c r="V1183" i="2"/>
  <c r="O1183" i="2"/>
  <c r="G1183" i="2"/>
  <c r="Y1182" i="2"/>
  <c r="X1182" i="2"/>
  <c r="W1182" i="2"/>
  <c r="V1182" i="2"/>
  <c r="O1182" i="2"/>
  <c r="G1182" i="2"/>
  <c r="Y1181" i="2"/>
  <c r="X1181" i="2"/>
  <c r="W1181" i="2"/>
  <c r="V1181" i="2"/>
  <c r="O1181" i="2"/>
  <c r="G1181" i="2"/>
  <c r="Y1180" i="2"/>
  <c r="X1180" i="2"/>
  <c r="W1180" i="2"/>
  <c r="V1180" i="2"/>
  <c r="O1180" i="2"/>
  <c r="G1180" i="2"/>
  <c r="Y1179" i="2"/>
  <c r="X1179" i="2"/>
  <c r="W1179" i="2"/>
  <c r="V1179" i="2"/>
  <c r="O1179" i="2"/>
  <c r="G1179" i="2"/>
  <c r="Y1178" i="2"/>
  <c r="X1178" i="2"/>
  <c r="W1178" i="2"/>
  <c r="V1178" i="2"/>
  <c r="O1178" i="2"/>
  <c r="G1178" i="2"/>
  <c r="Y1177" i="2"/>
  <c r="X1177" i="2"/>
  <c r="W1177" i="2"/>
  <c r="V1177" i="2"/>
  <c r="O1177" i="2"/>
  <c r="G1177" i="2"/>
  <c r="Y1176" i="2"/>
  <c r="X1176" i="2"/>
  <c r="W1176" i="2"/>
  <c r="V1176" i="2"/>
  <c r="O1176" i="2"/>
  <c r="G1176" i="2"/>
  <c r="Y1175" i="2"/>
  <c r="X1175" i="2"/>
  <c r="W1175" i="2"/>
  <c r="V1175" i="2"/>
  <c r="O1175" i="2"/>
  <c r="G1175" i="2"/>
  <c r="Y1174" i="2"/>
  <c r="X1174" i="2"/>
  <c r="W1174" i="2"/>
  <c r="V1174" i="2"/>
  <c r="O1174" i="2"/>
  <c r="G1174" i="2"/>
  <c r="Y1173" i="2"/>
  <c r="X1173" i="2"/>
  <c r="W1173" i="2"/>
  <c r="V1173" i="2"/>
  <c r="O1173" i="2"/>
  <c r="G1173" i="2"/>
  <c r="Y1172" i="2"/>
  <c r="X1172" i="2"/>
  <c r="W1172" i="2"/>
  <c r="V1172" i="2"/>
  <c r="O1172" i="2"/>
  <c r="G1172" i="2"/>
  <c r="Y1171" i="2"/>
  <c r="X1171" i="2"/>
  <c r="W1171" i="2"/>
  <c r="V1171" i="2"/>
  <c r="O1171" i="2"/>
  <c r="G1171" i="2"/>
  <c r="Y1170" i="2"/>
  <c r="X1170" i="2"/>
  <c r="W1170" i="2"/>
  <c r="V1170" i="2"/>
  <c r="O1170" i="2"/>
  <c r="G1170" i="2"/>
  <c r="Y1169" i="2"/>
  <c r="X1169" i="2"/>
  <c r="W1169" i="2"/>
  <c r="V1169" i="2"/>
  <c r="O1169" i="2"/>
  <c r="G1169" i="2"/>
  <c r="Y1168" i="2"/>
  <c r="X1168" i="2"/>
  <c r="W1168" i="2"/>
  <c r="V1168" i="2"/>
  <c r="O1168" i="2"/>
  <c r="G1168" i="2"/>
  <c r="Y1167" i="2"/>
  <c r="X1167" i="2"/>
  <c r="W1167" i="2"/>
  <c r="V1167" i="2"/>
  <c r="O1167" i="2"/>
  <c r="G1167" i="2"/>
  <c r="Y1166" i="2"/>
  <c r="X1166" i="2"/>
  <c r="W1166" i="2"/>
  <c r="V1166" i="2"/>
  <c r="O1166" i="2"/>
  <c r="G1166" i="2"/>
  <c r="Y1165" i="2"/>
  <c r="X1165" i="2"/>
  <c r="W1165" i="2"/>
  <c r="V1165" i="2"/>
  <c r="O1165" i="2"/>
  <c r="G1165" i="2"/>
  <c r="Y1164" i="2"/>
  <c r="X1164" i="2"/>
  <c r="W1164" i="2"/>
  <c r="V1164" i="2"/>
  <c r="O1164" i="2"/>
  <c r="G1164" i="2"/>
  <c r="Y1163" i="2"/>
  <c r="X1163" i="2"/>
  <c r="W1163" i="2"/>
  <c r="V1163" i="2"/>
  <c r="O1163" i="2"/>
  <c r="G1163" i="2"/>
  <c r="Y1162" i="2"/>
  <c r="X1162" i="2"/>
  <c r="W1162" i="2"/>
  <c r="V1162" i="2"/>
  <c r="O1162" i="2"/>
  <c r="G1162" i="2"/>
  <c r="Y1161" i="2"/>
  <c r="X1161" i="2"/>
  <c r="W1161" i="2"/>
  <c r="V1161" i="2"/>
  <c r="O1161" i="2"/>
  <c r="G1161" i="2"/>
  <c r="Y1160" i="2"/>
  <c r="X1160" i="2"/>
  <c r="W1160" i="2"/>
  <c r="V1160" i="2"/>
  <c r="O1160" i="2"/>
  <c r="G1160" i="2"/>
  <c r="Y1159" i="2"/>
  <c r="X1159" i="2"/>
  <c r="W1159" i="2"/>
  <c r="V1159" i="2"/>
  <c r="O1159" i="2"/>
  <c r="G1159" i="2"/>
  <c r="Y1158" i="2"/>
  <c r="X1158" i="2"/>
  <c r="W1158" i="2"/>
  <c r="V1158" i="2"/>
  <c r="O1158" i="2"/>
  <c r="G1158" i="2"/>
  <c r="Y1157" i="2"/>
  <c r="X1157" i="2"/>
  <c r="W1157" i="2"/>
  <c r="V1157" i="2"/>
  <c r="O1157" i="2"/>
  <c r="G1157" i="2"/>
  <c r="Y1156" i="2"/>
  <c r="X1156" i="2"/>
  <c r="W1156" i="2"/>
  <c r="V1156" i="2"/>
  <c r="O1156" i="2"/>
  <c r="G1156" i="2"/>
  <c r="Y1155" i="2"/>
  <c r="X1155" i="2"/>
  <c r="W1155" i="2"/>
  <c r="V1155" i="2"/>
  <c r="O1155" i="2"/>
  <c r="G1155" i="2"/>
  <c r="Y1154" i="2"/>
  <c r="X1154" i="2"/>
  <c r="W1154" i="2"/>
  <c r="V1154" i="2"/>
  <c r="O1154" i="2"/>
  <c r="G1154" i="2"/>
  <c r="Y1153" i="2"/>
  <c r="X1153" i="2"/>
  <c r="W1153" i="2"/>
  <c r="V1153" i="2"/>
  <c r="O1153" i="2"/>
  <c r="G1153" i="2"/>
  <c r="Y1152" i="2"/>
  <c r="X1152" i="2"/>
  <c r="W1152" i="2"/>
  <c r="V1152" i="2"/>
  <c r="O1152" i="2"/>
  <c r="G1152" i="2"/>
  <c r="Y1151" i="2"/>
  <c r="X1151" i="2"/>
  <c r="W1151" i="2"/>
  <c r="V1151" i="2"/>
  <c r="O1151" i="2"/>
  <c r="G1151" i="2"/>
  <c r="Y1150" i="2"/>
  <c r="X1150" i="2"/>
  <c r="W1150" i="2"/>
  <c r="V1150" i="2"/>
  <c r="O1150" i="2"/>
  <c r="G1150" i="2"/>
  <c r="Y1149" i="2"/>
  <c r="X1149" i="2"/>
  <c r="W1149" i="2"/>
  <c r="V1149" i="2"/>
  <c r="O1149" i="2"/>
  <c r="G1149" i="2"/>
  <c r="Y1148" i="2"/>
  <c r="X1148" i="2"/>
  <c r="W1148" i="2"/>
  <c r="V1148" i="2"/>
  <c r="O1148" i="2"/>
  <c r="G1148" i="2"/>
  <c r="Y1147" i="2"/>
  <c r="X1147" i="2"/>
  <c r="W1147" i="2"/>
  <c r="V1147" i="2"/>
  <c r="O1147" i="2"/>
  <c r="G1147" i="2"/>
  <c r="Y1146" i="2"/>
  <c r="X1146" i="2"/>
  <c r="W1146" i="2"/>
  <c r="V1146" i="2"/>
  <c r="O1146" i="2"/>
  <c r="G1146" i="2"/>
  <c r="Y1145" i="2"/>
  <c r="X1145" i="2"/>
  <c r="W1145" i="2"/>
  <c r="V1145" i="2"/>
  <c r="O1145" i="2"/>
  <c r="G1145" i="2"/>
  <c r="Y1144" i="2"/>
  <c r="X1144" i="2"/>
  <c r="W1144" i="2"/>
  <c r="V1144" i="2"/>
  <c r="O1144" i="2"/>
  <c r="G1144" i="2"/>
  <c r="Y1143" i="2"/>
  <c r="X1143" i="2"/>
  <c r="W1143" i="2"/>
  <c r="V1143" i="2"/>
  <c r="O1143" i="2"/>
  <c r="G1143" i="2"/>
  <c r="Y1142" i="2"/>
  <c r="X1142" i="2"/>
  <c r="W1142" i="2"/>
  <c r="V1142" i="2"/>
  <c r="O1142" i="2"/>
  <c r="G1142" i="2"/>
  <c r="Y1141" i="2"/>
  <c r="X1141" i="2"/>
  <c r="W1141" i="2"/>
  <c r="V1141" i="2"/>
  <c r="O1141" i="2"/>
  <c r="G1141" i="2"/>
  <c r="Y1140" i="2"/>
  <c r="X1140" i="2"/>
  <c r="W1140" i="2"/>
  <c r="V1140" i="2"/>
  <c r="O1140" i="2"/>
  <c r="G1140" i="2"/>
  <c r="Y1139" i="2"/>
  <c r="X1139" i="2"/>
  <c r="W1139" i="2"/>
  <c r="V1139" i="2"/>
  <c r="O1139" i="2"/>
  <c r="G1139" i="2"/>
  <c r="Y1138" i="2"/>
  <c r="X1138" i="2"/>
  <c r="W1138" i="2"/>
  <c r="V1138" i="2"/>
  <c r="O1138" i="2"/>
  <c r="G1138" i="2"/>
  <c r="Y1137" i="2"/>
  <c r="X1137" i="2"/>
  <c r="W1137" i="2"/>
  <c r="V1137" i="2"/>
  <c r="O1137" i="2"/>
  <c r="G1137" i="2"/>
  <c r="Y1136" i="2"/>
  <c r="X1136" i="2"/>
  <c r="W1136" i="2"/>
  <c r="V1136" i="2"/>
  <c r="O1136" i="2"/>
  <c r="G1136" i="2"/>
  <c r="Y1135" i="2"/>
  <c r="X1135" i="2"/>
  <c r="W1135" i="2"/>
  <c r="V1135" i="2"/>
  <c r="O1135" i="2"/>
  <c r="G1135" i="2"/>
  <c r="Y1134" i="2"/>
  <c r="X1134" i="2"/>
  <c r="W1134" i="2"/>
  <c r="V1134" i="2"/>
  <c r="O1134" i="2"/>
  <c r="G1134" i="2"/>
  <c r="Y1133" i="2"/>
  <c r="X1133" i="2"/>
  <c r="W1133" i="2"/>
  <c r="V1133" i="2"/>
  <c r="O1133" i="2"/>
  <c r="G1133" i="2"/>
  <c r="Y1132" i="2"/>
  <c r="X1132" i="2"/>
  <c r="W1132" i="2"/>
  <c r="V1132" i="2"/>
  <c r="O1132" i="2"/>
  <c r="G1132" i="2"/>
  <c r="Y1131" i="2"/>
  <c r="X1131" i="2"/>
  <c r="W1131" i="2"/>
  <c r="V1131" i="2"/>
  <c r="O1131" i="2"/>
  <c r="G1131" i="2"/>
  <c r="Y1130" i="2"/>
  <c r="X1130" i="2"/>
  <c r="W1130" i="2"/>
  <c r="V1130" i="2"/>
  <c r="O1130" i="2"/>
  <c r="G1130" i="2"/>
  <c r="Y1129" i="2"/>
  <c r="X1129" i="2"/>
  <c r="W1129" i="2"/>
  <c r="V1129" i="2"/>
  <c r="O1129" i="2"/>
  <c r="G1129" i="2"/>
  <c r="Y1128" i="2"/>
  <c r="X1128" i="2"/>
  <c r="W1128" i="2"/>
  <c r="V1128" i="2"/>
  <c r="O1128" i="2"/>
  <c r="G1128" i="2"/>
  <c r="Y1127" i="2"/>
  <c r="X1127" i="2"/>
  <c r="W1127" i="2"/>
  <c r="V1127" i="2"/>
  <c r="O1127" i="2"/>
  <c r="G1127" i="2"/>
  <c r="Y1126" i="2"/>
  <c r="X1126" i="2"/>
  <c r="W1126" i="2"/>
  <c r="V1126" i="2"/>
  <c r="O1126" i="2"/>
  <c r="G1126" i="2"/>
  <c r="Y1125" i="2"/>
  <c r="X1125" i="2"/>
  <c r="W1125" i="2"/>
  <c r="V1125" i="2"/>
  <c r="O1125" i="2"/>
  <c r="G1125" i="2"/>
  <c r="Y1124" i="2"/>
  <c r="X1124" i="2"/>
  <c r="W1124" i="2"/>
  <c r="V1124" i="2"/>
  <c r="O1124" i="2"/>
  <c r="G1124" i="2"/>
  <c r="Y1123" i="2"/>
  <c r="X1123" i="2"/>
  <c r="W1123" i="2"/>
  <c r="V1123" i="2"/>
  <c r="O1123" i="2"/>
  <c r="G1123" i="2"/>
  <c r="Y1122" i="2"/>
  <c r="X1122" i="2"/>
  <c r="W1122" i="2"/>
  <c r="V1122" i="2"/>
  <c r="O1122" i="2"/>
  <c r="G1122" i="2"/>
  <c r="Y1121" i="2"/>
  <c r="X1121" i="2"/>
  <c r="W1121" i="2"/>
  <c r="V1121" i="2"/>
  <c r="O1121" i="2"/>
  <c r="G1121" i="2"/>
  <c r="Y1120" i="2"/>
  <c r="X1120" i="2"/>
  <c r="W1120" i="2"/>
  <c r="V1120" i="2"/>
  <c r="O1120" i="2"/>
  <c r="G1120" i="2"/>
  <c r="Y1119" i="2"/>
  <c r="X1119" i="2"/>
  <c r="W1119" i="2"/>
  <c r="V1119" i="2"/>
  <c r="O1119" i="2"/>
  <c r="G1119" i="2"/>
  <c r="Y1118" i="2"/>
  <c r="X1118" i="2"/>
  <c r="W1118" i="2"/>
  <c r="V1118" i="2"/>
  <c r="O1118" i="2"/>
  <c r="G1118" i="2"/>
  <c r="Y1117" i="2"/>
  <c r="X1117" i="2"/>
  <c r="W1117" i="2"/>
  <c r="V1117" i="2"/>
  <c r="O1117" i="2"/>
  <c r="G1117" i="2"/>
  <c r="Y1116" i="2"/>
  <c r="X1116" i="2"/>
  <c r="W1116" i="2"/>
  <c r="V1116" i="2"/>
  <c r="O1116" i="2"/>
  <c r="G1116" i="2"/>
  <c r="Y1115" i="2"/>
  <c r="X1115" i="2"/>
  <c r="W1115" i="2"/>
  <c r="V1115" i="2"/>
  <c r="O1115" i="2"/>
  <c r="G1115" i="2"/>
  <c r="Y1114" i="2"/>
  <c r="X1114" i="2"/>
  <c r="W1114" i="2"/>
  <c r="V1114" i="2"/>
  <c r="O1114" i="2"/>
  <c r="G1114" i="2"/>
  <c r="Y1113" i="2"/>
  <c r="X1113" i="2"/>
  <c r="W1113" i="2"/>
  <c r="V1113" i="2"/>
  <c r="O1113" i="2"/>
  <c r="G1113" i="2"/>
  <c r="Y1112" i="2"/>
  <c r="X1112" i="2"/>
  <c r="W1112" i="2"/>
  <c r="V1112" i="2"/>
  <c r="O1112" i="2"/>
  <c r="G1112" i="2"/>
  <c r="Y1111" i="2"/>
  <c r="X1111" i="2"/>
  <c r="W1111" i="2"/>
  <c r="V1111" i="2"/>
  <c r="O1111" i="2"/>
  <c r="G1111" i="2"/>
  <c r="Y1110" i="2"/>
  <c r="X1110" i="2"/>
  <c r="W1110" i="2"/>
  <c r="V1110" i="2"/>
  <c r="O1110" i="2"/>
  <c r="G1110" i="2"/>
  <c r="Y1109" i="2"/>
  <c r="X1109" i="2"/>
  <c r="W1109" i="2"/>
  <c r="V1109" i="2"/>
  <c r="O1109" i="2"/>
  <c r="G1109" i="2"/>
  <c r="Y1108" i="2"/>
  <c r="X1108" i="2"/>
  <c r="W1108" i="2"/>
  <c r="V1108" i="2"/>
  <c r="O1108" i="2"/>
  <c r="G1108" i="2"/>
  <c r="Y1107" i="2"/>
  <c r="X1107" i="2"/>
  <c r="W1107" i="2"/>
  <c r="V1107" i="2"/>
  <c r="O1107" i="2"/>
  <c r="G1107" i="2"/>
  <c r="Y1106" i="2"/>
  <c r="X1106" i="2"/>
  <c r="W1106" i="2"/>
  <c r="V1106" i="2"/>
  <c r="O1106" i="2"/>
  <c r="G1106" i="2"/>
  <c r="Y1105" i="2"/>
  <c r="X1105" i="2"/>
  <c r="W1105" i="2"/>
  <c r="V1105" i="2"/>
  <c r="O1105" i="2"/>
  <c r="G1105" i="2"/>
  <c r="Y1104" i="2"/>
  <c r="X1104" i="2"/>
  <c r="W1104" i="2"/>
  <c r="V1104" i="2"/>
  <c r="O1104" i="2"/>
  <c r="G1104" i="2"/>
  <c r="Y1103" i="2"/>
  <c r="X1103" i="2"/>
  <c r="W1103" i="2"/>
  <c r="V1103" i="2"/>
  <c r="O1103" i="2"/>
  <c r="G1103" i="2"/>
  <c r="Y1102" i="2"/>
  <c r="X1102" i="2"/>
  <c r="W1102" i="2"/>
  <c r="V1102" i="2"/>
  <c r="O1102" i="2"/>
  <c r="G1102" i="2"/>
  <c r="Y1101" i="2"/>
  <c r="X1101" i="2"/>
  <c r="W1101" i="2"/>
  <c r="V1101" i="2"/>
  <c r="O1101" i="2"/>
  <c r="G1101" i="2"/>
  <c r="Y1100" i="2"/>
  <c r="X1100" i="2"/>
  <c r="W1100" i="2"/>
  <c r="V1100" i="2"/>
  <c r="O1100" i="2"/>
  <c r="G1100" i="2"/>
  <c r="Y1099" i="2"/>
  <c r="X1099" i="2"/>
  <c r="W1099" i="2"/>
  <c r="V1099" i="2"/>
  <c r="O1099" i="2"/>
  <c r="G1099" i="2"/>
  <c r="Y1098" i="2"/>
  <c r="X1098" i="2"/>
  <c r="W1098" i="2"/>
  <c r="V1098" i="2"/>
  <c r="O1098" i="2"/>
  <c r="G1098" i="2"/>
  <c r="Y1097" i="2"/>
  <c r="X1097" i="2"/>
  <c r="W1097" i="2"/>
  <c r="V1097" i="2"/>
  <c r="O1097" i="2"/>
  <c r="G1097" i="2"/>
  <c r="Y1096" i="2"/>
  <c r="X1096" i="2"/>
  <c r="W1096" i="2"/>
  <c r="V1096" i="2"/>
  <c r="O1096" i="2"/>
  <c r="G1096" i="2"/>
  <c r="Y1095" i="2"/>
  <c r="X1095" i="2"/>
  <c r="W1095" i="2"/>
  <c r="V1095" i="2"/>
  <c r="O1095" i="2"/>
  <c r="G1095" i="2"/>
  <c r="Y1094" i="2"/>
  <c r="X1094" i="2"/>
  <c r="W1094" i="2"/>
  <c r="V1094" i="2"/>
  <c r="O1094" i="2"/>
  <c r="G1094" i="2"/>
  <c r="Y1093" i="2"/>
  <c r="X1093" i="2"/>
  <c r="W1093" i="2"/>
  <c r="V1093" i="2"/>
  <c r="O1093" i="2"/>
  <c r="G1093" i="2"/>
  <c r="Y1092" i="2"/>
  <c r="X1092" i="2"/>
  <c r="W1092" i="2"/>
  <c r="V1092" i="2"/>
  <c r="O1092" i="2"/>
  <c r="G1092" i="2"/>
  <c r="Y1091" i="2"/>
  <c r="X1091" i="2"/>
  <c r="W1091" i="2"/>
  <c r="V1091" i="2"/>
  <c r="O1091" i="2"/>
  <c r="G1091" i="2"/>
  <c r="Y1090" i="2"/>
  <c r="X1090" i="2"/>
  <c r="W1090" i="2"/>
  <c r="V1090" i="2"/>
  <c r="O1090" i="2"/>
  <c r="G1090" i="2"/>
  <c r="Y1089" i="2"/>
  <c r="X1089" i="2"/>
  <c r="W1089" i="2"/>
  <c r="V1089" i="2"/>
  <c r="O1089" i="2"/>
  <c r="G1089" i="2"/>
  <c r="Y1088" i="2"/>
  <c r="X1088" i="2"/>
  <c r="W1088" i="2"/>
  <c r="V1088" i="2"/>
  <c r="O1088" i="2"/>
  <c r="G1088" i="2"/>
  <c r="Y1087" i="2"/>
  <c r="X1087" i="2"/>
  <c r="W1087" i="2"/>
  <c r="V1087" i="2"/>
  <c r="O1087" i="2"/>
  <c r="G1087" i="2"/>
  <c r="Y1086" i="2"/>
  <c r="X1086" i="2"/>
  <c r="W1086" i="2"/>
  <c r="V1086" i="2"/>
  <c r="O1086" i="2"/>
  <c r="G1086" i="2"/>
  <c r="Y1085" i="2"/>
  <c r="X1085" i="2"/>
  <c r="W1085" i="2"/>
  <c r="V1085" i="2"/>
  <c r="O1085" i="2"/>
  <c r="G1085" i="2"/>
  <c r="Y1084" i="2"/>
  <c r="X1084" i="2"/>
  <c r="W1084" i="2"/>
  <c r="V1084" i="2"/>
  <c r="O1084" i="2"/>
  <c r="G1084" i="2"/>
  <c r="Y1083" i="2"/>
  <c r="X1083" i="2"/>
  <c r="W1083" i="2"/>
  <c r="V1083" i="2"/>
  <c r="O1083" i="2"/>
  <c r="G1083" i="2"/>
  <c r="Y1082" i="2"/>
  <c r="X1082" i="2"/>
  <c r="W1082" i="2"/>
  <c r="V1082" i="2"/>
  <c r="O1082" i="2"/>
  <c r="G1082" i="2"/>
  <c r="Y1081" i="2"/>
  <c r="X1081" i="2"/>
  <c r="W1081" i="2"/>
  <c r="V1081" i="2"/>
  <c r="O1081" i="2"/>
  <c r="G1081" i="2"/>
  <c r="Y1080" i="2"/>
  <c r="X1080" i="2"/>
  <c r="W1080" i="2"/>
  <c r="V1080" i="2"/>
  <c r="O1080" i="2"/>
  <c r="G1080" i="2"/>
  <c r="Y1079" i="2"/>
  <c r="X1079" i="2"/>
  <c r="W1079" i="2"/>
  <c r="V1079" i="2"/>
  <c r="O1079" i="2"/>
  <c r="G1079" i="2"/>
  <c r="Y1078" i="2"/>
  <c r="X1078" i="2"/>
  <c r="W1078" i="2"/>
  <c r="V1078" i="2"/>
  <c r="O1078" i="2"/>
  <c r="G1078" i="2"/>
  <c r="Y1077" i="2"/>
  <c r="X1077" i="2"/>
  <c r="W1077" i="2"/>
  <c r="V1077" i="2"/>
  <c r="O1077" i="2"/>
  <c r="G1077" i="2"/>
  <c r="Y1076" i="2"/>
  <c r="X1076" i="2"/>
  <c r="W1076" i="2"/>
  <c r="V1076" i="2"/>
  <c r="O1076" i="2"/>
  <c r="G1076" i="2"/>
  <c r="Y1075" i="2"/>
  <c r="X1075" i="2"/>
  <c r="W1075" i="2"/>
  <c r="V1075" i="2"/>
  <c r="O1075" i="2"/>
  <c r="G1075" i="2"/>
  <c r="Y1074" i="2"/>
  <c r="X1074" i="2"/>
  <c r="W1074" i="2"/>
  <c r="V1074" i="2"/>
  <c r="O1074" i="2"/>
  <c r="G1074" i="2"/>
  <c r="Y1073" i="2"/>
  <c r="X1073" i="2"/>
  <c r="W1073" i="2"/>
  <c r="V1073" i="2"/>
  <c r="O1073" i="2"/>
  <c r="G1073" i="2"/>
  <c r="Y1072" i="2"/>
  <c r="X1072" i="2"/>
  <c r="W1072" i="2"/>
  <c r="V1072" i="2"/>
  <c r="O1072" i="2"/>
  <c r="G1072" i="2"/>
  <c r="Y1071" i="2"/>
  <c r="X1071" i="2"/>
  <c r="W1071" i="2"/>
  <c r="V1071" i="2"/>
  <c r="O1071" i="2"/>
  <c r="G1071" i="2"/>
  <c r="Y1070" i="2"/>
  <c r="X1070" i="2"/>
  <c r="W1070" i="2"/>
  <c r="V1070" i="2"/>
  <c r="O1070" i="2"/>
  <c r="G1070" i="2"/>
  <c r="Y1069" i="2"/>
  <c r="X1069" i="2"/>
  <c r="W1069" i="2"/>
  <c r="V1069" i="2"/>
  <c r="O1069" i="2"/>
  <c r="G1069" i="2"/>
  <c r="Y1068" i="2"/>
  <c r="X1068" i="2"/>
  <c r="W1068" i="2"/>
  <c r="V1068" i="2"/>
  <c r="O1068" i="2"/>
  <c r="G1068" i="2"/>
  <c r="Y1067" i="2"/>
  <c r="X1067" i="2"/>
  <c r="W1067" i="2"/>
  <c r="V1067" i="2"/>
  <c r="O1067" i="2"/>
  <c r="G1067" i="2"/>
  <c r="Y1066" i="2"/>
  <c r="X1066" i="2"/>
  <c r="W1066" i="2"/>
  <c r="V1066" i="2"/>
  <c r="O1066" i="2"/>
  <c r="G1066" i="2"/>
  <c r="Y1065" i="2"/>
  <c r="X1065" i="2"/>
  <c r="W1065" i="2"/>
  <c r="V1065" i="2"/>
  <c r="O1065" i="2"/>
  <c r="G1065" i="2"/>
  <c r="Y1064" i="2"/>
  <c r="X1064" i="2"/>
  <c r="W1064" i="2"/>
  <c r="V1064" i="2"/>
  <c r="O1064" i="2"/>
  <c r="G1064" i="2"/>
  <c r="Y1063" i="2"/>
  <c r="X1063" i="2"/>
  <c r="W1063" i="2"/>
  <c r="V1063" i="2"/>
  <c r="O1063" i="2"/>
  <c r="G1063" i="2"/>
  <c r="Y1062" i="2"/>
  <c r="X1062" i="2"/>
  <c r="W1062" i="2"/>
  <c r="V1062" i="2"/>
  <c r="O1062" i="2"/>
  <c r="G1062" i="2"/>
  <c r="Y1061" i="2"/>
  <c r="X1061" i="2"/>
  <c r="W1061" i="2"/>
  <c r="V1061" i="2"/>
  <c r="O1061" i="2"/>
  <c r="G1061" i="2"/>
  <c r="Y1060" i="2"/>
  <c r="X1060" i="2"/>
  <c r="W1060" i="2"/>
  <c r="V1060" i="2"/>
  <c r="O1060" i="2"/>
  <c r="G1060" i="2"/>
  <c r="Y1059" i="2"/>
  <c r="X1059" i="2"/>
  <c r="W1059" i="2"/>
  <c r="V1059" i="2"/>
  <c r="O1059" i="2"/>
  <c r="G1059" i="2"/>
  <c r="Y1058" i="2"/>
  <c r="X1058" i="2"/>
  <c r="W1058" i="2"/>
  <c r="V1058" i="2"/>
  <c r="O1058" i="2"/>
  <c r="G1058" i="2"/>
  <c r="Y1057" i="2"/>
  <c r="X1057" i="2"/>
  <c r="W1057" i="2"/>
  <c r="V1057" i="2"/>
  <c r="O1057" i="2"/>
  <c r="G1057" i="2"/>
  <c r="Y1056" i="2"/>
  <c r="X1056" i="2"/>
  <c r="W1056" i="2"/>
  <c r="V1056" i="2"/>
  <c r="O1056" i="2"/>
  <c r="G1056" i="2"/>
  <c r="Y1055" i="2"/>
  <c r="X1055" i="2"/>
  <c r="W1055" i="2"/>
  <c r="V1055" i="2"/>
  <c r="O1055" i="2"/>
  <c r="G1055" i="2"/>
  <c r="Y1054" i="2"/>
  <c r="X1054" i="2"/>
  <c r="W1054" i="2"/>
  <c r="V1054" i="2"/>
  <c r="O1054" i="2"/>
  <c r="G1054" i="2"/>
  <c r="Y1053" i="2"/>
  <c r="X1053" i="2"/>
  <c r="W1053" i="2"/>
  <c r="V1053" i="2"/>
  <c r="O1053" i="2"/>
  <c r="G1053" i="2"/>
  <c r="Y1052" i="2"/>
  <c r="X1052" i="2"/>
  <c r="W1052" i="2"/>
  <c r="V1052" i="2"/>
  <c r="O1052" i="2"/>
  <c r="G1052" i="2"/>
  <c r="Y1051" i="2"/>
  <c r="X1051" i="2"/>
  <c r="W1051" i="2"/>
  <c r="V1051" i="2"/>
  <c r="O1051" i="2"/>
  <c r="G1051" i="2"/>
  <c r="Y1050" i="2"/>
  <c r="X1050" i="2"/>
  <c r="W1050" i="2"/>
  <c r="V1050" i="2"/>
  <c r="O1050" i="2"/>
  <c r="G1050" i="2"/>
  <c r="Y1049" i="2"/>
  <c r="X1049" i="2"/>
  <c r="W1049" i="2"/>
  <c r="V1049" i="2"/>
  <c r="O1049" i="2"/>
  <c r="G1049" i="2"/>
  <c r="Y1048" i="2"/>
  <c r="X1048" i="2"/>
  <c r="W1048" i="2"/>
  <c r="V1048" i="2"/>
  <c r="O1048" i="2"/>
  <c r="G1048" i="2"/>
  <c r="Y1047" i="2"/>
  <c r="X1047" i="2"/>
  <c r="W1047" i="2"/>
  <c r="V1047" i="2"/>
  <c r="O1047" i="2"/>
  <c r="G1047" i="2"/>
  <c r="Y1046" i="2"/>
  <c r="X1046" i="2"/>
  <c r="W1046" i="2"/>
  <c r="V1046" i="2"/>
  <c r="O1046" i="2"/>
  <c r="G1046" i="2"/>
  <c r="Y1045" i="2"/>
  <c r="X1045" i="2"/>
  <c r="W1045" i="2"/>
  <c r="V1045" i="2"/>
  <c r="O1045" i="2"/>
  <c r="G1045" i="2"/>
  <c r="Y1044" i="2"/>
  <c r="X1044" i="2"/>
  <c r="W1044" i="2"/>
  <c r="V1044" i="2"/>
  <c r="O1044" i="2"/>
  <c r="G1044" i="2"/>
  <c r="Y1043" i="2"/>
  <c r="X1043" i="2"/>
  <c r="W1043" i="2"/>
  <c r="V1043" i="2"/>
  <c r="O1043" i="2"/>
  <c r="G1043" i="2"/>
  <c r="Y1042" i="2"/>
  <c r="X1042" i="2"/>
  <c r="W1042" i="2"/>
  <c r="V1042" i="2"/>
  <c r="O1042" i="2"/>
  <c r="G1042" i="2"/>
  <c r="Y1041" i="2"/>
  <c r="X1041" i="2"/>
  <c r="W1041" i="2"/>
  <c r="V1041" i="2"/>
  <c r="O1041" i="2"/>
  <c r="G1041" i="2"/>
  <c r="Y1040" i="2"/>
  <c r="X1040" i="2"/>
  <c r="W1040" i="2"/>
  <c r="V1040" i="2"/>
  <c r="O1040" i="2"/>
  <c r="G1040" i="2"/>
  <c r="Y1039" i="2"/>
  <c r="X1039" i="2"/>
  <c r="W1039" i="2"/>
  <c r="V1039" i="2"/>
  <c r="O1039" i="2"/>
  <c r="G1039" i="2"/>
  <c r="Y1038" i="2"/>
  <c r="X1038" i="2"/>
  <c r="W1038" i="2"/>
  <c r="V1038" i="2"/>
  <c r="O1038" i="2"/>
  <c r="G1038" i="2"/>
  <c r="Y1037" i="2"/>
  <c r="X1037" i="2"/>
  <c r="W1037" i="2"/>
  <c r="V1037" i="2"/>
  <c r="O1037" i="2"/>
  <c r="G1037" i="2"/>
  <c r="Y1036" i="2"/>
  <c r="X1036" i="2"/>
  <c r="W1036" i="2"/>
  <c r="V1036" i="2"/>
  <c r="O1036" i="2"/>
  <c r="G1036" i="2"/>
  <c r="Y1035" i="2"/>
  <c r="X1035" i="2"/>
  <c r="W1035" i="2"/>
  <c r="V1035" i="2"/>
  <c r="O1035" i="2"/>
  <c r="G1035" i="2"/>
  <c r="Y1034" i="2"/>
  <c r="X1034" i="2"/>
  <c r="W1034" i="2"/>
  <c r="V1034" i="2"/>
  <c r="O1034" i="2"/>
  <c r="G1034" i="2"/>
  <c r="Y1033" i="2"/>
  <c r="X1033" i="2"/>
  <c r="W1033" i="2"/>
  <c r="V1033" i="2"/>
  <c r="O1033" i="2"/>
  <c r="G1033" i="2"/>
  <c r="Y1032" i="2"/>
  <c r="X1032" i="2"/>
  <c r="W1032" i="2"/>
  <c r="V1032" i="2"/>
  <c r="O1032" i="2"/>
  <c r="G1032" i="2"/>
  <c r="Y1031" i="2"/>
  <c r="X1031" i="2"/>
  <c r="W1031" i="2"/>
  <c r="V1031" i="2"/>
  <c r="O1031" i="2"/>
  <c r="G1031" i="2"/>
  <c r="Y1030" i="2"/>
  <c r="X1030" i="2"/>
  <c r="W1030" i="2"/>
  <c r="V1030" i="2"/>
  <c r="O1030" i="2"/>
  <c r="G1030" i="2"/>
  <c r="Y1029" i="2"/>
  <c r="X1029" i="2"/>
  <c r="W1029" i="2"/>
  <c r="V1029" i="2"/>
  <c r="O1029" i="2"/>
  <c r="G1029" i="2"/>
  <c r="Y1028" i="2"/>
  <c r="X1028" i="2"/>
  <c r="W1028" i="2"/>
  <c r="V1028" i="2"/>
  <c r="O1028" i="2"/>
  <c r="G1028" i="2"/>
  <c r="Y1027" i="2"/>
  <c r="X1027" i="2"/>
  <c r="W1027" i="2"/>
  <c r="V1027" i="2"/>
  <c r="O1027" i="2"/>
  <c r="G1027" i="2"/>
  <c r="Y1026" i="2"/>
  <c r="X1026" i="2"/>
  <c r="W1026" i="2"/>
  <c r="V1026" i="2"/>
  <c r="O1026" i="2"/>
  <c r="G1026" i="2"/>
  <c r="Y1025" i="2"/>
  <c r="X1025" i="2"/>
  <c r="W1025" i="2"/>
  <c r="V1025" i="2"/>
  <c r="O1025" i="2"/>
  <c r="G1025" i="2"/>
  <c r="Y1024" i="2"/>
  <c r="X1024" i="2"/>
  <c r="W1024" i="2"/>
  <c r="V1024" i="2"/>
  <c r="O1024" i="2"/>
  <c r="G1024" i="2"/>
  <c r="Y1023" i="2"/>
  <c r="X1023" i="2"/>
  <c r="W1023" i="2"/>
  <c r="V1023" i="2"/>
  <c r="O1023" i="2"/>
  <c r="G1023" i="2"/>
  <c r="Y1022" i="2"/>
  <c r="X1022" i="2"/>
  <c r="W1022" i="2"/>
  <c r="V1022" i="2"/>
  <c r="O1022" i="2"/>
  <c r="G1022" i="2"/>
  <c r="Y1021" i="2"/>
  <c r="X1021" i="2"/>
  <c r="W1021" i="2"/>
  <c r="V1021" i="2"/>
  <c r="O1021" i="2"/>
  <c r="G1021" i="2"/>
  <c r="Y1020" i="2"/>
  <c r="X1020" i="2"/>
  <c r="W1020" i="2"/>
  <c r="V1020" i="2"/>
  <c r="O1020" i="2"/>
  <c r="G1020" i="2"/>
  <c r="Y1019" i="2"/>
  <c r="X1019" i="2"/>
  <c r="W1019" i="2"/>
  <c r="V1019" i="2"/>
  <c r="O1019" i="2"/>
  <c r="G1019" i="2"/>
  <c r="Y1018" i="2"/>
  <c r="X1018" i="2"/>
  <c r="W1018" i="2"/>
  <c r="V1018" i="2"/>
  <c r="O1018" i="2"/>
  <c r="G1018" i="2"/>
  <c r="Y1017" i="2"/>
  <c r="X1017" i="2"/>
  <c r="W1017" i="2"/>
  <c r="V1017" i="2"/>
  <c r="O1017" i="2"/>
  <c r="G1017" i="2"/>
  <c r="Y1016" i="2"/>
  <c r="X1016" i="2"/>
  <c r="W1016" i="2"/>
  <c r="V1016" i="2"/>
  <c r="O1016" i="2"/>
  <c r="G1016" i="2"/>
  <c r="Y1015" i="2"/>
  <c r="X1015" i="2"/>
  <c r="W1015" i="2"/>
  <c r="V1015" i="2"/>
  <c r="O1015" i="2"/>
  <c r="G1015" i="2"/>
  <c r="Y1014" i="2"/>
  <c r="X1014" i="2"/>
  <c r="W1014" i="2"/>
  <c r="V1014" i="2"/>
  <c r="O1014" i="2"/>
  <c r="G1014" i="2"/>
  <c r="Y1013" i="2"/>
  <c r="X1013" i="2"/>
  <c r="W1013" i="2"/>
  <c r="V1013" i="2"/>
  <c r="O1013" i="2"/>
  <c r="G1013" i="2"/>
  <c r="Y1012" i="2"/>
  <c r="X1012" i="2"/>
  <c r="W1012" i="2"/>
  <c r="V1012" i="2"/>
  <c r="O1012" i="2"/>
  <c r="G1012" i="2"/>
  <c r="Y1011" i="2"/>
  <c r="X1011" i="2"/>
  <c r="W1011" i="2"/>
  <c r="V1011" i="2"/>
  <c r="O1011" i="2"/>
  <c r="G1011" i="2"/>
  <c r="Y1010" i="2"/>
  <c r="X1010" i="2"/>
  <c r="W1010" i="2"/>
  <c r="V1010" i="2"/>
  <c r="O1010" i="2"/>
  <c r="G1010" i="2"/>
  <c r="Y1009" i="2"/>
  <c r="X1009" i="2"/>
  <c r="W1009" i="2"/>
  <c r="V1009" i="2"/>
  <c r="O1009" i="2"/>
  <c r="G1009" i="2"/>
  <c r="Y1008" i="2"/>
  <c r="X1008" i="2"/>
  <c r="W1008" i="2"/>
  <c r="V1008" i="2"/>
  <c r="O1008" i="2"/>
  <c r="G1008" i="2"/>
  <c r="Y1007" i="2"/>
  <c r="X1007" i="2"/>
  <c r="W1007" i="2"/>
  <c r="V1007" i="2"/>
  <c r="O1007" i="2"/>
  <c r="G1007" i="2"/>
  <c r="Y1006" i="2"/>
  <c r="X1006" i="2"/>
  <c r="W1006" i="2"/>
  <c r="V1006" i="2"/>
  <c r="O1006" i="2"/>
  <c r="G1006" i="2"/>
  <c r="Y1005" i="2"/>
  <c r="X1005" i="2"/>
  <c r="W1005" i="2"/>
  <c r="V1005" i="2"/>
  <c r="O1005" i="2"/>
  <c r="G1005" i="2"/>
  <c r="Y1004" i="2"/>
  <c r="X1004" i="2"/>
  <c r="W1004" i="2"/>
  <c r="V1004" i="2"/>
  <c r="O1004" i="2"/>
  <c r="G1004" i="2"/>
  <c r="Y1003" i="2"/>
  <c r="X1003" i="2"/>
  <c r="W1003" i="2"/>
  <c r="V1003" i="2"/>
  <c r="O1003" i="2"/>
  <c r="G1003" i="2"/>
  <c r="Y1002" i="2"/>
  <c r="X1002" i="2"/>
  <c r="W1002" i="2"/>
  <c r="V1002" i="2"/>
  <c r="O1002" i="2"/>
  <c r="G1002" i="2"/>
  <c r="Y1001" i="2"/>
  <c r="X1001" i="2"/>
  <c r="W1001" i="2"/>
  <c r="V1001" i="2"/>
  <c r="O1001" i="2"/>
  <c r="G1001" i="2"/>
  <c r="Y1000" i="2"/>
  <c r="X1000" i="2"/>
  <c r="W1000" i="2"/>
  <c r="V1000" i="2"/>
  <c r="O1000" i="2"/>
  <c r="G1000" i="2"/>
  <c r="Y999" i="2"/>
  <c r="X999" i="2"/>
  <c r="W999" i="2"/>
  <c r="V999" i="2"/>
  <c r="O999" i="2"/>
  <c r="G999" i="2"/>
  <c r="Y998" i="2"/>
  <c r="X998" i="2"/>
  <c r="W998" i="2"/>
  <c r="V998" i="2"/>
  <c r="O998" i="2"/>
  <c r="G998" i="2"/>
  <c r="Y997" i="2"/>
  <c r="X997" i="2"/>
  <c r="W997" i="2"/>
  <c r="V997" i="2"/>
  <c r="O997" i="2"/>
  <c r="G997" i="2"/>
  <c r="Y996" i="2"/>
  <c r="X996" i="2"/>
  <c r="W996" i="2"/>
  <c r="V996" i="2"/>
  <c r="O996" i="2"/>
  <c r="G996" i="2"/>
  <c r="Y995" i="2"/>
  <c r="X995" i="2"/>
  <c r="W995" i="2"/>
  <c r="V995" i="2"/>
  <c r="O995" i="2"/>
  <c r="G995" i="2"/>
  <c r="Y994" i="2"/>
  <c r="X994" i="2"/>
  <c r="W994" i="2"/>
  <c r="V994" i="2"/>
  <c r="O994" i="2"/>
  <c r="G994" i="2"/>
  <c r="Y993" i="2"/>
  <c r="X993" i="2"/>
  <c r="W993" i="2"/>
  <c r="V993" i="2"/>
  <c r="O993" i="2"/>
  <c r="G993" i="2"/>
  <c r="Y992" i="2"/>
  <c r="X992" i="2"/>
  <c r="W992" i="2"/>
  <c r="V992" i="2"/>
  <c r="O992" i="2"/>
  <c r="G992" i="2"/>
  <c r="Y991" i="2"/>
  <c r="X991" i="2"/>
  <c r="W991" i="2"/>
  <c r="V991" i="2"/>
  <c r="O991" i="2"/>
  <c r="G991" i="2"/>
  <c r="Y990" i="2"/>
  <c r="X990" i="2"/>
  <c r="W990" i="2"/>
  <c r="V990" i="2"/>
  <c r="O990" i="2"/>
  <c r="G990" i="2"/>
  <c r="Y989" i="2"/>
  <c r="X989" i="2"/>
  <c r="W989" i="2"/>
  <c r="V989" i="2"/>
  <c r="O989" i="2"/>
  <c r="G989" i="2"/>
  <c r="Y988" i="2"/>
  <c r="X988" i="2"/>
  <c r="W988" i="2"/>
  <c r="V988" i="2"/>
  <c r="O988" i="2"/>
  <c r="G988" i="2"/>
  <c r="Y987" i="2"/>
  <c r="X987" i="2"/>
  <c r="W987" i="2"/>
  <c r="V987" i="2"/>
  <c r="O987" i="2"/>
  <c r="G987" i="2"/>
  <c r="Y986" i="2"/>
  <c r="X986" i="2"/>
  <c r="W986" i="2"/>
  <c r="V986" i="2"/>
  <c r="O986" i="2"/>
  <c r="G986" i="2"/>
  <c r="Y985" i="2"/>
  <c r="X985" i="2"/>
  <c r="W985" i="2"/>
  <c r="V985" i="2"/>
  <c r="O985" i="2"/>
  <c r="G985" i="2"/>
  <c r="Y984" i="2"/>
  <c r="X984" i="2"/>
  <c r="W984" i="2"/>
  <c r="V984" i="2"/>
  <c r="O984" i="2"/>
  <c r="G984" i="2"/>
  <c r="Y983" i="2"/>
  <c r="X983" i="2"/>
  <c r="W983" i="2"/>
  <c r="V983" i="2"/>
  <c r="O983" i="2"/>
  <c r="G983" i="2"/>
  <c r="Y982" i="2"/>
  <c r="X982" i="2"/>
  <c r="W982" i="2"/>
  <c r="V982" i="2"/>
  <c r="O982" i="2"/>
  <c r="G982" i="2"/>
  <c r="Y981" i="2"/>
  <c r="X981" i="2"/>
  <c r="W981" i="2"/>
  <c r="V981" i="2"/>
  <c r="O981" i="2"/>
  <c r="G981" i="2"/>
  <c r="Y980" i="2"/>
  <c r="X980" i="2"/>
  <c r="W980" i="2"/>
  <c r="V980" i="2"/>
  <c r="O980" i="2"/>
  <c r="G980" i="2"/>
  <c r="Y979" i="2"/>
  <c r="X979" i="2"/>
  <c r="W979" i="2"/>
  <c r="V979" i="2"/>
  <c r="O979" i="2"/>
  <c r="G979" i="2"/>
  <c r="Y978" i="2"/>
  <c r="X978" i="2"/>
  <c r="W978" i="2"/>
  <c r="V978" i="2"/>
  <c r="O978" i="2"/>
  <c r="G978" i="2"/>
  <c r="Y977" i="2"/>
  <c r="X977" i="2"/>
  <c r="W977" i="2"/>
  <c r="V977" i="2"/>
  <c r="O977" i="2"/>
  <c r="G977" i="2"/>
  <c r="Y976" i="2"/>
  <c r="X976" i="2"/>
  <c r="W976" i="2"/>
  <c r="V976" i="2"/>
  <c r="O976" i="2"/>
  <c r="G976" i="2"/>
  <c r="Y975" i="2"/>
  <c r="X975" i="2"/>
  <c r="W975" i="2"/>
  <c r="V975" i="2"/>
  <c r="O975" i="2"/>
  <c r="G975" i="2"/>
  <c r="Y974" i="2"/>
  <c r="X974" i="2"/>
  <c r="W974" i="2"/>
  <c r="V974" i="2"/>
  <c r="O974" i="2"/>
  <c r="G974" i="2"/>
  <c r="Y973" i="2"/>
  <c r="X973" i="2"/>
  <c r="W973" i="2"/>
  <c r="V973" i="2"/>
  <c r="O973" i="2"/>
  <c r="G973" i="2"/>
  <c r="Y972" i="2"/>
  <c r="X972" i="2"/>
  <c r="W972" i="2"/>
  <c r="V972" i="2"/>
  <c r="O972" i="2"/>
  <c r="G972" i="2"/>
  <c r="Y971" i="2"/>
  <c r="X971" i="2"/>
  <c r="W971" i="2"/>
  <c r="V971" i="2"/>
  <c r="O971" i="2"/>
  <c r="G971" i="2"/>
  <c r="Y970" i="2"/>
  <c r="X970" i="2"/>
  <c r="W970" i="2"/>
  <c r="V970" i="2"/>
  <c r="O970" i="2"/>
  <c r="G970" i="2"/>
  <c r="Y969" i="2"/>
  <c r="X969" i="2"/>
  <c r="W969" i="2"/>
  <c r="V969" i="2"/>
  <c r="O969" i="2"/>
  <c r="G969" i="2"/>
  <c r="Y968" i="2"/>
  <c r="X968" i="2"/>
  <c r="W968" i="2"/>
  <c r="V968" i="2"/>
  <c r="O968" i="2"/>
  <c r="G968" i="2"/>
  <c r="Y967" i="2"/>
  <c r="X967" i="2"/>
  <c r="W967" i="2"/>
  <c r="V967" i="2"/>
  <c r="O967" i="2"/>
  <c r="G967" i="2"/>
  <c r="Y966" i="2"/>
  <c r="X966" i="2"/>
  <c r="W966" i="2"/>
  <c r="V966" i="2"/>
  <c r="O966" i="2"/>
  <c r="G966" i="2"/>
  <c r="Y965" i="2"/>
  <c r="X965" i="2"/>
  <c r="W965" i="2"/>
  <c r="V965" i="2"/>
  <c r="O965" i="2"/>
  <c r="G965" i="2"/>
  <c r="Y964" i="2"/>
  <c r="X964" i="2"/>
  <c r="W964" i="2"/>
  <c r="V964" i="2"/>
  <c r="O964" i="2"/>
  <c r="G964" i="2"/>
  <c r="Y963" i="2"/>
  <c r="X963" i="2"/>
  <c r="W963" i="2"/>
  <c r="V963" i="2"/>
  <c r="O963" i="2"/>
  <c r="G963" i="2"/>
  <c r="Y962" i="2"/>
  <c r="X962" i="2"/>
  <c r="W962" i="2"/>
  <c r="V962" i="2"/>
  <c r="O962" i="2"/>
  <c r="G962" i="2"/>
  <c r="Y961" i="2"/>
  <c r="X961" i="2"/>
  <c r="W961" i="2"/>
  <c r="V961" i="2"/>
  <c r="O961" i="2"/>
  <c r="G961" i="2"/>
  <c r="Y960" i="2"/>
  <c r="X960" i="2"/>
  <c r="W960" i="2"/>
  <c r="V960" i="2"/>
  <c r="O960" i="2"/>
  <c r="G960" i="2"/>
  <c r="Y959" i="2"/>
  <c r="X959" i="2"/>
  <c r="W959" i="2"/>
  <c r="V959" i="2"/>
  <c r="O959" i="2"/>
  <c r="G959" i="2"/>
  <c r="Y958" i="2"/>
  <c r="X958" i="2"/>
  <c r="W958" i="2"/>
  <c r="V958" i="2"/>
  <c r="O958" i="2"/>
  <c r="G958" i="2"/>
  <c r="Y957" i="2"/>
  <c r="X957" i="2"/>
  <c r="W957" i="2"/>
  <c r="V957" i="2"/>
  <c r="O957" i="2"/>
  <c r="G957" i="2"/>
  <c r="Y956" i="2"/>
  <c r="X956" i="2"/>
  <c r="W956" i="2"/>
  <c r="V956" i="2"/>
  <c r="O956" i="2"/>
  <c r="G956" i="2"/>
  <c r="Y955" i="2"/>
  <c r="X955" i="2"/>
  <c r="W955" i="2"/>
  <c r="V955" i="2"/>
  <c r="O955" i="2"/>
  <c r="G955" i="2"/>
  <c r="Y954" i="2"/>
  <c r="X954" i="2"/>
  <c r="W954" i="2"/>
  <c r="V954" i="2"/>
  <c r="O954" i="2"/>
  <c r="G954" i="2"/>
  <c r="Y953" i="2"/>
  <c r="X953" i="2"/>
  <c r="W953" i="2"/>
  <c r="V953" i="2"/>
  <c r="O953" i="2"/>
  <c r="G953" i="2"/>
  <c r="Y952" i="2"/>
  <c r="X952" i="2"/>
  <c r="W952" i="2"/>
  <c r="V952" i="2"/>
  <c r="O952" i="2"/>
  <c r="G952" i="2"/>
  <c r="Y951" i="2"/>
  <c r="X951" i="2"/>
  <c r="W951" i="2"/>
  <c r="V951" i="2"/>
  <c r="O951" i="2"/>
  <c r="G951" i="2"/>
  <c r="Y950" i="2"/>
  <c r="X950" i="2"/>
  <c r="W950" i="2"/>
  <c r="V950" i="2"/>
  <c r="O950" i="2"/>
  <c r="G950" i="2"/>
  <c r="Y949" i="2"/>
  <c r="X949" i="2"/>
  <c r="W949" i="2"/>
  <c r="V949" i="2"/>
  <c r="O949" i="2"/>
  <c r="G949" i="2"/>
  <c r="Y948" i="2"/>
  <c r="X948" i="2"/>
  <c r="W948" i="2"/>
  <c r="V948" i="2"/>
  <c r="O948" i="2"/>
  <c r="G948" i="2"/>
  <c r="Y947" i="2"/>
  <c r="X947" i="2"/>
  <c r="W947" i="2"/>
  <c r="V947" i="2"/>
  <c r="O947" i="2"/>
  <c r="G947" i="2"/>
  <c r="Y946" i="2"/>
  <c r="X946" i="2"/>
  <c r="W946" i="2"/>
  <c r="V946" i="2"/>
  <c r="O946" i="2"/>
  <c r="G946" i="2"/>
  <c r="Y945" i="2"/>
  <c r="X945" i="2"/>
  <c r="W945" i="2"/>
  <c r="V945" i="2"/>
  <c r="O945" i="2"/>
  <c r="G945" i="2"/>
  <c r="Y944" i="2"/>
  <c r="X944" i="2"/>
  <c r="W944" i="2"/>
  <c r="V944" i="2"/>
  <c r="O944" i="2"/>
  <c r="G944" i="2"/>
  <c r="Y943" i="2"/>
  <c r="X943" i="2"/>
  <c r="W943" i="2"/>
  <c r="V943" i="2"/>
  <c r="O943" i="2"/>
  <c r="G943" i="2"/>
  <c r="Y942" i="2"/>
  <c r="X942" i="2"/>
  <c r="W942" i="2"/>
  <c r="V942" i="2"/>
  <c r="O942" i="2"/>
  <c r="G942" i="2"/>
  <c r="Y941" i="2"/>
  <c r="X941" i="2"/>
  <c r="W941" i="2"/>
  <c r="V941" i="2"/>
  <c r="O941" i="2"/>
  <c r="G941" i="2"/>
  <c r="Y940" i="2"/>
  <c r="X940" i="2"/>
  <c r="W940" i="2"/>
  <c r="V940" i="2"/>
  <c r="O940" i="2"/>
  <c r="G940" i="2"/>
  <c r="Y939" i="2"/>
  <c r="X939" i="2"/>
  <c r="W939" i="2"/>
  <c r="V939" i="2"/>
  <c r="O939" i="2"/>
  <c r="G939" i="2"/>
  <c r="Y938" i="2"/>
  <c r="X938" i="2"/>
  <c r="W938" i="2"/>
  <c r="V938" i="2"/>
  <c r="O938" i="2"/>
  <c r="G938" i="2"/>
  <c r="Y937" i="2"/>
  <c r="X937" i="2"/>
  <c r="W937" i="2"/>
  <c r="V937" i="2"/>
  <c r="O937" i="2"/>
  <c r="G937" i="2"/>
  <c r="Y936" i="2"/>
  <c r="X936" i="2"/>
  <c r="W936" i="2"/>
  <c r="V936" i="2"/>
  <c r="O936" i="2"/>
  <c r="G936" i="2"/>
  <c r="Y935" i="2"/>
  <c r="X935" i="2"/>
  <c r="W935" i="2"/>
  <c r="V935" i="2"/>
  <c r="O935" i="2"/>
  <c r="G935" i="2"/>
  <c r="Y934" i="2"/>
  <c r="X934" i="2"/>
  <c r="W934" i="2"/>
  <c r="V934" i="2"/>
  <c r="O934" i="2"/>
  <c r="G934" i="2"/>
  <c r="Y933" i="2"/>
  <c r="X933" i="2"/>
  <c r="W933" i="2"/>
  <c r="V933" i="2"/>
  <c r="O933" i="2"/>
  <c r="G933" i="2"/>
  <c r="Y932" i="2"/>
  <c r="X932" i="2"/>
  <c r="W932" i="2"/>
  <c r="V932" i="2"/>
  <c r="O932" i="2"/>
  <c r="G932" i="2"/>
  <c r="Y931" i="2"/>
  <c r="X931" i="2"/>
  <c r="W931" i="2"/>
  <c r="V931" i="2"/>
  <c r="O931" i="2"/>
  <c r="G931" i="2"/>
  <c r="Y930" i="2"/>
  <c r="X930" i="2"/>
  <c r="W930" i="2"/>
  <c r="V930" i="2"/>
  <c r="O930" i="2"/>
  <c r="G930" i="2"/>
  <c r="Y929" i="2"/>
  <c r="X929" i="2"/>
  <c r="W929" i="2"/>
  <c r="V929" i="2"/>
  <c r="O929" i="2"/>
  <c r="G929" i="2"/>
  <c r="Y928" i="2"/>
  <c r="X928" i="2"/>
  <c r="W928" i="2"/>
  <c r="V928" i="2"/>
  <c r="O928" i="2"/>
  <c r="G928" i="2"/>
  <c r="Y927" i="2"/>
  <c r="X927" i="2"/>
  <c r="W927" i="2"/>
  <c r="V927" i="2"/>
  <c r="O927" i="2"/>
  <c r="G927" i="2"/>
  <c r="Y926" i="2"/>
  <c r="X926" i="2"/>
  <c r="W926" i="2"/>
  <c r="V926" i="2"/>
  <c r="O926" i="2"/>
  <c r="G926" i="2"/>
  <c r="Y925" i="2"/>
  <c r="X925" i="2"/>
  <c r="W925" i="2"/>
  <c r="V925" i="2"/>
  <c r="O925" i="2"/>
  <c r="G925" i="2"/>
  <c r="Y924" i="2"/>
  <c r="X924" i="2"/>
  <c r="W924" i="2"/>
  <c r="V924" i="2"/>
  <c r="O924" i="2"/>
  <c r="G924" i="2"/>
  <c r="Y923" i="2"/>
  <c r="X923" i="2"/>
  <c r="W923" i="2"/>
  <c r="V923" i="2"/>
  <c r="O923" i="2"/>
  <c r="G923" i="2"/>
  <c r="Y922" i="2"/>
  <c r="X922" i="2"/>
  <c r="W922" i="2"/>
  <c r="V922" i="2"/>
  <c r="O922" i="2"/>
  <c r="G922" i="2"/>
  <c r="Y921" i="2"/>
  <c r="X921" i="2"/>
  <c r="W921" i="2"/>
  <c r="V921" i="2"/>
  <c r="O921" i="2"/>
  <c r="G921" i="2"/>
  <c r="Y920" i="2"/>
  <c r="X920" i="2"/>
  <c r="W920" i="2"/>
  <c r="V920" i="2"/>
  <c r="O920" i="2"/>
  <c r="G920" i="2"/>
  <c r="Y919" i="2"/>
  <c r="X919" i="2"/>
  <c r="W919" i="2"/>
  <c r="V919" i="2"/>
  <c r="O919" i="2"/>
  <c r="G919" i="2"/>
  <c r="Y918" i="2"/>
  <c r="X918" i="2"/>
  <c r="W918" i="2"/>
  <c r="V918" i="2"/>
  <c r="O918" i="2"/>
  <c r="G918" i="2"/>
  <c r="Y917" i="2"/>
  <c r="X917" i="2"/>
  <c r="W917" i="2"/>
  <c r="V917" i="2"/>
  <c r="O917" i="2"/>
  <c r="G917" i="2"/>
  <c r="Y916" i="2"/>
  <c r="X916" i="2"/>
  <c r="W916" i="2"/>
  <c r="V916" i="2"/>
  <c r="O916" i="2"/>
  <c r="G916" i="2"/>
  <c r="Y915" i="2"/>
  <c r="X915" i="2"/>
  <c r="W915" i="2"/>
  <c r="V915" i="2"/>
  <c r="O915" i="2"/>
  <c r="G915" i="2"/>
  <c r="Y914" i="2"/>
  <c r="X914" i="2"/>
  <c r="W914" i="2"/>
  <c r="V914" i="2"/>
  <c r="O914" i="2"/>
  <c r="G914" i="2"/>
  <c r="Y913" i="2"/>
  <c r="X913" i="2"/>
  <c r="W913" i="2"/>
  <c r="V913" i="2"/>
  <c r="O913" i="2"/>
  <c r="G913" i="2"/>
  <c r="Y912" i="2"/>
  <c r="X912" i="2"/>
  <c r="W912" i="2"/>
  <c r="V912" i="2"/>
  <c r="O912" i="2"/>
  <c r="G912" i="2"/>
  <c r="Y911" i="2"/>
  <c r="X911" i="2"/>
  <c r="W911" i="2"/>
  <c r="V911" i="2"/>
  <c r="O911" i="2"/>
  <c r="G911" i="2"/>
  <c r="Y910" i="2"/>
  <c r="X910" i="2"/>
  <c r="W910" i="2"/>
  <c r="V910" i="2"/>
  <c r="O910" i="2"/>
  <c r="G910" i="2"/>
  <c r="Y909" i="2"/>
  <c r="X909" i="2"/>
  <c r="W909" i="2"/>
  <c r="V909" i="2"/>
  <c r="O909" i="2"/>
  <c r="G909" i="2"/>
  <c r="Y908" i="2"/>
  <c r="X908" i="2"/>
  <c r="W908" i="2"/>
  <c r="V908" i="2"/>
  <c r="O908" i="2"/>
  <c r="G908" i="2"/>
  <c r="Y907" i="2"/>
  <c r="X907" i="2"/>
  <c r="W907" i="2"/>
  <c r="V907" i="2"/>
  <c r="O907" i="2"/>
  <c r="G907" i="2"/>
  <c r="Y906" i="2"/>
  <c r="X906" i="2"/>
  <c r="W906" i="2"/>
  <c r="V906" i="2"/>
  <c r="O906" i="2"/>
  <c r="G906" i="2"/>
  <c r="Y905" i="2"/>
  <c r="X905" i="2"/>
  <c r="W905" i="2"/>
  <c r="V905" i="2"/>
  <c r="O905" i="2"/>
  <c r="G905" i="2"/>
  <c r="Y904" i="2"/>
  <c r="X904" i="2"/>
  <c r="W904" i="2"/>
  <c r="V904" i="2"/>
  <c r="O904" i="2"/>
  <c r="G904" i="2"/>
  <c r="Y903" i="2"/>
  <c r="X903" i="2"/>
  <c r="W903" i="2"/>
  <c r="V903" i="2"/>
  <c r="O903" i="2"/>
  <c r="G903" i="2"/>
  <c r="Y902" i="2"/>
  <c r="X902" i="2"/>
  <c r="W902" i="2"/>
  <c r="V902" i="2"/>
  <c r="O902" i="2"/>
  <c r="G902" i="2"/>
  <c r="Y901" i="2"/>
  <c r="X901" i="2"/>
  <c r="W901" i="2"/>
  <c r="V901" i="2"/>
  <c r="O901" i="2"/>
  <c r="G901" i="2"/>
  <c r="Y900" i="2"/>
  <c r="X900" i="2"/>
  <c r="W900" i="2"/>
  <c r="V900" i="2"/>
  <c r="O900" i="2"/>
  <c r="G900" i="2"/>
  <c r="Y899" i="2"/>
  <c r="X899" i="2"/>
  <c r="W899" i="2"/>
  <c r="V899" i="2"/>
  <c r="O899" i="2"/>
  <c r="G899" i="2"/>
  <c r="Y898" i="2"/>
  <c r="X898" i="2"/>
  <c r="W898" i="2"/>
  <c r="V898" i="2"/>
  <c r="O898" i="2"/>
  <c r="G898" i="2"/>
  <c r="Y897" i="2"/>
  <c r="X897" i="2"/>
  <c r="W897" i="2"/>
  <c r="V897" i="2"/>
  <c r="O897" i="2"/>
  <c r="G897" i="2"/>
  <c r="Y896" i="2"/>
  <c r="X896" i="2"/>
  <c r="W896" i="2"/>
  <c r="V896" i="2"/>
  <c r="O896" i="2"/>
  <c r="G896" i="2"/>
  <c r="Y895" i="2"/>
  <c r="X895" i="2"/>
  <c r="W895" i="2"/>
  <c r="V895" i="2"/>
  <c r="O895" i="2"/>
  <c r="G895" i="2"/>
  <c r="Y894" i="2"/>
  <c r="X894" i="2"/>
  <c r="W894" i="2"/>
  <c r="V894" i="2"/>
  <c r="O894" i="2"/>
  <c r="G894" i="2"/>
  <c r="Y893" i="2"/>
  <c r="X893" i="2"/>
  <c r="W893" i="2"/>
  <c r="V893" i="2"/>
  <c r="O893" i="2"/>
  <c r="G893" i="2"/>
  <c r="Y892" i="2"/>
  <c r="X892" i="2"/>
  <c r="W892" i="2"/>
  <c r="V892" i="2"/>
  <c r="O892" i="2"/>
  <c r="G892" i="2"/>
  <c r="Y891" i="2"/>
  <c r="X891" i="2"/>
  <c r="W891" i="2"/>
  <c r="V891" i="2"/>
  <c r="O891" i="2"/>
  <c r="G891" i="2"/>
  <c r="Y890" i="2"/>
  <c r="X890" i="2"/>
  <c r="W890" i="2"/>
  <c r="V890" i="2"/>
  <c r="O890" i="2"/>
  <c r="G890" i="2"/>
  <c r="Y889" i="2"/>
  <c r="X889" i="2"/>
  <c r="W889" i="2"/>
  <c r="V889" i="2"/>
  <c r="O889" i="2"/>
  <c r="G889" i="2"/>
  <c r="Y888" i="2"/>
  <c r="X888" i="2"/>
  <c r="W888" i="2"/>
  <c r="V888" i="2"/>
  <c r="O888" i="2"/>
  <c r="G888" i="2"/>
  <c r="Y887" i="2"/>
  <c r="X887" i="2"/>
  <c r="W887" i="2"/>
  <c r="V887" i="2"/>
  <c r="O887" i="2"/>
  <c r="G887" i="2"/>
  <c r="Y886" i="2"/>
  <c r="X886" i="2"/>
  <c r="W886" i="2"/>
  <c r="V886" i="2"/>
  <c r="O886" i="2"/>
  <c r="G886" i="2"/>
  <c r="Y885" i="2"/>
  <c r="X885" i="2"/>
  <c r="W885" i="2"/>
  <c r="V885" i="2"/>
  <c r="O885" i="2"/>
  <c r="G885" i="2"/>
  <c r="Y884" i="2"/>
  <c r="X884" i="2"/>
  <c r="W884" i="2"/>
  <c r="V884" i="2"/>
  <c r="O884" i="2"/>
  <c r="G884" i="2"/>
  <c r="Y883" i="2"/>
  <c r="X883" i="2"/>
  <c r="W883" i="2"/>
  <c r="V883" i="2"/>
  <c r="O883" i="2"/>
  <c r="G883" i="2"/>
  <c r="Y882" i="2"/>
  <c r="X882" i="2"/>
  <c r="W882" i="2"/>
  <c r="V882" i="2"/>
  <c r="O882" i="2"/>
  <c r="G882" i="2"/>
  <c r="Y881" i="2"/>
  <c r="X881" i="2"/>
  <c r="W881" i="2"/>
  <c r="V881" i="2"/>
  <c r="O881" i="2"/>
  <c r="G881" i="2"/>
  <c r="Y880" i="2"/>
  <c r="X880" i="2"/>
  <c r="W880" i="2"/>
  <c r="V880" i="2"/>
  <c r="O880" i="2"/>
  <c r="G880" i="2"/>
  <c r="Y879" i="2"/>
  <c r="X879" i="2"/>
  <c r="W879" i="2"/>
  <c r="V879" i="2"/>
  <c r="O879" i="2"/>
  <c r="G879" i="2"/>
  <c r="Y878" i="2"/>
  <c r="X878" i="2"/>
  <c r="W878" i="2"/>
  <c r="V878" i="2"/>
  <c r="O878" i="2"/>
  <c r="G878" i="2"/>
  <c r="Y877" i="2"/>
  <c r="X877" i="2"/>
  <c r="W877" i="2"/>
  <c r="V877" i="2"/>
  <c r="O877" i="2"/>
  <c r="G877" i="2"/>
  <c r="Y876" i="2"/>
  <c r="X876" i="2"/>
  <c r="W876" i="2"/>
  <c r="V876" i="2"/>
  <c r="O876" i="2"/>
  <c r="G876" i="2"/>
  <c r="Y875" i="2"/>
  <c r="X875" i="2"/>
  <c r="W875" i="2"/>
  <c r="V875" i="2"/>
  <c r="O875" i="2"/>
  <c r="G875" i="2"/>
  <c r="Y874" i="2"/>
  <c r="X874" i="2"/>
  <c r="W874" i="2"/>
  <c r="V874" i="2"/>
  <c r="O874" i="2"/>
  <c r="G874" i="2"/>
  <c r="Y873" i="2"/>
  <c r="X873" i="2"/>
  <c r="W873" i="2"/>
  <c r="V873" i="2"/>
  <c r="O873" i="2"/>
  <c r="G873" i="2"/>
  <c r="Y872" i="2"/>
  <c r="X872" i="2"/>
  <c r="W872" i="2"/>
  <c r="V872" i="2"/>
  <c r="O872" i="2"/>
  <c r="G872" i="2"/>
  <c r="Y871" i="2"/>
  <c r="X871" i="2"/>
  <c r="W871" i="2"/>
  <c r="V871" i="2"/>
  <c r="O871" i="2"/>
  <c r="G871" i="2"/>
  <c r="Y870" i="2"/>
  <c r="X870" i="2"/>
  <c r="W870" i="2"/>
  <c r="V870" i="2"/>
  <c r="O870" i="2"/>
  <c r="G870" i="2"/>
  <c r="Y869" i="2"/>
  <c r="X869" i="2"/>
  <c r="W869" i="2"/>
  <c r="V869" i="2"/>
  <c r="O869" i="2"/>
  <c r="G869" i="2"/>
  <c r="Y868" i="2"/>
  <c r="X868" i="2"/>
  <c r="W868" i="2"/>
  <c r="V868" i="2"/>
  <c r="O868" i="2"/>
  <c r="G868" i="2"/>
  <c r="Y867" i="2"/>
  <c r="X867" i="2"/>
  <c r="W867" i="2"/>
  <c r="V867" i="2"/>
  <c r="O867" i="2"/>
  <c r="G867" i="2"/>
  <c r="Y866" i="2"/>
  <c r="X866" i="2"/>
  <c r="W866" i="2"/>
  <c r="V866" i="2"/>
  <c r="O866" i="2"/>
  <c r="G866" i="2"/>
  <c r="Y865" i="2"/>
  <c r="X865" i="2"/>
  <c r="W865" i="2"/>
  <c r="V865" i="2"/>
  <c r="O865" i="2"/>
  <c r="G865" i="2"/>
  <c r="Y864" i="2"/>
  <c r="X864" i="2"/>
  <c r="W864" i="2"/>
  <c r="V864" i="2"/>
  <c r="O864" i="2"/>
  <c r="G864" i="2"/>
  <c r="Y863" i="2"/>
  <c r="X863" i="2"/>
  <c r="W863" i="2"/>
  <c r="V863" i="2"/>
  <c r="O863" i="2"/>
  <c r="G863" i="2"/>
  <c r="Y862" i="2"/>
  <c r="X862" i="2"/>
  <c r="W862" i="2"/>
  <c r="V862" i="2"/>
  <c r="O862" i="2"/>
  <c r="G862" i="2"/>
  <c r="Y861" i="2"/>
  <c r="X861" i="2"/>
  <c r="W861" i="2"/>
  <c r="V861" i="2"/>
  <c r="O861" i="2"/>
  <c r="G861" i="2"/>
  <c r="Y860" i="2"/>
  <c r="X860" i="2"/>
  <c r="W860" i="2"/>
  <c r="V860" i="2"/>
  <c r="O860" i="2"/>
  <c r="G860" i="2"/>
  <c r="Y859" i="2"/>
  <c r="X859" i="2"/>
  <c r="W859" i="2"/>
  <c r="V859" i="2"/>
  <c r="O859" i="2"/>
  <c r="G859" i="2"/>
  <c r="Y858" i="2"/>
  <c r="X858" i="2"/>
  <c r="W858" i="2"/>
  <c r="V858" i="2"/>
  <c r="O858" i="2"/>
  <c r="G858" i="2"/>
  <c r="Y857" i="2"/>
  <c r="X857" i="2"/>
  <c r="W857" i="2"/>
  <c r="V857" i="2"/>
  <c r="O857" i="2"/>
  <c r="G857" i="2"/>
  <c r="Y856" i="2"/>
  <c r="X856" i="2"/>
  <c r="W856" i="2"/>
  <c r="V856" i="2"/>
  <c r="O856" i="2"/>
  <c r="G856" i="2"/>
  <c r="Y855" i="2"/>
  <c r="X855" i="2"/>
  <c r="W855" i="2"/>
  <c r="V855" i="2"/>
  <c r="O855" i="2"/>
  <c r="G855" i="2"/>
  <c r="Y854" i="2"/>
  <c r="X854" i="2"/>
  <c r="W854" i="2"/>
  <c r="V854" i="2"/>
  <c r="O854" i="2"/>
  <c r="G854" i="2"/>
  <c r="Y853" i="2"/>
  <c r="X853" i="2"/>
  <c r="W853" i="2"/>
  <c r="V853" i="2"/>
  <c r="O853" i="2"/>
  <c r="G853" i="2"/>
  <c r="Y852" i="2"/>
  <c r="X852" i="2"/>
  <c r="W852" i="2"/>
  <c r="V852" i="2"/>
  <c r="O852" i="2"/>
  <c r="G852" i="2"/>
  <c r="Y851" i="2"/>
  <c r="X851" i="2"/>
  <c r="W851" i="2"/>
  <c r="V851" i="2"/>
  <c r="O851" i="2"/>
  <c r="G851" i="2"/>
  <c r="Y850" i="2"/>
  <c r="X850" i="2"/>
  <c r="W850" i="2"/>
  <c r="V850" i="2"/>
  <c r="O850" i="2"/>
  <c r="G850" i="2"/>
  <c r="Y849" i="2"/>
  <c r="X849" i="2"/>
  <c r="W849" i="2"/>
  <c r="V849" i="2"/>
  <c r="O849" i="2"/>
  <c r="G849" i="2"/>
  <c r="Y848" i="2"/>
  <c r="X848" i="2"/>
  <c r="W848" i="2"/>
  <c r="V848" i="2"/>
  <c r="O848" i="2"/>
  <c r="G848" i="2"/>
  <c r="Y847" i="2"/>
  <c r="X847" i="2"/>
  <c r="W847" i="2"/>
  <c r="V847" i="2"/>
  <c r="O847" i="2"/>
  <c r="G847" i="2"/>
  <c r="Y846" i="2"/>
  <c r="X846" i="2"/>
  <c r="W846" i="2"/>
  <c r="V846" i="2"/>
  <c r="O846" i="2"/>
  <c r="G846" i="2"/>
  <c r="Y845" i="2"/>
  <c r="X845" i="2"/>
  <c r="W845" i="2"/>
  <c r="V845" i="2"/>
  <c r="O845" i="2"/>
  <c r="G845" i="2"/>
  <c r="Y844" i="2"/>
  <c r="X844" i="2"/>
  <c r="W844" i="2"/>
  <c r="V844" i="2"/>
  <c r="O844" i="2"/>
  <c r="G844" i="2"/>
  <c r="Y843" i="2"/>
  <c r="X843" i="2"/>
  <c r="W843" i="2"/>
  <c r="V843" i="2"/>
  <c r="O843" i="2"/>
  <c r="G843" i="2"/>
  <c r="Y842" i="2"/>
  <c r="X842" i="2"/>
  <c r="W842" i="2"/>
  <c r="V842" i="2"/>
  <c r="O842" i="2"/>
  <c r="G842" i="2"/>
  <c r="Y841" i="2"/>
  <c r="X841" i="2"/>
  <c r="W841" i="2"/>
  <c r="V841" i="2"/>
  <c r="O841" i="2"/>
  <c r="G841" i="2"/>
  <c r="Y840" i="2"/>
  <c r="X840" i="2"/>
  <c r="W840" i="2"/>
  <c r="V840" i="2"/>
  <c r="O840" i="2"/>
  <c r="G840" i="2"/>
  <c r="Y839" i="2"/>
  <c r="X839" i="2"/>
  <c r="W839" i="2"/>
  <c r="V839" i="2"/>
  <c r="O839" i="2"/>
  <c r="G839" i="2"/>
  <c r="Y838" i="2"/>
  <c r="X838" i="2"/>
  <c r="W838" i="2"/>
  <c r="V838" i="2"/>
  <c r="O838" i="2"/>
  <c r="G838" i="2"/>
  <c r="Y837" i="2"/>
  <c r="X837" i="2"/>
  <c r="W837" i="2"/>
  <c r="V837" i="2"/>
  <c r="O837" i="2"/>
  <c r="G837" i="2"/>
  <c r="Y836" i="2"/>
  <c r="X836" i="2"/>
  <c r="W836" i="2"/>
  <c r="V836" i="2"/>
  <c r="O836" i="2"/>
  <c r="G836" i="2"/>
  <c r="Y835" i="2"/>
  <c r="X835" i="2"/>
  <c r="W835" i="2"/>
  <c r="V835" i="2"/>
  <c r="O835" i="2"/>
  <c r="G835" i="2"/>
  <c r="Y834" i="2"/>
  <c r="X834" i="2"/>
  <c r="W834" i="2"/>
  <c r="V834" i="2"/>
  <c r="O834" i="2"/>
  <c r="G834" i="2"/>
  <c r="Y833" i="2"/>
  <c r="X833" i="2"/>
  <c r="W833" i="2"/>
  <c r="V833" i="2"/>
  <c r="O833" i="2"/>
  <c r="G833" i="2"/>
  <c r="Y832" i="2"/>
  <c r="X832" i="2"/>
  <c r="W832" i="2"/>
  <c r="V832" i="2"/>
  <c r="O832" i="2"/>
  <c r="G832" i="2"/>
  <c r="Y831" i="2"/>
  <c r="X831" i="2"/>
  <c r="W831" i="2"/>
  <c r="V831" i="2"/>
  <c r="O831" i="2"/>
  <c r="G831" i="2"/>
  <c r="Y830" i="2"/>
  <c r="X830" i="2"/>
  <c r="W830" i="2"/>
  <c r="V830" i="2"/>
  <c r="O830" i="2"/>
  <c r="G830" i="2"/>
  <c r="Y829" i="2"/>
  <c r="X829" i="2"/>
  <c r="W829" i="2"/>
  <c r="V829" i="2"/>
  <c r="O829" i="2"/>
  <c r="G829" i="2"/>
  <c r="Y828" i="2"/>
  <c r="X828" i="2"/>
  <c r="W828" i="2"/>
  <c r="V828" i="2"/>
  <c r="O828" i="2"/>
  <c r="G828" i="2"/>
  <c r="Y827" i="2"/>
  <c r="X827" i="2"/>
  <c r="W827" i="2"/>
  <c r="V827" i="2"/>
  <c r="O827" i="2"/>
  <c r="G827" i="2"/>
  <c r="Y826" i="2"/>
  <c r="X826" i="2"/>
  <c r="W826" i="2"/>
  <c r="V826" i="2"/>
  <c r="O826" i="2"/>
  <c r="G826" i="2"/>
  <c r="Y825" i="2"/>
  <c r="X825" i="2"/>
  <c r="W825" i="2"/>
  <c r="V825" i="2"/>
  <c r="O825" i="2"/>
  <c r="G825" i="2"/>
  <c r="Y824" i="2"/>
  <c r="X824" i="2"/>
  <c r="W824" i="2"/>
  <c r="V824" i="2"/>
  <c r="O824" i="2"/>
  <c r="G824" i="2"/>
  <c r="Y823" i="2"/>
  <c r="X823" i="2"/>
  <c r="W823" i="2"/>
  <c r="V823" i="2"/>
  <c r="O823" i="2"/>
  <c r="G823" i="2"/>
  <c r="Y822" i="2"/>
  <c r="X822" i="2"/>
  <c r="W822" i="2"/>
  <c r="V822" i="2"/>
  <c r="O822" i="2"/>
  <c r="G822" i="2"/>
  <c r="Y821" i="2"/>
  <c r="X821" i="2"/>
  <c r="W821" i="2"/>
  <c r="V821" i="2"/>
  <c r="O821" i="2"/>
  <c r="G821" i="2"/>
  <c r="Y820" i="2"/>
  <c r="X820" i="2"/>
  <c r="W820" i="2"/>
  <c r="V820" i="2"/>
  <c r="O820" i="2"/>
  <c r="G820" i="2"/>
  <c r="Y819" i="2"/>
  <c r="X819" i="2"/>
  <c r="W819" i="2"/>
  <c r="V819" i="2"/>
  <c r="O819" i="2"/>
  <c r="G819" i="2"/>
  <c r="Y818" i="2"/>
  <c r="X818" i="2"/>
  <c r="W818" i="2"/>
  <c r="V818" i="2"/>
  <c r="O818" i="2"/>
  <c r="G818" i="2"/>
  <c r="Y817" i="2"/>
  <c r="X817" i="2"/>
  <c r="W817" i="2"/>
  <c r="V817" i="2"/>
  <c r="O817" i="2"/>
  <c r="G817" i="2"/>
  <c r="Y816" i="2"/>
  <c r="X816" i="2"/>
  <c r="W816" i="2"/>
  <c r="V816" i="2"/>
  <c r="O816" i="2"/>
  <c r="G816" i="2"/>
  <c r="Y815" i="2"/>
  <c r="X815" i="2"/>
  <c r="W815" i="2"/>
  <c r="V815" i="2"/>
  <c r="O815" i="2"/>
  <c r="G815" i="2"/>
  <c r="Y814" i="2"/>
  <c r="X814" i="2"/>
  <c r="W814" i="2"/>
  <c r="V814" i="2"/>
  <c r="O814" i="2"/>
  <c r="G814" i="2"/>
  <c r="Y813" i="2"/>
  <c r="X813" i="2"/>
  <c r="W813" i="2"/>
  <c r="V813" i="2"/>
  <c r="O813" i="2"/>
  <c r="G813" i="2"/>
  <c r="Y812" i="2"/>
  <c r="X812" i="2"/>
  <c r="W812" i="2"/>
  <c r="V812" i="2"/>
  <c r="O812" i="2"/>
  <c r="G812" i="2"/>
  <c r="Y811" i="2"/>
  <c r="X811" i="2"/>
  <c r="W811" i="2"/>
  <c r="V811" i="2"/>
  <c r="O811" i="2"/>
  <c r="G811" i="2"/>
  <c r="Y810" i="2"/>
  <c r="X810" i="2"/>
  <c r="W810" i="2"/>
  <c r="V810" i="2"/>
  <c r="O810" i="2"/>
  <c r="G810" i="2"/>
  <c r="Y809" i="2"/>
  <c r="X809" i="2"/>
  <c r="W809" i="2"/>
  <c r="V809" i="2"/>
  <c r="O809" i="2"/>
  <c r="G809" i="2"/>
  <c r="Y808" i="2"/>
  <c r="X808" i="2"/>
  <c r="W808" i="2"/>
  <c r="V808" i="2"/>
  <c r="O808" i="2"/>
  <c r="G808" i="2"/>
  <c r="Y807" i="2"/>
  <c r="X807" i="2"/>
  <c r="W807" i="2"/>
  <c r="V807" i="2"/>
  <c r="O807" i="2"/>
  <c r="G807" i="2"/>
  <c r="Y806" i="2"/>
  <c r="X806" i="2"/>
  <c r="W806" i="2"/>
  <c r="V806" i="2"/>
  <c r="O806" i="2"/>
  <c r="G806" i="2"/>
  <c r="Y805" i="2"/>
  <c r="X805" i="2"/>
  <c r="W805" i="2"/>
  <c r="V805" i="2"/>
  <c r="O805" i="2"/>
  <c r="G805" i="2"/>
  <c r="Y804" i="2"/>
  <c r="X804" i="2"/>
  <c r="W804" i="2"/>
  <c r="V804" i="2"/>
  <c r="O804" i="2"/>
  <c r="G804" i="2"/>
  <c r="Y803" i="2"/>
  <c r="X803" i="2"/>
  <c r="W803" i="2"/>
  <c r="V803" i="2"/>
  <c r="O803" i="2"/>
  <c r="G803" i="2"/>
  <c r="Y802" i="2"/>
  <c r="X802" i="2"/>
  <c r="W802" i="2"/>
  <c r="V802" i="2"/>
  <c r="O802" i="2"/>
  <c r="G802" i="2"/>
  <c r="Y801" i="2"/>
  <c r="X801" i="2"/>
  <c r="W801" i="2"/>
  <c r="V801" i="2"/>
  <c r="O801" i="2"/>
  <c r="G801" i="2"/>
  <c r="Y800" i="2"/>
  <c r="X800" i="2"/>
  <c r="W800" i="2"/>
  <c r="V800" i="2"/>
  <c r="O800" i="2"/>
  <c r="G800" i="2"/>
  <c r="Y799" i="2"/>
  <c r="X799" i="2"/>
  <c r="W799" i="2"/>
  <c r="V799" i="2"/>
  <c r="O799" i="2"/>
  <c r="G799" i="2"/>
  <c r="Y798" i="2"/>
  <c r="X798" i="2"/>
  <c r="W798" i="2"/>
  <c r="V798" i="2"/>
  <c r="O798" i="2"/>
  <c r="G798" i="2"/>
  <c r="Y797" i="2"/>
  <c r="X797" i="2"/>
  <c r="W797" i="2"/>
  <c r="V797" i="2"/>
  <c r="O797" i="2"/>
  <c r="G797" i="2"/>
  <c r="Y796" i="2"/>
  <c r="X796" i="2"/>
  <c r="W796" i="2"/>
  <c r="V796" i="2"/>
  <c r="O796" i="2"/>
  <c r="G796" i="2"/>
  <c r="Y795" i="2"/>
  <c r="X795" i="2"/>
  <c r="W795" i="2"/>
  <c r="V795" i="2"/>
  <c r="O795" i="2"/>
  <c r="G795" i="2"/>
  <c r="Y794" i="2"/>
  <c r="X794" i="2"/>
  <c r="W794" i="2"/>
  <c r="V794" i="2"/>
  <c r="O794" i="2"/>
  <c r="G794" i="2"/>
  <c r="Y793" i="2"/>
  <c r="X793" i="2"/>
  <c r="W793" i="2"/>
  <c r="V793" i="2"/>
  <c r="O793" i="2"/>
  <c r="G793" i="2"/>
  <c r="Y792" i="2"/>
  <c r="X792" i="2"/>
  <c r="W792" i="2"/>
  <c r="V792" i="2"/>
  <c r="O792" i="2"/>
  <c r="G792" i="2"/>
  <c r="Y791" i="2"/>
  <c r="X791" i="2"/>
  <c r="W791" i="2"/>
  <c r="V791" i="2"/>
  <c r="O791" i="2"/>
  <c r="G791" i="2"/>
  <c r="Y790" i="2"/>
  <c r="X790" i="2"/>
  <c r="W790" i="2"/>
  <c r="V790" i="2"/>
  <c r="O790" i="2"/>
  <c r="G790" i="2"/>
  <c r="Y789" i="2"/>
  <c r="X789" i="2"/>
  <c r="W789" i="2"/>
  <c r="V789" i="2"/>
  <c r="O789" i="2"/>
  <c r="G789" i="2"/>
  <c r="Y788" i="2"/>
  <c r="X788" i="2"/>
  <c r="W788" i="2"/>
  <c r="V788" i="2"/>
  <c r="O788" i="2"/>
  <c r="G788" i="2"/>
  <c r="Y787" i="2"/>
  <c r="X787" i="2"/>
  <c r="W787" i="2"/>
  <c r="V787" i="2"/>
  <c r="O787" i="2"/>
  <c r="G787" i="2"/>
  <c r="Y786" i="2"/>
  <c r="X786" i="2"/>
  <c r="W786" i="2"/>
  <c r="V786" i="2"/>
  <c r="O786" i="2"/>
  <c r="G786" i="2"/>
  <c r="Y785" i="2"/>
  <c r="X785" i="2"/>
  <c r="W785" i="2"/>
  <c r="V785" i="2"/>
  <c r="O785" i="2"/>
  <c r="G785" i="2"/>
  <c r="Y784" i="2"/>
  <c r="X784" i="2"/>
  <c r="W784" i="2"/>
  <c r="V784" i="2"/>
  <c r="O784" i="2"/>
  <c r="G784" i="2"/>
  <c r="Y783" i="2"/>
  <c r="X783" i="2"/>
  <c r="W783" i="2"/>
  <c r="V783" i="2"/>
  <c r="O783" i="2"/>
  <c r="G783" i="2"/>
  <c r="Y782" i="2"/>
  <c r="X782" i="2"/>
  <c r="W782" i="2"/>
  <c r="V782" i="2"/>
  <c r="O782" i="2"/>
  <c r="G782" i="2"/>
  <c r="Y781" i="2"/>
  <c r="X781" i="2"/>
  <c r="W781" i="2"/>
  <c r="V781" i="2"/>
  <c r="O781" i="2"/>
  <c r="G781" i="2"/>
  <c r="Y780" i="2"/>
  <c r="X780" i="2"/>
  <c r="W780" i="2"/>
  <c r="V780" i="2"/>
  <c r="O780" i="2"/>
  <c r="G780" i="2"/>
  <c r="Y779" i="2"/>
  <c r="X779" i="2"/>
  <c r="W779" i="2"/>
  <c r="V779" i="2"/>
  <c r="O779" i="2"/>
  <c r="G779" i="2"/>
  <c r="Y778" i="2"/>
  <c r="X778" i="2"/>
  <c r="W778" i="2"/>
  <c r="V778" i="2"/>
  <c r="O778" i="2"/>
  <c r="G778" i="2"/>
  <c r="Y777" i="2"/>
  <c r="X777" i="2"/>
  <c r="W777" i="2"/>
  <c r="V777" i="2"/>
  <c r="O777" i="2"/>
  <c r="G777" i="2"/>
  <c r="Y776" i="2"/>
  <c r="X776" i="2"/>
  <c r="W776" i="2"/>
  <c r="V776" i="2"/>
  <c r="O776" i="2"/>
  <c r="G776" i="2"/>
  <c r="Y775" i="2"/>
  <c r="X775" i="2"/>
  <c r="W775" i="2"/>
  <c r="V775" i="2"/>
  <c r="O775" i="2"/>
  <c r="G775" i="2"/>
  <c r="Y774" i="2"/>
  <c r="X774" i="2"/>
  <c r="W774" i="2"/>
  <c r="V774" i="2"/>
  <c r="O774" i="2"/>
  <c r="G774" i="2"/>
  <c r="Y773" i="2"/>
  <c r="X773" i="2"/>
  <c r="W773" i="2"/>
  <c r="V773" i="2"/>
  <c r="O773" i="2"/>
  <c r="G773" i="2"/>
  <c r="Y772" i="2"/>
  <c r="X772" i="2"/>
  <c r="W772" i="2"/>
  <c r="V772" i="2"/>
  <c r="O772" i="2"/>
  <c r="G772" i="2"/>
  <c r="Y771" i="2"/>
  <c r="X771" i="2"/>
  <c r="W771" i="2"/>
  <c r="V771" i="2"/>
  <c r="O771" i="2"/>
  <c r="G771" i="2"/>
  <c r="Y770" i="2"/>
  <c r="X770" i="2"/>
  <c r="W770" i="2"/>
  <c r="V770" i="2"/>
  <c r="O770" i="2"/>
  <c r="G770" i="2"/>
  <c r="Y769" i="2"/>
  <c r="X769" i="2"/>
  <c r="W769" i="2"/>
  <c r="V769" i="2"/>
  <c r="O769" i="2"/>
  <c r="G769" i="2"/>
  <c r="Y768" i="2"/>
  <c r="X768" i="2"/>
  <c r="W768" i="2"/>
  <c r="V768" i="2"/>
  <c r="O768" i="2"/>
  <c r="G768" i="2"/>
  <c r="Y767" i="2"/>
  <c r="X767" i="2"/>
  <c r="W767" i="2"/>
  <c r="V767" i="2"/>
  <c r="O767" i="2"/>
  <c r="G767" i="2"/>
  <c r="Y766" i="2"/>
  <c r="X766" i="2"/>
  <c r="W766" i="2"/>
  <c r="V766" i="2"/>
  <c r="O766" i="2"/>
  <c r="G766" i="2"/>
  <c r="Y765" i="2"/>
  <c r="X765" i="2"/>
  <c r="W765" i="2"/>
  <c r="V765" i="2"/>
  <c r="O765" i="2"/>
  <c r="G765" i="2"/>
  <c r="Y764" i="2"/>
  <c r="X764" i="2"/>
  <c r="W764" i="2"/>
  <c r="V764" i="2"/>
  <c r="O764" i="2"/>
  <c r="G764" i="2"/>
  <c r="Y763" i="2"/>
  <c r="X763" i="2"/>
  <c r="W763" i="2"/>
  <c r="V763" i="2"/>
  <c r="O763" i="2"/>
  <c r="G763" i="2"/>
  <c r="Y762" i="2"/>
  <c r="X762" i="2"/>
  <c r="W762" i="2"/>
  <c r="V762" i="2"/>
  <c r="O762" i="2"/>
  <c r="G762" i="2"/>
  <c r="Y761" i="2"/>
  <c r="X761" i="2"/>
  <c r="W761" i="2"/>
  <c r="V761" i="2"/>
  <c r="O761" i="2"/>
  <c r="G761" i="2"/>
  <c r="Y760" i="2"/>
  <c r="X760" i="2"/>
  <c r="W760" i="2"/>
  <c r="V760" i="2"/>
  <c r="O760" i="2"/>
  <c r="G760" i="2"/>
  <c r="Y759" i="2"/>
  <c r="X759" i="2"/>
  <c r="W759" i="2"/>
  <c r="V759" i="2"/>
  <c r="O759" i="2"/>
  <c r="G759" i="2"/>
  <c r="Y758" i="2"/>
  <c r="X758" i="2"/>
  <c r="W758" i="2"/>
  <c r="V758" i="2"/>
  <c r="O758" i="2"/>
  <c r="G758" i="2"/>
  <c r="Y757" i="2"/>
  <c r="X757" i="2"/>
  <c r="W757" i="2"/>
  <c r="V757" i="2"/>
  <c r="O757" i="2"/>
  <c r="G757" i="2"/>
  <c r="Y756" i="2"/>
  <c r="X756" i="2"/>
  <c r="W756" i="2"/>
  <c r="V756" i="2"/>
  <c r="O756" i="2"/>
  <c r="G756" i="2"/>
  <c r="Y755" i="2"/>
  <c r="X755" i="2"/>
  <c r="W755" i="2"/>
  <c r="V755" i="2"/>
  <c r="O755" i="2"/>
  <c r="G755" i="2"/>
  <c r="Y754" i="2"/>
  <c r="X754" i="2"/>
  <c r="W754" i="2"/>
  <c r="V754" i="2"/>
  <c r="O754" i="2"/>
  <c r="G754" i="2"/>
  <c r="Y753" i="2"/>
  <c r="X753" i="2"/>
  <c r="W753" i="2"/>
  <c r="V753" i="2"/>
  <c r="O753" i="2"/>
  <c r="G753" i="2"/>
  <c r="Y752" i="2"/>
  <c r="X752" i="2"/>
  <c r="W752" i="2"/>
  <c r="V752" i="2"/>
  <c r="O752" i="2"/>
  <c r="G752" i="2"/>
  <c r="Y751" i="2"/>
  <c r="X751" i="2"/>
  <c r="W751" i="2"/>
  <c r="V751" i="2"/>
  <c r="O751" i="2"/>
  <c r="G751" i="2"/>
  <c r="Y750" i="2"/>
  <c r="X750" i="2"/>
  <c r="W750" i="2"/>
  <c r="V750" i="2"/>
  <c r="O750" i="2"/>
  <c r="G750" i="2"/>
  <c r="Y749" i="2"/>
  <c r="X749" i="2"/>
  <c r="W749" i="2"/>
  <c r="V749" i="2"/>
  <c r="O749" i="2"/>
  <c r="G749" i="2"/>
  <c r="Y748" i="2"/>
  <c r="X748" i="2"/>
  <c r="W748" i="2"/>
  <c r="V748" i="2"/>
  <c r="O748" i="2"/>
  <c r="G748" i="2"/>
  <c r="Y747" i="2"/>
  <c r="X747" i="2"/>
  <c r="W747" i="2"/>
  <c r="V747" i="2"/>
  <c r="O747" i="2"/>
  <c r="G747" i="2"/>
  <c r="Y746" i="2"/>
  <c r="X746" i="2"/>
  <c r="W746" i="2"/>
  <c r="V746" i="2"/>
  <c r="O746" i="2"/>
  <c r="G746" i="2"/>
  <c r="Y745" i="2"/>
  <c r="X745" i="2"/>
  <c r="W745" i="2"/>
  <c r="V745" i="2"/>
  <c r="O745" i="2"/>
  <c r="G745" i="2"/>
  <c r="Y744" i="2"/>
  <c r="X744" i="2"/>
  <c r="W744" i="2"/>
  <c r="V744" i="2"/>
  <c r="O744" i="2"/>
  <c r="G744" i="2"/>
  <c r="Y743" i="2"/>
  <c r="X743" i="2"/>
  <c r="W743" i="2"/>
  <c r="V743" i="2"/>
  <c r="O743" i="2"/>
  <c r="G743" i="2"/>
  <c r="Y742" i="2"/>
  <c r="X742" i="2"/>
  <c r="W742" i="2"/>
  <c r="V742" i="2"/>
  <c r="O742" i="2"/>
  <c r="G742" i="2"/>
  <c r="Y741" i="2"/>
  <c r="X741" i="2"/>
  <c r="W741" i="2"/>
  <c r="V741" i="2"/>
  <c r="O741" i="2"/>
  <c r="G741" i="2"/>
  <c r="Y740" i="2"/>
  <c r="X740" i="2"/>
  <c r="W740" i="2"/>
  <c r="V740" i="2"/>
  <c r="O740" i="2"/>
  <c r="G740" i="2"/>
  <c r="Y739" i="2"/>
  <c r="X739" i="2"/>
  <c r="W739" i="2"/>
  <c r="V739" i="2"/>
  <c r="O739" i="2"/>
  <c r="G739" i="2"/>
  <c r="Y738" i="2"/>
  <c r="X738" i="2"/>
  <c r="W738" i="2"/>
  <c r="V738" i="2"/>
  <c r="O738" i="2"/>
  <c r="G738" i="2"/>
  <c r="Y737" i="2"/>
  <c r="X737" i="2"/>
  <c r="W737" i="2"/>
  <c r="V737" i="2"/>
  <c r="O737" i="2"/>
  <c r="G737" i="2"/>
  <c r="Y736" i="2"/>
  <c r="X736" i="2"/>
  <c r="W736" i="2"/>
  <c r="V736" i="2"/>
  <c r="O736" i="2"/>
  <c r="G736" i="2"/>
  <c r="Y735" i="2"/>
  <c r="X735" i="2"/>
  <c r="W735" i="2"/>
  <c r="V735" i="2"/>
  <c r="O735" i="2"/>
  <c r="G735" i="2"/>
  <c r="Y734" i="2"/>
  <c r="X734" i="2"/>
  <c r="W734" i="2"/>
  <c r="V734" i="2"/>
  <c r="O734" i="2"/>
  <c r="G734" i="2"/>
  <c r="Y733" i="2"/>
  <c r="X733" i="2"/>
  <c r="W733" i="2"/>
  <c r="V733" i="2"/>
  <c r="O733" i="2"/>
  <c r="G733" i="2"/>
  <c r="Y732" i="2"/>
  <c r="X732" i="2"/>
  <c r="W732" i="2"/>
  <c r="V732" i="2"/>
  <c r="O732" i="2"/>
  <c r="G732" i="2"/>
  <c r="Y731" i="2"/>
  <c r="X731" i="2"/>
  <c r="W731" i="2"/>
  <c r="V731" i="2"/>
  <c r="O731" i="2"/>
  <c r="G731" i="2"/>
  <c r="Y730" i="2"/>
  <c r="X730" i="2"/>
  <c r="W730" i="2"/>
  <c r="V730" i="2"/>
  <c r="O730" i="2"/>
  <c r="G730" i="2"/>
  <c r="Y729" i="2"/>
  <c r="X729" i="2"/>
  <c r="W729" i="2"/>
  <c r="V729" i="2"/>
  <c r="O729" i="2"/>
  <c r="G729" i="2"/>
  <c r="Y728" i="2"/>
  <c r="X728" i="2"/>
  <c r="W728" i="2"/>
  <c r="V728" i="2"/>
  <c r="O728" i="2"/>
  <c r="G728" i="2"/>
  <c r="Y727" i="2"/>
  <c r="X727" i="2"/>
  <c r="W727" i="2"/>
  <c r="V727" i="2"/>
  <c r="O727" i="2"/>
  <c r="G727" i="2"/>
  <c r="Y726" i="2"/>
  <c r="X726" i="2"/>
  <c r="W726" i="2"/>
  <c r="V726" i="2"/>
  <c r="O726" i="2"/>
  <c r="G726" i="2"/>
  <c r="Y725" i="2"/>
  <c r="X725" i="2"/>
  <c r="W725" i="2"/>
  <c r="V725" i="2"/>
  <c r="O725" i="2"/>
  <c r="G725" i="2"/>
  <c r="Y724" i="2"/>
  <c r="X724" i="2"/>
  <c r="W724" i="2"/>
  <c r="V724" i="2"/>
  <c r="O724" i="2"/>
  <c r="G724" i="2"/>
  <c r="Y723" i="2"/>
  <c r="X723" i="2"/>
  <c r="W723" i="2"/>
  <c r="V723" i="2"/>
  <c r="O723" i="2"/>
  <c r="G723" i="2"/>
  <c r="Y722" i="2"/>
  <c r="X722" i="2"/>
  <c r="W722" i="2"/>
  <c r="V722" i="2"/>
  <c r="O722" i="2"/>
  <c r="G722" i="2"/>
  <c r="Y721" i="2"/>
  <c r="X721" i="2"/>
  <c r="W721" i="2"/>
  <c r="V721" i="2"/>
  <c r="O721" i="2"/>
  <c r="G721" i="2"/>
  <c r="Y720" i="2"/>
  <c r="X720" i="2"/>
  <c r="W720" i="2"/>
  <c r="V720" i="2"/>
  <c r="O720" i="2"/>
  <c r="G720" i="2"/>
  <c r="Y719" i="2"/>
  <c r="X719" i="2"/>
  <c r="W719" i="2"/>
  <c r="V719" i="2"/>
  <c r="O719" i="2"/>
  <c r="G719" i="2"/>
  <c r="Y718" i="2"/>
  <c r="X718" i="2"/>
  <c r="W718" i="2"/>
  <c r="V718" i="2"/>
  <c r="O718" i="2"/>
  <c r="G718" i="2"/>
  <c r="Y717" i="2"/>
  <c r="X717" i="2"/>
  <c r="W717" i="2"/>
  <c r="V717" i="2"/>
  <c r="O717" i="2"/>
  <c r="G717" i="2"/>
  <c r="Y716" i="2"/>
  <c r="X716" i="2"/>
  <c r="W716" i="2"/>
  <c r="V716" i="2"/>
  <c r="O716" i="2"/>
  <c r="G716" i="2"/>
  <c r="Y715" i="2"/>
  <c r="X715" i="2"/>
  <c r="W715" i="2"/>
  <c r="V715" i="2"/>
  <c r="O715" i="2"/>
  <c r="G715" i="2"/>
  <c r="Y714" i="2"/>
  <c r="X714" i="2"/>
  <c r="W714" i="2"/>
  <c r="V714" i="2"/>
  <c r="O714" i="2"/>
  <c r="G714" i="2"/>
  <c r="Y713" i="2"/>
  <c r="X713" i="2"/>
  <c r="W713" i="2"/>
  <c r="V713" i="2"/>
  <c r="O713" i="2"/>
  <c r="G713" i="2"/>
  <c r="Y712" i="2"/>
  <c r="X712" i="2"/>
  <c r="W712" i="2"/>
  <c r="V712" i="2"/>
  <c r="O712" i="2"/>
  <c r="G712" i="2"/>
  <c r="Y711" i="2"/>
  <c r="X711" i="2"/>
  <c r="W711" i="2"/>
  <c r="V711" i="2"/>
  <c r="O711" i="2"/>
  <c r="G711" i="2"/>
  <c r="Y710" i="2"/>
  <c r="X710" i="2"/>
  <c r="W710" i="2"/>
  <c r="V710" i="2"/>
  <c r="O710" i="2"/>
  <c r="G710" i="2"/>
  <c r="Y709" i="2"/>
  <c r="X709" i="2"/>
  <c r="W709" i="2"/>
  <c r="V709" i="2"/>
  <c r="O709" i="2"/>
  <c r="G709" i="2"/>
  <c r="Y708" i="2"/>
  <c r="X708" i="2"/>
  <c r="W708" i="2"/>
  <c r="V708" i="2"/>
  <c r="O708" i="2"/>
  <c r="G708" i="2"/>
  <c r="Y707" i="2"/>
  <c r="X707" i="2"/>
  <c r="W707" i="2"/>
  <c r="V707" i="2"/>
  <c r="O707" i="2"/>
  <c r="G707" i="2"/>
  <c r="Y706" i="2"/>
  <c r="X706" i="2"/>
  <c r="W706" i="2"/>
  <c r="V706" i="2"/>
  <c r="O706" i="2"/>
  <c r="G706" i="2"/>
  <c r="Y705" i="2"/>
  <c r="X705" i="2"/>
  <c r="W705" i="2"/>
  <c r="V705" i="2"/>
  <c r="O705" i="2"/>
  <c r="G705" i="2"/>
  <c r="Y704" i="2"/>
  <c r="X704" i="2"/>
  <c r="W704" i="2"/>
  <c r="V704" i="2"/>
  <c r="O704" i="2"/>
  <c r="G704" i="2"/>
  <c r="Y703" i="2"/>
  <c r="X703" i="2"/>
  <c r="W703" i="2"/>
  <c r="V703" i="2"/>
  <c r="O703" i="2"/>
  <c r="G703" i="2"/>
  <c r="Y702" i="2"/>
  <c r="X702" i="2"/>
  <c r="W702" i="2"/>
  <c r="V702" i="2"/>
  <c r="O702" i="2"/>
  <c r="G702" i="2"/>
  <c r="Y701" i="2"/>
  <c r="X701" i="2"/>
  <c r="W701" i="2"/>
  <c r="V701" i="2"/>
  <c r="O701" i="2"/>
  <c r="G701" i="2"/>
  <c r="Y700" i="2"/>
  <c r="X700" i="2"/>
  <c r="W700" i="2"/>
  <c r="V700" i="2"/>
  <c r="O700" i="2"/>
  <c r="G700" i="2"/>
  <c r="Y699" i="2"/>
  <c r="X699" i="2"/>
  <c r="W699" i="2"/>
  <c r="V699" i="2"/>
  <c r="O699" i="2"/>
  <c r="G699" i="2"/>
  <c r="Y698" i="2"/>
  <c r="X698" i="2"/>
  <c r="W698" i="2"/>
  <c r="V698" i="2"/>
  <c r="O698" i="2"/>
  <c r="G698" i="2"/>
  <c r="Y697" i="2"/>
  <c r="X697" i="2"/>
  <c r="W697" i="2"/>
  <c r="V697" i="2"/>
  <c r="O697" i="2"/>
  <c r="G697" i="2"/>
  <c r="Y696" i="2"/>
  <c r="X696" i="2"/>
  <c r="W696" i="2"/>
  <c r="V696" i="2"/>
  <c r="O696" i="2"/>
  <c r="G696" i="2"/>
  <c r="Y695" i="2"/>
  <c r="X695" i="2"/>
  <c r="W695" i="2"/>
  <c r="V695" i="2"/>
  <c r="O695" i="2"/>
  <c r="G695" i="2"/>
  <c r="Y694" i="2"/>
  <c r="X694" i="2"/>
  <c r="W694" i="2"/>
  <c r="V694" i="2"/>
  <c r="O694" i="2"/>
  <c r="G694" i="2"/>
  <c r="Y693" i="2"/>
  <c r="X693" i="2"/>
  <c r="W693" i="2"/>
  <c r="V693" i="2"/>
  <c r="O693" i="2"/>
  <c r="G693" i="2"/>
  <c r="Y692" i="2"/>
  <c r="X692" i="2"/>
  <c r="W692" i="2"/>
  <c r="V692" i="2"/>
  <c r="O692" i="2"/>
  <c r="G692" i="2"/>
  <c r="Y691" i="2"/>
  <c r="X691" i="2"/>
  <c r="W691" i="2"/>
  <c r="V691" i="2"/>
  <c r="O691" i="2"/>
  <c r="G691" i="2"/>
  <c r="Y690" i="2"/>
  <c r="X690" i="2"/>
  <c r="W690" i="2"/>
  <c r="V690" i="2"/>
  <c r="O690" i="2"/>
  <c r="G690" i="2"/>
  <c r="Y689" i="2"/>
  <c r="X689" i="2"/>
  <c r="W689" i="2"/>
  <c r="V689" i="2"/>
  <c r="O689" i="2"/>
  <c r="G689" i="2"/>
  <c r="Y688" i="2"/>
  <c r="X688" i="2"/>
  <c r="W688" i="2"/>
  <c r="V688" i="2"/>
  <c r="O688" i="2"/>
  <c r="G688" i="2"/>
  <c r="Y687" i="2"/>
  <c r="X687" i="2"/>
  <c r="W687" i="2"/>
  <c r="V687" i="2"/>
  <c r="O687" i="2"/>
  <c r="G687" i="2"/>
  <c r="Y686" i="2"/>
  <c r="X686" i="2"/>
  <c r="W686" i="2"/>
  <c r="V686" i="2"/>
  <c r="O686" i="2"/>
  <c r="G686" i="2"/>
  <c r="Y685" i="2"/>
  <c r="X685" i="2"/>
  <c r="W685" i="2"/>
  <c r="V685" i="2"/>
  <c r="O685" i="2"/>
  <c r="G685" i="2"/>
  <c r="Y684" i="2"/>
  <c r="X684" i="2"/>
  <c r="W684" i="2"/>
  <c r="V684" i="2"/>
  <c r="O684" i="2"/>
  <c r="G684" i="2"/>
  <c r="Y683" i="2"/>
  <c r="X683" i="2"/>
  <c r="W683" i="2"/>
  <c r="V683" i="2"/>
  <c r="O683" i="2"/>
  <c r="G683" i="2"/>
  <c r="Y682" i="2"/>
  <c r="X682" i="2"/>
  <c r="W682" i="2"/>
  <c r="V682" i="2"/>
  <c r="O682" i="2"/>
  <c r="G682" i="2"/>
  <c r="Y681" i="2"/>
  <c r="X681" i="2"/>
  <c r="W681" i="2"/>
  <c r="V681" i="2"/>
  <c r="O681" i="2"/>
  <c r="G681" i="2"/>
  <c r="Y680" i="2"/>
  <c r="X680" i="2"/>
  <c r="W680" i="2"/>
  <c r="V680" i="2"/>
  <c r="O680" i="2"/>
  <c r="G680" i="2"/>
  <c r="Y679" i="2"/>
  <c r="X679" i="2"/>
  <c r="W679" i="2"/>
  <c r="V679" i="2"/>
  <c r="O679" i="2"/>
  <c r="G679" i="2"/>
  <c r="Y678" i="2"/>
  <c r="X678" i="2"/>
  <c r="W678" i="2"/>
  <c r="V678" i="2"/>
  <c r="O678" i="2"/>
  <c r="G678" i="2"/>
  <c r="Y677" i="2"/>
  <c r="X677" i="2"/>
  <c r="W677" i="2"/>
  <c r="V677" i="2"/>
  <c r="O677" i="2"/>
  <c r="G677" i="2"/>
  <c r="Y676" i="2"/>
  <c r="X676" i="2"/>
  <c r="W676" i="2"/>
  <c r="V676" i="2"/>
  <c r="O676" i="2"/>
  <c r="G676" i="2"/>
  <c r="Y675" i="2"/>
  <c r="X675" i="2"/>
  <c r="W675" i="2"/>
  <c r="V675" i="2"/>
  <c r="O675" i="2"/>
  <c r="G675" i="2"/>
  <c r="Y674" i="2"/>
  <c r="X674" i="2"/>
  <c r="W674" i="2"/>
  <c r="V674" i="2"/>
  <c r="O674" i="2"/>
  <c r="G674" i="2"/>
  <c r="Y673" i="2"/>
  <c r="X673" i="2"/>
  <c r="W673" i="2"/>
  <c r="V673" i="2"/>
  <c r="O673" i="2"/>
  <c r="G673" i="2"/>
  <c r="Y672" i="2"/>
  <c r="X672" i="2"/>
  <c r="W672" i="2"/>
  <c r="V672" i="2"/>
  <c r="O672" i="2"/>
  <c r="G672" i="2"/>
  <c r="Y671" i="2"/>
  <c r="X671" i="2"/>
  <c r="W671" i="2"/>
  <c r="V671" i="2"/>
  <c r="O671" i="2"/>
  <c r="G671" i="2"/>
  <c r="Y670" i="2"/>
  <c r="X670" i="2"/>
  <c r="W670" i="2"/>
  <c r="V670" i="2"/>
  <c r="O670" i="2"/>
  <c r="G670" i="2"/>
  <c r="Y669" i="2"/>
  <c r="X669" i="2"/>
  <c r="W669" i="2"/>
  <c r="V669" i="2"/>
  <c r="O669" i="2"/>
  <c r="G669" i="2"/>
  <c r="Y668" i="2"/>
  <c r="X668" i="2"/>
  <c r="W668" i="2"/>
  <c r="V668" i="2"/>
  <c r="O668" i="2"/>
  <c r="G668" i="2"/>
  <c r="Y667" i="2"/>
  <c r="X667" i="2"/>
  <c r="W667" i="2"/>
  <c r="V667" i="2"/>
  <c r="O667" i="2"/>
  <c r="G667" i="2"/>
  <c r="Y666" i="2"/>
  <c r="X666" i="2"/>
  <c r="W666" i="2"/>
  <c r="V666" i="2"/>
  <c r="O666" i="2"/>
  <c r="G666" i="2"/>
  <c r="Y665" i="2"/>
  <c r="X665" i="2"/>
  <c r="W665" i="2"/>
  <c r="V665" i="2"/>
  <c r="O665" i="2"/>
  <c r="G665" i="2"/>
  <c r="Y664" i="2"/>
  <c r="X664" i="2"/>
  <c r="W664" i="2"/>
  <c r="V664" i="2"/>
  <c r="O664" i="2"/>
  <c r="G664" i="2"/>
  <c r="Y663" i="2"/>
  <c r="X663" i="2"/>
  <c r="W663" i="2"/>
  <c r="V663" i="2"/>
  <c r="O663" i="2"/>
  <c r="G663" i="2"/>
  <c r="Y662" i="2"/>
  <c r="X662" i="2"/>
  <c r="W662" i="2"/>
  <c r="V662" i="2"/>
  <c r="O662" i="2"/>
  <c r="G662" i="2"/>
  <c r="Y661" i="2"/>
  <c r="X661" i="2"/>
  <c r="W661" i="2"/>
  <c r="V661" i="2"/>
  <c r="O661" i="2"/>
  <c r="G661" i="2"/>
  <c r="Y660" i="2"/>
  <c r="X660" i="2"/>
  <c r="W660" i="2"/>
  <c r="V660" i="2"/>
  <c r="O660" i="2"/>
  <c r="G660" i="2"/>
  <c r="Y659" i="2"/>
  <c r="X659" i="2"/>
  <c r="W659" i="2"/>
  <c r="V659" i="2"/>
  <c r="O659" i="2"/>
  <c r="G659" i="2"/>
  <c r="Y658" i="2"/>
  <c r="X658" i="2"/>
  <c r="W658" i="2"/>
  <c r="V658" i="2"/>
  <c r="O658" i="2"/>
  <c r="G658" i="2"/>
  <c r="Y657" i="2"/>
  <c r="X657" i="2"/>
  <c r="W657" i="2"/>
  <c r="V657" i="2"/>
  <c r="O657" i="2"/>
  <c r="G657" i="2"/>
  <c r="Y656" i="2"/>
  <c r="X656" i="2"/>
  <c r="W656" i="2"/>
  <c r="V656" i="2"/>
  <c r="O656" i="2"/>
  <c r="G656" i="2"/>
  <c r="Y655" i="2"/>
  <c r="X655" i="2"/>
  <c r="W655" i="2"/>
  <c r="V655" i="2"/>
  <c r="O655" i="2"/>
  <c r="G655" i="2"/>
  <c r="Y654" i="2"/>
  <c r="X654" i="2"/>
  <c r="W654" i="2"/>
  <c r="V654" i="2"/>
  <c r="O654" i="2"/>
  <c r="G654" i="2"/>
  <c r="Y653" i="2"/>
  <c r="X653" i="2"/>
  <c r="W653" i="2"/>
  <c r="V653" i="2"/>
  <c r="O653" i="2"/>
  <c r="G653" i="2"/>
  <c r="Y652" i="2"/>
  <c r="X652" i="2"/>
  <c r="W652" i="2"/>
  <c r="V652" i="2"/>
  <c r="O652" i="2"/>
  <c r="G652" i="2"/>
  <c r="Y651" i="2"/>
  <c r="X651" i="2"/>
  <c r="W651" i="2"/>
  <c r="V651" i="2"/>
  <c r="O651" i="2"/>
  <c r="G651" i="2"/>
  <c r="Y650" i="2"/>
  <c r="X650" i="2"/>
  <c r="W650" i="2"/>
  <c r="V650" i="2"/>
  <c r="O650" i="2"/>
  <c r="G650" i="2"/>
  <c r="Y649" i="2"/>
  <c r="X649" i="2"/>
  <c r="W649" i="2"/>
  <c r="V649" i="2"/>
  <c r="O649" i="2"/>
  <c r="G649" i="2"/>
  <c r="Y648" i="2"/>
  <c r="X648" i="2"/>
  <c r="W648" i="2"/>
  <c r="V648" i="2"/>
  <c r="O648" i="2"/>
  <c r="G648" i="2"/>
  <c r="Y647" i="2"/>
  <c r="X647" i="2"/>
  <c r="W647" i="2"/>
  <c r="V647" i="2"/>
  <c r="O647" i="2"/>
  <c r="G647" i="2"/>
  <c r="Y646" i="2"/>
  <c r="X646" i="2"/>
  <c r="W646" i="2"/>
  <c r="V646" i="2"/>
  <c r="O646" i="2"/>
  <c r="G646" i="2"/>
  <c r="Y645" i="2"/>
  <c r="X645" i="2"/>
  <c r="W645" i="2"/>
  <c r="V645" i="2"/>
  <c r="O645" i="2"/>
  <c r="G645" i="2"/>
  <c r="Y644" i="2"/>
  <c r="X644" i="2"/>
  <c r="W644" i="2"/>
  <c r="V644" i="2"/>
  <c r="O644" i="2"/>
  <c r="G644" i="2"/>
  <c r="Y643" i="2"/>
  <c r="X643" i="2"/>
  <c r="W643" i="2"/>
  <c r="V643" i="2"/>
  <c r="O643" i="2"/>
  <c r="G643" i="2"/>
  <c r="Y642" i="2"/>
  <c r="X642" i="2"/>
  <c r="W642" i="2"/>
  <c r="V642" i="2"/>
  <c r="O642" i="2"/>
  <c r="G642" i="2"/>
  <c r="Y641" i="2"/>
  <c r="X641" i="2"/>
  <c r="W641" i="2"/>
  <c r="V641" i="2"/>
  <c r="O641" i="2"/>
  <c r="G641" i="2"/>
  <c r="Y640" i="2"/>
  <c r="X640" i="2"/>
  <c r="W640" i="2"/>
  <c r="V640" i="2"/>
  <c r="O640" i="2"/>
  <c r="G640" i="2"/>
  <c r="Y639" i="2"/>
  <c r="X639" i="2"/>
  <c r="W639" i="2"/>
  <c r="V639" i="2"/>
  <c r="O639" i="2"/>
  <c r="G639" i="2"/>
  <c r="Y638" i="2"/>
  <c r="X638" i="2"/>
  <c r="W638" i="2"/>
  <c r="V638" i="2"/>
  <c r="O638" i="2"/>
  <c r="G638" i="2"/>
  <c r="Y637" i="2"/>
  <c r="X637" i="2"/>
  <c r="W637" i="2"/>
  <c r="V637" i="2"/>
  <c r="O637" i="2"/>
  <c r="G637" i="2"/>
  <c r="Y636" i="2"/>
  <c r="X636" i="2"/>
  <c r="W636" i="2"/>
  <c r="V636" i="2"/>
  <c r="O636" i="2"/>
  <c r="G636" i="2"/>
  <c r="Y635" i="2"/>
  <c r="X635" i="2"/>
  <c r="W635" i="2"/>
  <c r="V635" i="2"/>
  <c r="O635" i="2"/>
  <c r="G635" i="2"/>
  <c r="Y634" i="2"/>
  <c r="X634" i="2"/>
  <c r="W634" i="2"/>
  <c r="V634" i="2"/>
  <c r="O634" i="2"/>
  <c r="G634" i="2"/>
  <c r="Y633" i="2"/>
  <c r="X633" i="2"/>
  <c r="W633" i="2"/>
  <c r="V633" i="2"/>
  <c r="O633" i="2"/>
  <c r="G633" i="2"/>
  <c r="Y632" i="2"/>
  <c r="X632" i="2"/>
  <c r="W632" i="2"/>
  <c r="V632" i="2"/>
  <c r="O632" i="2"/>
  <c r="G632" i="2"/>
  <c r="Y631" i="2"/>
  <c r="X631" i="2"/>
  <c r="W631" i="2"/>
  <c r="V631" i="2"/>
  <c r="O631" i="2"/>
  <c r="G631" i="2"/>
  <c r="Y630" i="2"/>
  <c r="X630" i="2"/>
  <c r="W630" i="2"/>
  <c r="V630" i="2"/>
  <c r="O630" i="2"/>
  <c r="G630" i="2"/>
  <c r="Y629" i="2"/>
  <c r="X629" i="2"/>
  <c r="W629" i="2"/>
  <c r="V629" i="2"/>
  <c r="O629" i="2"/>
  <c r="G629" i="2"/>
  <c r="Y628" i="2"/>
  <c r="X628" i="2"/>
  <c r="W628" i="2"/>
  <c r="V628" i="2"/>
  <c r="O628" i="2"/>
  <c r="G628" i="2"/>
  <c r="Y627" i="2"/>
  <c r="X627" i="2"/>
  <c r="W627" i="2"/>
  <c r="V627" i="2"/>
  <c r="O627" i="2"/>
  <c r="G627" i="2"/>
  <c r="Y626" i="2"/>
  <c r="X626" i="2"/>
  <c r="W626" i="2"/>
  <c r="V626" i="2"/>
  <c r="O626" i="2"/>
  <c r="G626" i="2"/>
  <c r="Y625" i="2"/>
  <c r="X625" i="2"/>
  <c r="W625" i="2"/>
  <c r="V625" i="2"/>
  <c r="O625" i="2"/>
  <c r="G625" i="2"/>
  <c r="Y624" i="2"/>
  <c r="X624" i="2"/>
  <c r="W624" i="2"/>
  <c r="V624" i="2"/>
  <c r="O624" i="2"/>
  <c r="G624" i="2"/>
  <c r="Y623" i="2"/>
  <c r="X623" i="2"/>
  <c r="W623" i="2"/>
  <c r="V623" i="2"/>
  <c r="O623" i="2"/>
  <c r="G623" i="2"/>
  <c r="Y622" i="2"/>
  <c r="X622" i="2"/>
  <c r="W622" i="2"/>
  <c r="V622" i="2"/>
  <c r="O622" i="2"/>
  <c r="G622" i="2"/>
  <c r="Y621" i="2"/>
  <c r="X621" i="2"/>
  <c r="W621" i="2"/>
  <c r="V621" i="2"/>
  <c r="O621" i="2"/>
  <c r="G621" i="2"/>
  <c r="Y620" i="2"/>
  <c r="X620" i="2"/>
  <c r="W620" i="2"/>
  <c r="V620" i="2"/>
  <c r="O620" i="2"/>
  <c r="G620" i="2"/>
  <c r="Y619" i="2"/>
  <c r="X619" i="2"/>
  <c r="W619" i="2"/>
  <c r="V619" i="2"/>
  <c r="O619" i="2"/>
  <c r="G619" i="2"/>
  <c r="Y618" i="2"/>
  <c r="X618" i="2"/>
  <c r="W618" i="2"/>
  <c r="V618" i="2"/>
  <c r="O618" i="2"/>
  <c r="G618" i="2"/>
  <c r="Y617" i="2"/>
  <c r="X617" i="2"/>
  <c r="W617" i="2"/>
  <c r="V617" i="2"/>
  <c r="O617" i="2"/>
  <c r="G617" i="2"/>
  <c r="Y616" i="2"/>
  <c r="X616" i="2"/>
  <c r="W616" i="2"/>
  <c r="V616" i="2"/>
  <c r="O616" i="2"/>
  <c r="G616" i="2"/>
  <c r="Y615" i="2"/>
  <c r="X615" i="2"/>
  <c r="W615" i="2"/>
  <c r="V615" i="2"/>
  <c r="O615" i="2"/>
  <c r="G615" i="2"/>
  <c r="Y614" i="2"/>
  <c r="X614" i="2"/>
  <c r="W614" i="2"/>
  <c r="V614" i="2"/>
  <c r="O614" i="2"/>
  <c r="G614" i="2"/>
  <c r="Y613" i="2"/>
  <c r="X613" i="2"/>
  <c r="W613" i="2"/>
  <c r="V613" i="2"/>
  <c r="O613" i="2"/>
  <c r="G613" i="2"/>
  <c r="Y612" i="2"/>
  <c r="X612" i="2"/>
  <c r="W612" i="2"/>
  <c r="V612" i="2"/>
  <c r="O612" i="2"/>
  <c r="G612" i="2"/>
  <c r="Y611" i="2"/>
  <c r="X611" i="2"/>
  <c r="W611" i="2"/>
  <c r="V611" i="2"/>
  <c r="O611" i="2"/>
  <c r="G611" i="2"/>
  <c r="Y610" i="2"/>
  <c r="X610" i="2"/>
  <c r="W610" i="2"/>
  <c r="V610" i="2"/>
  <c r="O610" i="2"/>
  <c r="G610" i="2"/>
  <c r="Y609" i="2"/>
  <c r="X609" i="2"/>
  <c r="W609" i="2"/>
  <c r="V609" i="2"/>
  <c r="O609" i="2"/>
  <c r="G609" i="2"/>
  <c r="Y608" i="2"/>
  <c r="X608" i="2"/>
  <c r="W608" i="2"/>
  <c r="V608" i="2"/>
  <c r="O608" i="2"/>
  <c r="G608" i="2"/>
  <c r="Y607" i="2"/>
  <c r="X607" i="2"/>
  <c r="W607" i="2"/>
  <c r="V607" i="2"/>
  <c r="O607" i="2"/>
  <c r="G607" i="2"/>
  <c r="Y606" i="2"/>
  <c r="X606" i="2"/>
  <c r="W606" i="2"/>
  <c r="V606" i="2"/>
  <c r="O606" i="2"/>
  <c r="G606" i="2"/>
  <c r="Y605" i="2"/>
  <c r="X605" i="2"/>
  <c r="W605" i="2"/>
  <c r="V605" i="2"/>
  <c r="O605" i="2"/>
  <c r="G605" i="2"/>
  <c r="Y604" i="2"/>
  <c r="X604" i="2"/>
  <c r="W604" i="2"/>
  <c r="V604" i="2"/>
  <c r="O604" i="2"/>
  <c r="G604" i="2"/>
  <c r="Y603" i="2"/>
  <c r="X603" i="2"/>
  <c r="W603" i="2"/>
  <c r="V603" i="2"/>
  <c r="O603" i="2"/>
  <c r="G603" i="2"/>
  <c r="Y602" i="2"/>
  <c r="X602" i="2"/>
  <c r="W602" i="2"/>
  <c r="V602" i="2"/>
  <c r="O602" i="2"/>
  <c r="G602" i="2"/>
  <c r="Y601" i="2"/>
  <c r="X601" i="2"/>
  <c r="W601" i="2"/>
  <c r="V601" i="2"/>
  <c r="O601" i="2"/>
  <c r="G601" i="2"/>
  <c r="Y600" i="2"/>
  <c r="X600" i="2"/>
  <c r="W600" i="2"/>
  <c r="V600" i="2"/>
  <c r="O600" i="2"/>
  <c r="G600" i="2"/>
  <c r="Y599" i="2"/>
  <c r="X599" i="2"/>
  <c r="W599" i="2"/>
  <c r="V599" i="2"/>
  <c r="O599" i="2"/>
  <c r="G599" i="2"/>
  <c r="Y598" i="2"/>
  <c r="X598" i="2"/>
  <c r="W598" i="2"/>
  <c r="V598" i="2"/>
  <c r="O598" i="2"/>
  <c r="G598" i="2"/>
  <c r="Y597" i="2"/>
  <c r="X597" i="2"/>
  <c r="W597" i="2"/>
  <c r="V597" i="2"/>
  <c r="O597" i="2"/>
  <c r="G597" i="2"/>
  <c r="Y596" i="2"/>
  <c r="X596" i="2"/>
  <c r="W596" i="2"/>
  <c r="V596" i="2"/>
  <c r="O596" i="2"/>
  <c r="G596" i="2"/>
  <c r="Y595" i="2"/>
  <c r="X595" i="2"/>
  <c r="W595" i="2"/>
  <c r="V595" i="2"/>
  <c r="O595" i="2"/>
  <c r="G595" i="2"/>
  <c r="Y594" i="2"/>
  <c r="X594" i="2"/>
  <c r="W594" i="2"/>
  <c r="V594" i="2"/>
  <c r="O594" i="2"/>
  <c r="G594" i="2"/>
  <c r="Y593" i="2"/>
  <c r="X593" i="2"/>
  <c r="W593" i="2"/>
  <c r="V593" i="2"/>
  <c r="O593" i="2"/>
  <c r="G593" i="2"/>
  <c r="Y592" i="2"/>
  <c r="X592" i="2"/>
  <c r="W592" i="2"/>
  <c r="V592" i="2"/>
  <c r="O592" i="2"/>
  <c r="G592" i="2"/>
  <c r="Y591" i="2"/>
  <c r="X591" i="2"/>
  <c r="W591" i="2"/>
  <c r="V591" i="2"/>
  <c r="O591" i="2"/>
  <c r="G591" i="2"/>
  <c r="Y590" i="2"/>
  <c r="X590" i="2"/>
  <c r="W590" i="2"/>
  <c r="V590" i="2"/>
  <c r="O590" i="2"/>
  <c r="G590" i="2"/>
  <c r="Y589" i="2"/>
  <c r="X589" i="2"/>
  <c r="W589" i="2"/>
  <c r="V589" i="2"/>
  <c r="O589" i="2"/>
  <c r="G589" i="2"/>
  <c r="Y588" i="2"/>
  <c r="X588" i="2"/>
  <c r="W588" i="2"/>
  <c r="V588" i="2"/>
  <c r="O588" i="2"/>
  <c r="G588" i="2"/>
  <c r="Y587" i="2"/>
  <c r="X587" i="2"/>
  <c r="W587" i="2"/>
  <c r="V587" i="2"/>
  <c r="O587" i="2"/>
  <c r="G587" i="2"/>
  <c r="Y586" i="2"/>
  <c r="X586" i="2"/>
  <c r="W586" i="2"/>
  <c r="V586" i="2"/>
  <c r="O586" i="2"/>
  <c r="G586" i="2"/>
  <c r="Y585" i="2"/>
  <c r="X585" i="2"/>
  <c r="W585" i="2"/>
  <c r="V585" i="2"/>
  <c r="O585" i="2"/>
  <c r="G585" i="2"/>
  <c r="Y584" i="2"/>
  <c r="X584" i="2"/>
  <c r="W584" i="2"/>
  <c r="V584" i="2"/>
  <c r="O584" i="2"/>
  <c r="G584" i="2"/>
  <c r="Y583" i="2"/>
  <c r="X583" i="2"/>
  <c r="W583" i="2"/>
  <c r="V583" i="2"/>
  <c r="O583" i="2"/>
  <c r="G583" i="2"/>
  <c r="Y582" i="2"/>
  <c r="X582" i="2"/>
  <c r="W582" i="2"/>
  <c r="V582" i="2"/>
  <c r="O582" i="2"/>
  <c r="G582" i="2"/>
  <c r="Y581" i="2"/>
  <c r="X581" i="2"/>
  <c r="W581" i="2"/>
  <c r="V581" i="2"/>
  <c r="O581" i="2"/>
  <c r="G581" i="2"/>
  <c r="Y580" i="2"/>
  <c r="X580" i="2"/>
  <c r="W580" i="2"/>
  <c r="V580" i="2"/>
  <c r="O580" i="2"/>
  <c r="G580" i="2"/>
  <c r="Y579" i="2"/>
  <c r="X579" i="2"/>
  <c r="W579" i="2"/>
  <c r="V579" i="2"/>
  <c r="O579" i="2"/>
  <c r="G579" i="2"/>
  <c r="Y578" i="2"/>
  <c r="X578" i="2"/>
  <c r="W578" i="2"/>
  <c r="V578" i="2"/>
  <c r="O578" i="2"/>
  <c r="G578" i="2"/>
  <c r="Y577" i="2"/>
  <c r="X577" i="2"/>
  <c r="W577" i="2"/>
  <c r="V577" i="2"/>
  <c r="O577" i="2"/>
  <c r="G577" i="2"/>
  <c r="Y576" i="2"/>
  <c r="X576" i="2"/>
  <c r="W576" i="2"/>
  <c r="V576" i="2"/>
  <c r="O576" i="2"/>
  <c r="G576" i="2"/>
  <c r="Y575" i="2"/>
  <c r="X575" i="2"/>
  <c r="W575" i="2"/>
  <c r="V575" i="2"/>
  <c r="O575" i="2"/>
  <c r="G575" i="2"/>
  <c r="Y574" i="2"/>
  <c r="X574" i="2"/>
  <c r="W574" i="2"/>
  <c r="V574" i="2"/>
  <c r="O574" i="2"/>
  <c r="G574" i="2"/>
  <c r="Y573" i="2"/>
  <c r="X573" i="2"/>
  <c r="W573" i="2"/>
  <c r="V573" i="2"/>
  <c r="O573" i="2"/>
  <c r="G573" i="2"/>
  <c r="Y572" i="2"/>
  <c r="X572" i="2"/>
  <c r="W572" i="2"/>
  <c r="V572" i="2"/>
  <c r="O572" i="2"/>
  <c r="G572" i="2"/>
  <c r="Y571" i="2"/>
  <c r="X571" i="2"/>
  <c r="W571" i="2"/>
  <c r="V571" i="2"/>
  <c r="O571" i="2"/>
  <c r="G571" i="2"/>
  <c r="Y570" i="2"/>
  <c r="X570" i="2"/>
  <c r="W570" i="2"/>
  <c r="V570" i="2"/>
  <c r="O570" i="2"/>
  <c r="G570" i="2"/>
  <c r="Y569" i="2"/>
  <c r="X569" i="2"/>
  <c r="W569" i="2"/>
  <c r="V569" i="2"/>
  <c r="O569" i="2"/>
  <c r="G569" i="2"/>
  <c r="Y568" i="2"/>
  <c r="X568" i="2"/>
  <c r="W568" i="2"/>
  <c r="V568" i="2"/>
  <c r="O568" i="2"/>
  <c r="G568" i="2"/>
  <c r="Y567" i="2"/>
  <c r="X567" i="2"/>
  <c r="W567" i="2"/>
  <c r="V567" i="2"/>
  <c r="O567" i="2"/>
  <c r="G567" i="2"/>
  <c r="Y566" i="2"/>
  <c r="X566" i="2"/>
  <c r="W566" i="2"/>
  <c r="V566" i="2"/>
  <c r="O566" i="2"/>
  <c r="G566" i="2"/>
  <c r="Y565" i="2"/>
  <c r="X565" i="2"/>
  <c r="W565" i="2"/>
  <c r="V565" i="2"/>
  <c r="O565" i="2"/>
  <c r="G565" i="2"/>
  <c r="Y564" i="2"/>
  <c r="X564" i="2"/>
  <c r="W564" i="2"/>
  <c r="V564" i="2"/>
  <c r="O564" i="2"/>
  <c r="G564" i="2"/>
  <c r="Y563" i="2"/>
  <c r="X563" i="2"/>
  <c r="W563" i="2"/>
  <c r="V563" i="2"/>
  <c r="O563" i="2"/>
  <c r="G563" i="2"/>
  <c r="Y562" i="2"/>
  <c r="X562" i="2"/>
  <c r="W562" i="2"/>
  <c r="V562" i="2"/>
  <c r="O562" i="2"/>
  <c r="G562" i="2"/>
  <c r="Y561" i="2"/>
  <c r="X561" i="2"/>
  <c r="W561" i="2"/>
  <c r="V561" i="2"/>
  <c r="O561" i="2"/>
  <c r="G561" i="2"/>
  <c r="Y560" i="2"/>
  <c r="X560" i="2"/>
  <c r="W560" i="2"/>
  <c r="V560" i="2"/>
  <c r="O560" i="2"/>
  <c r="G560" i="2"/>
  <c r="Y559" i="2"/>
  <c r="X559" i="2"/>
  <c r="W559" i="2"/>
  <c r="V559" i="2"/>
  <c r="O559" i="2"/>
  <c r="G559" i="2"/>
  <c r="Y558" i="2"/>
  <c r="X558" i="2"/>
  <c r="W558" i="2"/>
  <c r="V558" i="2"/>
  <c r="O558" i="2"/>
  <c r="G558" i="2"/>
  <c r="Y557" i="2"/>
  <c r="X557" i="2"/>
  <c r="W557" i="2"/>
  <c r="V557" i="2"/>
  <c r="O557" i="2"/>
  <c r="G557" i="2"/>
  <c r="Y556" i="2"/>
  <c r="X556" i="2"/>
  <c r="W556" i="2"/>
  <c r="V556" i="2"/>
  <c r="O556" i="2"/>
  <c r="G556" i="2"/>
  <c r="Y555" i="2"/>
  <c r="X555" i="2"/>
  <c r="W555" i="2"/>
  <c r="V555" i="2"/>
  <c r="O555" i="2"/>
  <c r="G555" i="2"/>
  <c r="Y554" i="2"/>
  <c r="X554" i="2"/>
  <c r="W554" i="2"/>
  <c r="V554" i="2"/>
  <c r="O554" i="2"/>
  <c r="G554" i="2"/>
  <c r="Y553" i="2"/>
  <c r="X553" i="2"/>
  <c r="W553" i="2"/>
  <c r="V553" i="2"/>
  <c r="O553" i="2"/>
  <c r="G553" i="2"/>
  <c r="Y552" i="2"/>
  <c r="X552" i="2"/>
  <c r="W552" i="2"/>
  <c r="V552" i="2"/>
  <c r="O552" i="2"/>
  <c r="G552" i="2"/>
  <c r="Y551" i="2"/>
  <c r="X551" i="2"/>
  <c r="W551" i="2"/>
  <c r="V551" i="2"/>
  <c r="O551" i="2"/>
  <c r="G551" i="2"/>
  <c r="Y550" i="2"/>
  <c r="X550" i="2"/>
  <c r="W550" i="2"/>
  <c r="V550" i="2"/>
  <c r="O550" i="2"/>
  <c r="G550" i="2"/>
  <c r="Y549" i="2"/>
  <c r="X549" i="2"/>
  <c r="W549" i="2"/>
  <c r="V549" i="2"/>
  <c r="O549" i="2"/>
  <c r="G549" i="2"/>
  <c r="Y548" i="2"/>
  <c r="X548" i="2"/>
  <c r="W548" i="2"/>
  <c r="V548" i="2"/>
  <c r="O548" i="2"/>
  <c r="G548" i="2"/>
  <c r="Y547" i="2"/>
  <c r="X547" i="2"/>
  <c r="W547" i="2"/>
  <c r="V547" i="2"/>
  <c r="O547" i="2"/>
  <c r="G547" i="2"/>
  <c r="Y546" i="2"/>
  <c r="X546" i="2"/>
  <c r="W546" i="2"/>
  <c r="V546" i="2"/>
  <c r="O546" i="2"/>
  <c r="G546" i="2"/>
  <c r="Y545" i="2"/>
  <c r="X545" i="2"/>
  <c r="W545" i="2"/>
  <c r="V545" i="2"/>
  <c r="O545" i="2"/>
  <c r="G545" i="2"/>
  <c r="Y544" i="2"/>
  <c r="X544" i="2"/>
  <c r="W544" i="2"/>
  <c r="V544" i="2"/>
  <c r="O544" i="2"/>
  <c r="G544" i="2"/>
  <c r="Y543" i="2"/>
  <c r="X543" i="2"/>
  <c r="W543" i="2"/>
  <c r="V543" i="2"/>
  <c r="O543" i="2"/>
  <c r="G543" i="2"/>
  <c r="Y542" i="2"/>
  <c r="X542" i="2"/>
  <c r="W542" i="2"/>
  <c r="V542" i="2"/>
  <c r="O542" i="2"/>
  <c r="G542" i="2"/>
  <c r="Y541" i="2"/>
  <c r="X541" i="2"/>
  <c r="W541" i="2"/>
  <c r="V541" i="2"/>
  <c r="O541" i="2"/>
  <c r="G541" i="2"/>
  <c r="Y540" i="2"/>
  <c r="X540" i="2"/>
  <c r="W540" i="2"/>
  <c r="V540" i="2"/>
  <c r="O540" i="2"/>
  <c r="G540" i="2"/>
  <c r="Y539" i="2"/>
  <c r="X539" i="2"/>
  <c r="W539" i="2"/>
  <c r="V539" i="2"/>
  <c r="O539" i="2"/>
  <c r="G539" i="2"/>
  <c r="Y538" i="2"/>
  <c r="X538" i="2"/>
  <c r="W538" i="2"/>
  <c r="V538" i="2"/>
  <c r="O538" i="2"/>
  <c r="G538" i="2"/>
  <c r="Y537" i="2"/>
  <c r="X537" i="2"/>
  <c r="W537" i="2"/>
  <c r="V537" i="2"/>
  <c r="O537" i="2"/>
  <c r="G537" i="2"/>
  <c r="Y536" i="2"/>
  <c r="X536" i="2"/>
  <c r="W536" i="2"/>
  <c r="V536" i="2"/>
  <c r="O536" i="2"/>
  <c r="G536" i="2"/>
  <c r="Y535" i="2"/>
  <c r="X535" i="2"/>
  <c r="W535" i="2"/>
  <c r="V535" i="2"/>
  <c r="O535" i="2"/>
  <c r="G535" i="2"/>
  <c r="Y534" i="2"/>
  <c r="X534" i="2"/>
  <c r="W534" i="2"/>
  <c r="V534" i="2"/>
  <c r="O534" i="2"/>
  <c r="G534" i="2"/>
  <c r="Y533" i="2"/>
  <c r="X533" i="2"/>
  <c r="W533" i="2"/>
  <c r="V533" i="2"/>
  <c r="O533" i="2"/>
  <c r="G533" i="2"/>
  <c r="Y532" i="2"/>
  <c r="X532" i="2"/>
  <c r="W532" i="2"/>
  <c r="V532" i="2"/>
  <c r="O532" i="2"/>
  <c r="G532" i="2"/>
  <c r="Y531" i="2"/>
  <c r="X531" i="2"/>
  <c r="W531" i="2"/>
  <c r="V531" i="2"/>
  <c r="O531" i="2"/>
  <c r="G531" i="2"/>
  <c r="Y530" i="2"/>
  <c r="X530" i="2"/>
  <c r="W530" i="2"/>
  <c r="V530" i="2"/>
  <c r="O530" i="2"/>
  <c r="G530" i="2"/>
  <c r="Y529" i="2"/>
  <c r="X529" i="2"/>
  <c r="W529" i="2"/>
  <c r="V529" i="2"/>
  <c r="O529" i="2"/>
  <c r="G529" i="2"/>
  <c r="Y528" i="2"/>
  <c r="X528" i="2"/>
  <c r="W528" i="2"/>
  <c r="V528" i="2"/>
  <c r="O528" i="2"/>
  <c r="G528" i="2"/>
  <c r="Y527" i="2"/>
  <c r="X527" i="2"/>
  <c r="W527" i="2"/>
  <c r="V527" i="2"/>
  <c r="O527" i="2"/>
  <c r="G527" i="2"/>
  <c r="Y526" i="2"/>
  <c r="X526" i="2"/>
  <c r="W526" i="2"/>
  <c r="V526" i="2"/>
  <c r="O526" i="2"/>
  <c r="G526" i="2"/>
  <c r="Y525" i="2"/>
  <c r="X525" i="2"/>
  <c r="W525" i="2"/>
  <c r="V525" i="2"/>
  <c r="O525" i="2"/>
  <c r="G525" i="2"/>
  <c r="Y524" i="2"/>
  <c r="X524" i="2"/>
  <c r="W524" i="2"/>
  <c r="V524" i="2"/>
  <c r="O524" i="2"/>
  <c r="G524" i="2"/>
  <c r="Y523" i="2"/>
  <c r="X523" i="2"/>
  <c r="W523" i="2"/>
  <c r="V523" i="2"/>
  <c r="O523" i="2"/>
  <c r="G523" i="2"/>
  <c r="Y522" i="2"/>
  <c r="X522" i="2"/>
  <c r="W522" i="2"/>
  <c r="V522" i="2"/>
  <c r="O522" i="2"/>
  <c r="G522" i="2"/>
  <c r="Y521" i="2"/>
  <c r="X521" i="2"/>
  <c r="W521" i="2"/>
  <c r="V521" i="2"/>
  <c r="O521" i="2"/>
  <c r="G521" i="2"/>
  <c r="Y520" i="2"/>
  <c r="X520" i="2"/>
  <c r="W520" i="2"/>
  <c r="V520" i="2"/>
  <c r="O520" i="2"/>
  <c r="G520" i="2"/>
  <c r="Y519" i="2"/>
  <c r="X519" i="2"/>
  <c r="W519" i="2"/>
  <c r="V519" i="2"/>
  <c r="O519" i="2"/>
  <c r="G519" i="2"/>
  <c r="Y518" i="2"/>
  <c r="X518" i="2"/>
  <c r="W518" i="2"/>
  <c r="V518" i="2"/>
  <c r="O518" i="2"/>
  <c r="G518" i="2"/>
  <c r="Y517" i="2"/>
  <c r="X517" i="2"/>
  <c r="W517" i="2"/>
  <c r="V517" i="2"/>
  <c r="O517" i="2"/>
  <c r="G517" i="2"/>
  <c r="Y516" i="2"/>
  <c r="X516" i="2"/>
  <c r="W516" i="2"/>
  <c r="V516" i="2"/>
  <c r="O516" i="2"/>
  <c r="G516" i="2"/>
  <c r="Y515" i="2"/>
  <c r="X515" i="2"/>
  <c r="W515" i="2"/>
  <c r="V515" i="2"/>
  <c r="O515" i="2"/>
  <c r="G515" i="2"/>
  <c r="Y514" i="2"/>
  <c r="X514" i="2"/>
  <c r="W514" i="2"/>
  <c r="V514" i="2"/>
  <c r="O514" i="2"/>
  <c r="G514" i="2"/>
  <c r="Y513" i="2"/>
  <c r="X513" i="2"/>
  <c r="W513" i="2"/>
  <c r="V513" i="2"/>
  <c r="O513" i="2"/>
  <c r="G513" i="2"/>
  <c r="Y512" i="2"/>
  <c r="X512" i="2"/>
  <c r="W512" i="2"/>
  <c r="V512" i="2"/>
  <c r="O512" i="2"/>
  <c r="G512" i="2"/>
  <c r="Y511" i="2"/>
  <c r="X511" i="2"/>
  <c r="W511" i="2"/>
  <c r="V511" i="2"/>
  <c r="O511" i="2"/>
  <c r="G511" i="2"/>
  <c r="Y510" i="2"/>
  <c r="X510" i="2"/>
  <c r="W510" i="2"/>
  <c r="V510" i="2"/>
  <c r="O510" i="2"/>
  <c r="G510" i="2"/>
  <c r="Y509" i="2"/>
  <c r="X509" i="2"/>
  <c r="W509" i="2"/>
  <c r="V509" i="2"/>
  <c r="O509" i="2"/>
  <c r="G509" i="2"/>
  <c r="Y508" i="2"/>
  <c r="X508" i="2"/>
  <c r="W508" i="2"/>
  <c r="V508" i="2"/>
  <c r="O508" i="2"/>
  <c r="G508" i="2"/>
  <c r="Y507" i="2"/>
  <c r="X507" i="2"/>
  <c r="W507" i="2"/>
  <c r="V507" i="2"/>
  <c r="O507" i="2"/>
  <c r="G507" i="2"/>
  <c r="Y506" i="2"/>
  <c r="X506" i="2"/>
  <c r="W506" i="2"/>
  <c r="V506" i="2"/>
  <c r="O506" i="2"/>
  <c r="G506" i="2"/>
  <c r="Y505" i="2"/>
  <c r="X505" i="2"/>
  <c r="W505" i="2"/>
  <c r="V505" i="2"/>
  <c r="O505" i="2"/>
  <c r="G505" i="2"/>
  <c r="Y504" i="2"/>
  <c r="X504" i="2"/>
  <c r="W504" i="2"/>
  <c r="V504" i="2"/>
  <c r="O504" i="2"/>
  <c r="G504" i="2"/>
  <c r="Y503" i="2"/>
  <c r="X503" i="2"/>
  <c r="W503" i="2"/>
  <c r="V503" i="2"/>
  <c r="O503" i="2"/>
  <c r="G503" i="2"/>
  <c r="Y502" i="2"/>
  <c r="X502" i="2"/>
  <c r="W502" i="2"/>
  <c r="V502" i="2"/>
  <c r="O502" i="2"/>
  <c r="G502" i="2"/>
  <c r="Y501" i="2"/>
  <c r="X501" i="2"/>
  <c r="W501" i="2"/>
  <c r="V501" i="2"/>
  <c r="O501" i="2"/>
  <c r="G501" i="2"/>
  <c r="Y500" i="2"/>
  <c r="X500" i="2"/>
  <c r="W500" i="2"/>
  <c r="V500" i="2"/>
  <c r="O500" i="2"/>
  <c r="G500" i="2"/>
  <c r="Y499" i="2"/>
  <c r="X499" i="2"/>
  <c r="W499" i="2"/>
  <c r="V499" i="2"/>
  <c r="O499" i="2"/>
  <c r="G499" i="2"/>
  <c r="Y498" i="2"/>
  <c r="X498" i="2"/>
  <c r="W498" i="2"/>
  <c r="V498" i="2"/>
  <c r="O498" i="2"/>
  <c r="G498" i="2"/>
  <c r="Y497" i="2"/>
  <c r="X497" i="2"/>
  <c r="W497" i="2"/>
  <c r="V497" i="2"/>
  <c r="O497" i="2"/>
  <c r="G497" i="2"/>
  <c r="Y496" i="2"/>
  <c r="X496" i="2"/>
  <c r="W496" i="2"/>
  <c r="V496" i="2"/>
  <c r="O496" i="2"/>
  <c r="G496" i="2"/>
  <c r="Y495" i="2"/>
  <c r="X495" i="2"/>
  <c r="W495" i="2"/>
  <c r="V495" i="2"/>
  <c r="O495" i="2"/>
  <c r="G495" i="2"/>
  <c r="Y494" i="2"/>
  <c r="X494" i="2"/>
  <c r="W494" i="2"/>
  <c r="V494" i="2"/>
  <c r="O494" i="2"/>
  <c r="G494" i="2"/>
  <c r="Y493" i="2"/>
  <c r="X493" i="2"/>
  <c r="W493" i="2"/>
  <c r="V493" i="2"/>
  <c r="O493" i="2"/>
  <c r="G493" i="2"/>
  <c r="Y492" i="2"/>
  <c r="X492" i="2"/>
  <c r="W492" i="2"/>
  <c r="V492" i="2"/>
  <c r="O492" i="2"/>
  <c r="G492" i="2"/>
  <c r="Y491" i="2"/>
  <c r="X491" i="2"/>
  <c r="W491" i="2"/>
  <c r="V491" i="2"/>
  <c r="O491" i="2"/>
  <c r="G491" i="2"/>
  <c r="Y490" i="2"/>
  <c r="X490" i="2"/>
  <c r="W490" i="2"/>
  <c r="V490" i="2"/>
  <c r="O490" i="2"/>
  <c r="G490" i="2"/>
  <c r="Y489" i="2"/>
  <c r="X489" i="2"/>
  <c r="W489" i="2"/>
  <c r="V489" i="2"/>
  <c r="O489" i="2"/>
  <c r="G489" i="2"/>
  <c r="Y488" i="2"/>
  <c r="X488" i="2"/>
  <c r="W488" i="2"/>
  <c r="V488" i="2"/>
  <c r="O488" i="2"/>
  <c r="G488" i="2"/>
  <c r="Y487" i="2"/>
  <c r="X487" i="2"/>
  <c r="W487" i="2"/>
  <c r="V487" i="2"/>
  <c r="O487" i="2"/>
  <c r="G487" i="2"/>
  <c r="Y486" i="2"/>
  <c r="X486" i="2"/>
  <c r="W486" i="2"/>
  <c r="V486" i="2"/>
  <c r="O486" i="2"/>
  <c r="G486" i="2"/>
  <c r="Y485" i="2"/>
  <c r="X485" i="2"/>
  <c r="W485" i="2"/>
  <c r="V485" i="2"/>
  <c r="O485" i="2"/>
  <c r="G485" i="2"/>
  <c r="Y484" i="2"/>
  <c r="X484" i="2"/>
  <c r="W484" i="2"/>
  <c r="V484" i="2"/>
  <c r="O484" i="2"/>
  <c r="G484" i="2"/>
  <c r="Y483" i="2"/>
  <c r="X483" i="2"/>
  <c r="W483" i="2"/>
  <c r="V483" i="2"/>
  <c r="O483" i="2"/>
  <c r="G483" i="2"/>
  <c r="Y482" i="2"/>
  <c r="X482" i="2"/>
  <c r="W482" i="2"/>
  <c r="V482" i="2"/>
  <c r="O482" i="2"/>
  <c r="G482" i="2"/>
  <c r="Y481" i="2"/>
  <c r="X481" i="2"/>
  <c r="W481" i="2"/>
  <c r="V481" i="2"/>
  <c r="O481" i="2"/>
  <c r="G481" i="2"/>
  <c r="Y480" i="2"/>
  <c r="X480" i="2"/>
  <c r="W480" i="2"/>
  <c r="V480" i="2"/>
  <c r="O480" i="2"/>
  <c r="G480" i="2"/>
  <c r="Y479" i="2"/>
  <c r="X479" i="2"/>
  <c r="W479" i="2"/>
  <c r="V479" i="2"/>
  <c r="O479" i="2"/>
  <c r="G479" i="2"/>
  <c r="Y478" i="2"/>
  <c r="X478" i="2"/>
  <c r="W478" i="2"/>
  <c r="V478" i="2"/>
  <c r="O478" i="2"/>
  <c r="G478" i="2"/>
  <c r="Y477" i="2"/>
  <c r="X477" i="2"/>
  <c r="W477" i="2"/>
  <c r="V477" i="2"/>
  <c r="O477" i="2"/>
  <c r="G477" i="2"/>
  <c r="Y476" i="2"/>
  <c r="X476" i="2"/>
  <c r="W476" i="2"/>
  <c r="V476" i="2"/>
  <c r="O476" i="2"/>
  <c r="G476" i="2"/>
  <c r="Y475" i="2"/>
  <c r="X475" i="2"/>
  <c r="W475" i="2"/>
  <c r="V475" i="2"/>
  <c r="O475" i="2"/>
  <c r="G475" i="2"/>
  <c r="Y474" i="2"/>
  <c r="X474" i="2"/>
  <c r="W474" i="2"/>
  <c r="V474" i="2"/>
  <c r="O474" i="2"/>
  <c r="G474" i="2"/>
  <c r="Y473" i="2"/>
  <c r="X473" i="2"/>
  <c r="W473" i="2"/>
  <c r="V473" i="2"/>
  <c r="O473" i="2"/>
  <c r="G473" i="2"/>
  <c r="Y472" i="2"/>
  <c r="X472" i="2"/>
  <c r="W472" i="2"/>
  <c r="V472" i="2"/>
  <c r="O472" i="2"/>
  <c r="G472" i="2"/>
  <c r="Y471" i="2"/>
  <c r="X471" i="2"/>
  <c r="W471" i="2"/>
  <c r="V471" i="2"/>
  <c r="O471" i="2"/>
  <c r="G471" i="2"/>
  <c r="Y470" i="2"/>
  <c r="X470" i="2"/>
  <c r="W470" i="2"/>
  <c r="V470" i="2"/>
  <c r="O470" i="2"/>
  <c r="G470" i="2"/>
  <c r="Y469" i="2"/>
  <c r="X469" i="2"/>
  <c r="W469" i="2"/>
  <c r="V469" i="2"/>
  <c r="O469" i="2"/>
  <c r="G469" i="2"/>
  <c r="Y468" i="2"/>
  <c r="X468" i="2"/>
  <c r="W468" i="2"/>
  <c r="V468" i="2"/>
  <c r="O468" i="2"/>
  <c r="G468" i="2"/>
  <c r="Y467" i="2"/>
  <c r="X467" i="2"/>
  <c r="W467" i="2"/>
  <c r="V467" i="2"/>
  <c r="O467" i="2"/>
  <c r="G467" i="2"/>
  <c r="Y466" i="2"/>
  <c r="X466" i="2"/>
  <c r="W466" i="2"/>
  <c r="V466" i="2"/>
  <c r="O466" i="2"/>
  <c r="G466" i="2"/>
  <c r="Y465" i="2"/>
  <c r="X465" i="2"/>
  <c r="W465" i="2"/>
  <c r="V465" i="2"/>
  <c r="O465" i="2"/>
  <c r="G465" i="2"/>
  <c r="Y464" i="2"/>
  <c r="X464" i="2"/>
  <c r="W464" i="2"/>
  <c r="V464" i="2"/>
  <c r="O464" i="2"/>
  <c r="G464" i="2"/>
  <c r="Y463" i="2"/>
  <c r="X463" i="2"/>
  <c r="W463" i="2"/>
  <c r="V463" i="2"/>
  <c r="O463" i="2"/>
  <c r="G463" i="2"/>
  <c r="Y462" i="2"/>
  <c r="X462" i="2"/>
  <c r="W462" i="2"/>
  <c r="V462" i="2"/>
  <c r="O462" i="2"/>
  <c r="G462" i="2"/>
  <c r="Y461" i="2"/>
  <c r="X461" i="2"/>
  <c r="W461" i="2"/>
  <c r="V461" i="2"/>
  <c r="O461" i="2"/>
  <c r="G461" i="2"/>
  <c r="Y460" i="2"/>
  <c r="X460" i="2"/>
  <c r="W460" i="2"/>
  <c r="V460" i="2"/>
  <c r="O460" i="2"/>
  <c r="G460" i="2"/>
  <c r="Y459" i="2"/>
  <c r="X459" i="2"/>
  <c r="W459" i="2"/>
  <c r="V459" i="2"/>
  <c r="O459" i="2"/>
  <c r="G459" i="2"/>
  <c r="Y458" i="2"/>
  <c r="X458" i="2"/>
  <c r="W458" i="2"/>
  <c r="V458" i="2"/>
  <c r="O458" i="2"/>
  <c r="G458" i="2"/>
  <c r="Y457" i="2"/>
  <c r="X457" i="2"/>
  <c r="W457" i="2"/>
  <c r="V457" i="2"/>
  <c r="O457" i="2"/>
  <c r="G457" i="2"/>
  <c r="Y456" i="2"/>
  <c r="X456" i="2"/>
  <c r="W456" i="2"/>
  <c r="V456" i="2"/>
  <c r="O456" i="2"/>
  <c r="G456" i="2"/>
  <c r="Y455" i="2"/>
  <c r="X455" i="2"/>
  <c r="W455" i="2"/>
  <c r="V455" i="2"/>
  <c r="O455" i="2"/>
  <c r="G455" i="2"/>
  <c r="Y454" i="2"/>
  <c r="X454" i="2"/>
  <c r="W454" i="2"/>
  <c r="V454" i="2"/>
  <c r="O454" i="2"/>
  <c r="G454" i="2"/>
  <c r="Y453" i="2"/>
  <c r="X453" i="2"/>
  <c r="W453" i="2"/>
  <c r="V453" i="2"/>
  <c r="O453" i="2"/>
  <c r="G453" i="2"/>
  <c r="Y452" i="2"/>
  <c r="X452" i="2"/>
  <c r="W452" i="2"/>
  <c r="V452" i="2"/>
  <c r="O452" i="2"/>
  <c r="G452" i="2"/>
  <c r="Y451" i="2"/>
  <c r="X451" i="2"/>
  <c r="W451" i="2"/>
  <c r="V451" i="2"/>
  <c r="O451" i="2"/>
  <c r="G451" i="2"/>
  <c r="Y450" i="2"/>
  <c r="X450" i="2"/>
  <c r="W450" i="2"/>
  <c r="V450" i="2"/>
  <c r="O450" i="2"/>
  <c r="G450" i="2"/>
  <c r="Y449" i="2"/>
  <c r="X449" i="2"/>
  <c r="W449" i="2"/>
  <c r="V449" i="2"/>
  <c r="O449" i="2"/>
  <c r="G449" i="2"/>
  <c r="Y448" i="2"/>
  <c r="X448" i="2"/>
  <c r="W448" i="2"/>
  <c r="V448" i="2"/>
  <c r="O448" i="2"/>
  <c r="G448" i="2"/>
  <c r="Y447" i="2"/>
  <c r="X447" i="2"/>
  <c r="W447" i="2"/>
  <c r="V447" i="2"/>
  <c r="O447" i="2"/>
  <c r="G447" i="2"/>
  <c r="Y446" i="2"/>
  <c r="X446" i="2"/>
  <c r="W446" i="2"/>
  <c r="V446" i="2"/>
  <c r="O446" i="2"/>
  <c r="G446" i="2"/>
  <c r="Y445" i="2"/>
  <c r="X445" i="2"/>
  <c r="W445" i="2"/>
  <c r="V445" i="2"/>
  <c r="O445" i="2"/>
  <c r="G445" i="2"/>
  <c r="Y444" i="2"/>
  <c r="X444" i="2"/>
  <c r="W444" i="2"/>
  <c r="V444" i="2"/>
  <c r="O444" i="2"/>
  <c r="G444" i="2"/>
  <c r="Y443" i="2"/>
  <c r="X443" i="2"/>
  <c r="W443" i="2"/>
  <c r="V443" i="2"/>
  <c r="O443" i="2"/>
  <c r="G443" i="2"/>
  <c r="Y442" i="2"/>
  <c r="X442" i="2"/>
  <c r="W442" i="2"/>
  <c r="V442" i="2"/>
  <c r="O442" i="2"/>
  <c r="G442" i="2"/>
  <c r="Y441" i="2"/>
  <c r="X441" i="2"/>
  <c r="W441" i="2"/>
  <c r="V441" i="2"/>
  <c r="O441" i="2"/>
  <c r="G441" i="2"/>
  <c r="Y440" i="2"/>
  <c r="X440" i="2"/>
  <c r="W440" i="2"/>
  <c r="V440" i="2"/>
  <c r="O440" i="2"/>
  <c r="G440" i="2"/>
  <c r="Y439" i="2"/>
  <c r="X439" i="2"/>
  <c r="W439" i="2"/>
  <c r="V439" i="2"/>
  <c r="O439" i="2"/>
  <c r="G439" i="2"/>
  <c r="Y438" i="2"/>
  <c r="X438" i="2"/>
  <c r="W438" i="2"/>
  <c r="V438" i="2"/>
  <c r="O438" i="2"/>
  <c r="G438" i="2"/>
  <c r="Y437" i="2"/>
  <c r="X437" i="2"/>
  <c r="W437" i="2"/>
  <c r="V437" i="2"/>
  <c r="O437" i="2"/>
  <c r="G437" i="2"/>
  <c r="Y436" i="2"/>
  <c r="X436" i="2"/>
  <c r="W436" i="2"/>
  <c r="V436" i="2"/>
  <c r="O436" i="2"/>
  <c r="G436" i="2"/>
  <c r="Y435" i="2"/>
  <c r="X435" i="2"/>
  <c r="W435" i="2"/>
  <c r="V435" i="2"/>
  <c r="O435" i="2"/>
  <c r="G435" i="2"/>
  <c r="Y434" i="2"/>
  <c r="X434" i="2"/>
  <c r="W434" i="2"/>
  <c r="V434" i="2"/>
  <c r="O434" i="2"/>
  <c r="G434" i="2"/>
  <c r="Y433" i="2"/>
  <c r="X433" i="2"/>
  <c r="W433" i="2"/>
  <c r="V433" i="2"/>
  <c r="O433" i="2"/>
  <c r="G433" i="2"/>
  <c r="Y432" i="2"/>
  <c r="X432" i="2"/>
  <c r="W432" i="2"/>
  <c r="V432" i="2"/>
  <c r="O432" i="2"/>
  <c r="G432" i="2"/>
  <c r="Y431" i="2"/>
  <c r="X431" i="2"/>
  <c r="W431" i="2"/>
  <c r="V431" i="2"/>
  <c r="O431" i="2"/>
  <c r="G431" i="2"/>
  <c r="Y430" i="2"/>
  <c r="X430" i="2"/>
  <c r="W430" i="2"/>
  <c r="V430" i="2"/>
  <c r="O430" i="2"/>
  <c r="G430" i="2"/>
  <c r="Y429" i="2"/>
  <c r="X429" i="2"/>
  <c r="W429" i="2"/>
  <c r="V429" i="2"/>
  <c r="O429" i="2"/>
  <c r="G429" i="2"/>
  <c r="Y428" i="2"/>
  <c r="X428" i="2"/>
  <c r="W428" i="2"/>
  <c r="V428" i="2"/>
  <c r="O428" i="2"/>
  <c r="G428" i="2"/>
  <c r="Y427" i="2"/>
  <c r="X427" i="2"/>
  <c r="W427" i="2"/>
  <c r="V427" i="2"/>
  <c r="O427" i="2"/>
  <c r="G427" i="2"/>
  <c r="Y426" i="2"/>
  <c r="X426" i="2"/>
  <c r="W426" i="2"/>
  <c r="V426" i="2"/>
  <c r="O426" i="2"/>
  <c r="G426" i="2"/>
  <c r="Y425" i="2"/>
  <c r="X425" i="2"/>
  <c r="W425" i="2"/>
  <c r="V425" i="2"/>
  <c r="O425" i="2"/>
  <c r="G425" i="2"/>
  <c r="Y424" i="2"/>
  <c r="X424" i="2"/>
  <c r="W424" i="2"/>
  <c r="V424" i="2"/>
  <c r="O424" i="2"/>
  <c r="G424" i="2"/>
  <c r="Y423" i="2"/>
  <c r="X423" i="2"/>
  <c r="W423" i="2"/>
  <c r="V423" i="2"/>
  <c r="O423" i="2"/>
  <c r="G423" i="2"/>
  <c r="Y422" i="2"/>
  <c r="X422" i="2"/>
  <c r="W422" i="2"/>
  <c r="V422" i="2"/>
  <c r="O422" i="2"/>
  <c r="G422" i="2"/>
  <c r="Y421" i="2"/>
  <c r="X421" i="2"/>
  <c r="W421" i="2"/>
  <c r="V421" i="2"/>
  <c r="O421" i="2"/>
  <c r="G421" i="2"/>
  <c r="Y420" i="2"/>
  <c r="X420" i="2"/>
  <c r="W420" i="2"/>
  <c r="V420" i="2"/>
  <c r="O420" i="2"/>
  <c r="G420" i="2"/>
  <c r="Y419" i="2"/>
  <c r="X419" i="2"/>
  <c r="W419" i="2"/>
  <c r="V419" i="2"/>
  <c r="O419" i="2"/>
  <c r="G419" i="2"/>
  <c r="Y418" i="2"/>
  <c r="X418" i="2"/>
  <c r="W418" i="2"/>
  <c r="V418" i="2"/>
  <c r="O418" i="2"/>
  <c r="G418" i="2"/>
  <c r="Y417" i="2"/>
  <c r="X417" i="2"/>
  <c r="W417" i="2"/>
  <c r="V417" i="2"/>
  <c r="O417" i="2"/>
  <c r="G417" i="2"/>
  <c r="Y416" i="2"/>
  <c r="X416" i="2"/>
  <c r="W416" i="2"/>
  <c r="V416" i="2"/>
  <c r="O416" i="2"/>
  <c r="G416" i="2"/>
  <c r="Y415" i="2"/>
  <c r="X415" i="2"/>
  <c r="W415" i="2"/>
  <c r="V415" i="2"/>
  <c r="O415" i="2"/>
  <c r="G415" i="2"/>
  <c r="Y414" i="2"/>
  <c r="X414" i="2"/>
  <c r="W414" i="2"/>
  <c r="V414" i="2"/>
  <c r="O414" i="2"/>
  <c r="G414" i="2"/>
  <c r="Y413" i="2"/>
  <c r="X413" i="2"/>
  <c r="W413" i="2"/>
  <c r="V413" i="2"/>
  <c r="O413" i="2"/>
  <c r="G413" i="2"/>
  <c r="Y412" i="2"/>
  <c r="X412" i="2"/>
  <c r="W412" i="2"/>
  <c r="V412" i="2"/>
  <c r="O412" i="2"/>
  <c r="G412" i="2"/>
  <c r="Y411" i="2"/>
  <c r="X411" i="2"/>
  <c r="W411" i="2"/>
  <c r="V411" i="2"/>
  <c r="O411" i="2"/>
  <c r="G411" i="2"/>
  <c r="Y410" i="2"/>
  <c r="X410" i="2"/>
  <c r="W410" i="2"/>
  <c r="V410" i="2"/>
  <c r="O410" i="2"/>
  <c r="G410" i="2"/>
  <c r="Y409" i="2"/>
  <c r="X409" i="2"/>
  <c r="W409" i="2"/>
  <c r="V409" i="2"/>
  <c r="O409" i="2"/>
  <c r="G409" i="2"/>
  <c r="Y408" i="2"/>
  <c r="X408" i="2"/>
  <c r="W408" i="2"/>
  <c r="V408" i="2"/>
  <c r="O408" i="2"/>
  <c r="G408" i="2"/>
  <c r="Y407" i="2"/>
  <c r="X407" i="2"/>
  <c r="W407" i="2"/>
  <c r="V407" i="2"/>
  <c r="O407" i="2"/>
  <c r="G407" i="2"/>
  <c r="Y406" i="2"/>
  <c r="X406" i="2"/>
  <c r="W406" i="2"/>
  <c r="V406" i="2"/>
  <c r="O406" i="2"/>
  <c r="G406" i="2"/>
  <c r="Y405" i="2"/>
  <c r="X405" i="2"/>
  <c r="W405" i="2"/>
  <c r="V405" i="2"/>
  <c r="O405" i="2"/>
  <c r="G405" i="2"/>
  <c r="Y404" i="2"/>
  <c r="X404" i="2"/>
  <c r="W404" i="2"/>
  <c r="V404" i="2"/>
  <c r="O404" i="2"/>
  <c r="G404" i="2"/>
  <c r="Y403" i="2"/>
  <c r="X403" i="2"/>
  <c r="W403" i="2"/>
  <c r="V403" i="2"/>
  <c r="O403" i="2"/>
  <c r="G403" i="2"/>
  <c r="Y402" i="2"/>
  <c r="X402" i="2"/>
  <c r="W402" i="2"/>
  <c r="V402" i="2"/>
  <c r="O402" i="2"/>
  <c r="G402" i="2"/>
  <c r="Y401" i="2"/>
  <c r="X401" i="2"/>
  <c r="W401" i="2"/>
  <c r="V401" i="2"/>
  <c r="O401" i="2"/>
  <c r="G401" i="2"/>
  <c r="Y400" i="2"/>
  <c r="X400" i="2"/>
  <c r="W400" i="2"/>
  <c r="V400" i="2"/>
  <c r="O400" i="2"/>
  <c r="G400" i="2"/>
  <c r="Y399" i="2"/>
  <c r="X399" i="2"/>
  <c r="W399" i="2"/>
  <c r="V399" i="2"/>
  <c r="O399" i="2"/>
  <c r="G399" i="2"/>
  <c r="Y398" i="2"/>
  <c r="X398" i="2"/>
  <c r="W398" i="2"/>
  <c r="V398" i="2"/>
  <c r="O398" i="2"/>
  <c r="G398" i="2"/>
  <c r="Y397" i="2"/>
  <c r="X397" i="2"/>
  <c r="W397" i="2"/>
  <c r="V397" i="2"/>
  <c r="O397" i="2"/>
  <c r="G397" i="2"/>
  <c r="Y396" i="2"/>
  <c r="X396" i="2"/>
  <c r="W396" i="2"/>
  <c r="V396" i="2"/>
  <c r="O396" i="2"/>
  <c r="G396" i="2"/>
  <c r="Y395" i="2"/>
  <c r="X395" i="2"/>
  <c r="W395" i="2"/>
  <c r="V395" i="2"/>
  <c r="O395" i="2"/>
  <c r="G395" i="2"/>
  <c r="Y394" i="2"/>
  <c r="X394" i="2"/>
  <c r="W394" i="2"/>
  <c r="V394" i="2"/>
  <c r="O394" i="2"/>
  <c r="G394" i="2"/>
  <c r="Y393" i="2"/>
  <c r="X393" i="2"/>
  <c r="W393" i="2"/>
  <c r="V393" i="2"/>
  <c r="O393" i="2"/>
  <c r="G393" i="2"/>
  <c r="Y392" i="2"/>
  <c r="X392" i="2"/>
  <c r="W392" i="2"/>
  <c r="V392" i="2"/>
  <c r="O392" i="2"/>
  <c r="G392" i="2"/>
  <c r="Y391" i="2"/>
  <c r="X391" i="2"/>
  <c r="W391" i="2"/>
  <c r="V391" i="2"/>
  <c r="O391" i="2"/>
  <c r="G391" i="2"/>
  <c r="Y390" i="2"/>
  <c r="X390" i="2"/>
  <c r="W390" i="2"/>
  <c r="V390" i="2"/>
  <c r="O390" i="2"/>
  <c r="G390" i="2"/>
  <c r="Y389" i="2"/>
  <c r="X389" i="2"/>
  <c r="W389" i="2"/>
  <c r="V389" i="2"/>
  <c r="O389" i="2"/>
  <c r="G389" i="2"/>
  <c r="Y388" i="2"/>
  <c r="X388" i="2"/>
  <c r="W388" i="2"/>
  <c r="V388" i="2"/>
  <c r="O388" i="2"/>
  <c r="G388" i="2"/>
  <c r="Y387" i="2"/>
  <c r="X387" i="2"/>
  <c r="W387" i="2"/>
  <c r="V387" i="2"/>
  <c r="O387" i="2"/>
  <c r="G387" i="2"/>
  <c r="Y386" i="2"/>
  <c r="X386" i="2"/>
  <c r="W386" i="2"/>
  <c r="V386" i="2"/>
  <c r="O386" i="2"/>
  <c r="G386" i="2"/>
  <c r="Y385" i="2"/>
  <c r="X385" i="2"/>
  <c r="W385" i="2"/>
  <c r="V385" i="2"/>
  <c r="O385" i="2"/>
  <c r="G385" i="2"/>
  <c r="Y384" i="2"/>
  <c r="X384" i="2"/>
  <c r="W384" i="2"/>
  <c r="V384" i="2"/>
  <c r="O384" i="2"/>
  <c r="G384" i="2"/>
  <c r="Y383" i="2"/>
  <c r="X383" i="2"/>
  <c r="W383" i="2"/>
  <c r="V383" i="2"/>
  <c r="O383" i="2"/>
  <c r="G383" i="2"/>
  <c r="Y382" i="2"/>
  <c r="X382" i="2"/>
  <c r="W382" i="2"/>
  <c r="V382" i="2"/>
  <c r="O382" i="2"/>
  <c r="G382" i="2"/>
  <c r="Y381" i="2"/>
  <c r="X381" i="2"/>
  <c r="W381" i="2"/>
  <c r="V381" i="2"/>
  <c r="O381" i="2"/>
  <c r="G381" i="2"/>
  <c r="Y380" i="2"/>
  <c r="X380" i="2"/>
  <c r="W380" i="2"/>
  <c r="V380" i="2"/>
  <c r="O380" i="2"/>
  <c r="G380" i="2"/>
  <c r="Y379" i="2"/>
  <c r="X379" i="2"/>
  <c r="W379" i="2"/>
  <c r="V379" i="2"/>
  <c r="O379" i="2"/>
  <c r="G379" i="2"/>
  <c r="Y378" i="2"/>
  <c r="X378" i="2"/>
  <c r="W378" i="2"/>
  <c r="V378" i="2"/>
  <c r="O378" i="2"/>
  <c r="G378" i="2"/>
  <c r="Y377" i="2"/>
  <c r="X377" i="2"/>
  <c r="W377" i="2"/>
  <c r="V377" i="2"/>
  <c r="O377" i="2"/>
  <c r="G377" i="2"/>
  <c r="Y376" i="2"/>
  <c r="X376" i="2"/>
  <c r="W376" i="2"/>
  <c r="V376" i="2"/>
  <c r="O376" i="2"/>
  <c r="G376" i="2"/>
  <c r="Y375" i="2"/>
  <c r="X375" i="2"/>
  <c r="W375" i="2"/>
  <c r="V375" i="2"/>
  <c r="O375" i="2"/>
  <c r="G375" i="2"/>
  <c r="Y374" i="2"/>
  <c r="X374" i="2"/>
  <c r="W374" i="2"/>
  <c r="V374" i="2"/>
  <c r="O374" i="2"/>
  <c r="G374" i="2"/>
  <c r="Y373" i="2"/>
  <c r="X373" i="2"/>
  <c r="W373" i="2"/>
  <c r="V373" i="2"/>
  <c r="O373" i="2"/>
  <c r="G373" i="2"/>
  <c r="Y372" i="2"/>
  <c r="X372" i="2"/>
  <c r="W372" i="2"/>
  <c r="V372" i="2"/>
  <c r="O372" i="2"/>
  <c r="G372" i="2"/>
  <c r="Y371" i="2"/>
  <c r="X371" i="2"/>
  <c r="W371" i="2"/>
  <c r="V371" i="2"/>
  <c r="O371" i="2"/>
  <c r="G371" i="2"/>
  <c r="Y370" i="2"/>
  <c r="X370" i="2"/>
  <c r="W370" i="2"/>
  <c r="V370" i="2"/>
  <c r="O370" i="2"/>
  <c r="G370" i="2"/>
  <c r="Y369" i="2"/>
  <c r="X369" i="2"/>
  <c r="W369" i="2"/>
  <c r="V369" i="2"/>
  <c r="O369" i="2"/>
  <c r="G369" i="2"/>
  <c r="Y368" i="2"/>
  <c r="X368" i="2"/>
  <c r="W368" i="2"/>
  <c r="V368" i="2"/>
  <c r="O368" i="2"/>
  <c r="G368" i="2"/>
  <c r="Y367" i="2"/>
  <c r="X367" i="2"/>
  <c r="W367" i="2"/>
  <c r="V367" i="2"/>
  <c r="O367" i="2"/>
  <c r="G367" i="2"/>
  <c r="Y366" i="2"/>
  <c r="X366" i="2"/>
  <c r="W366" i="2"/>
  <c r="V366" i="2"/>
  <c r="O366" i="2"/>
  <c r="G366" i="2"/>
  <c r="Y365" i="2"/>
  <c r="X365" i="2"/>
  <c r="W365" i="2"/>
  <c r="V365" i="2"/>
  <c r="O365" i="2"/>
  <c r="G365" i="2"/>
  <c r="Y364" i="2"/>
  <c r="X364" i="2"/>
  <c r="W364" i="2"/>
  <c r="V364" i="2"/>
  <c r="O364" i="2"/>
  <c r="G364" i="2"/>
  <c r="Y363" i="2"/>
  <c r="X363" i="2"/>
  <c r="W363" i="2"/>
  <c r="V363" i="2"/>
  <c r="O363" i="2"/>
  <c r="G363" i="2"/>
  <c r="Y362" i="2"/>
  <c r="X362" i="2"/>
  <c r="W362" i="2"/>
  <c r="V362" i="2"/>
  <c r="O362" i="2"/>
  <c r="G362" i="2"/>
  <c r="Y361" i="2"/>
  <c r="X361" i="2"/>
  <c r="W361" i="2"/>
  <c r="V361" i="2"/>
  <c r="O361" i="2"/>
  <c r="G361" i="2"/>
  <c r="Y360" i="2"/>
  <c r="X360" i="2"/>
  <c r="W360" i="2"/>
  <c r="V360" i="2"/>
  <c r="O360" i="2"/>
  <c r="G360" i="2"/>
  <c r="Y359" i="2"/>
  <c r="X359" i="2"/>
  <c r="W359" i="2"/>
  <c r="V359" i="2"/>
  <c r="O359" i="2"/>
  <c r="G359" i="2"/>
  <c r="Y358" i="2"/>
  <c r="X358" i="2"/>
  <c r="W358" i="2"/>
  <c r="V358" i="2"/>
  <c r="O358" i="2"/>
  <c r="G358" i="2"/>
  <c r="Y357" i="2"/>
  <c r="X357" i="2"/>
  <c r="W357" i="2"/>
  <c r="V357" i="2"/>
  <c r="O357" i="2"/>
  <c r="G357" i="2"/>
  <c r="Y356" i="2"/>
  <c r="X356" i="2"/>
  <c r="W356" i="2"/>
  <c r="V356" i="2"/>
  <c r="O356" i="2"/>
  <c r="G356" i="2"/>
  <c r="Y355" i="2"/>
  <c r="X355" i="2"/>
  <c r="W355" i="2"/>
  <c r="V355" i="2"/>
  <c r="O355" i="2"/>
  <c r="G355" i="2"/>
  <c r="Y354" i="2"/>
  <c r="X354" i="2"/>
  <c r="W354" i="2"/>
  <c r="V354" i="2"/>
  <c r="O354" i="2"/>
  <c r="G354" i="2"/>
  <c r="Y353" i="2"/>
  <c r="X353" i="2"/>
  <c r="W353" i="2"/>
  <c r="V353" i="2"/>
  <c r="O353" i="2"/>
  <c r="G353" i="2"/>
  <c r="Y352" i="2"/>
  <c r="X352" i="2"/>
  <c r="W352" i="2"/>
  <c r="V352" i="2"/>
  <c r="O352" i="2"/>
  <c r="G352" i="2"/>
  <c r="Y351" i="2"/>
  <c r="X351" i="2"/>
  <c r="W351" i="2"/>
  <c r="V351" i="2"/>
  <c r="O351" i="2"/>
  <c r="G351" i="2"/>
  <c r="Y350" i="2"/>
  <c r="X350" i="2"/>
  <c r="W350" i="2"/>
  <c r="V350" i="2"/>
  <c r="O350" i="2"/>
  <c r="G350" i="2"/>
  <c r="Y349" i="2"/>
  <c r="X349" i="2"/>
  <c r="W349" i="2"/>
  <c r="V349" i="2"/>
  <c r="O349" i="2"/>
  <c r="G349" i="2"/>
  <c r="Y348" i="2"/>
  <c r="X348" i="2"/>
  <c r="W348" i="2"/>
  <c r="V348" i="2"/>
  <c r="O348" i="2"/>
  <c r="G348" i="2"/>
  <c r="Y347" i="2"/>
  <c r="X347" i="2"/>
  <c r="W347" i="2"/>
  <c r="V347" i="2"/>
  <c r="O347" i="2"/>
  <c r="G347" i="2"/>
  <c r="Y346" i="2"/>
  <c r="X346" i="2"/>
  <c r="W346" i="2"/>
  <c r="V346" i="2"/>
  <c r="O346" i="2"/>
  <c r="G346" i="2"/>
  <c r="Y345" i="2"/>
  <c r="X345" i="2"/>
  <c r="W345" i="2"/>
  <c r="V345" i="2"/>
  <c r="O345" i="2"/>
  <c r="G345" i="2"/>
  <c r="Y344" i="2"/>
  <c r="X344" i="2"/>
  <c r="W344" i="2"/>
  <c r="V344" i="2"/>
  <c r="O344" i="2"/>
  <c r="G344" i="2"/>
  <c r="Y343" i="2"/>
  <c r="X343" i="2"/>
  <c r="W343" i="2"/>
  <c r="V343" i="2"/>
  <c r="O343" i="2"/>
  <c r="G343" i="2"/>
  <c r="Y342" i="2"/>
  <c r="X342" i="2"/>
  <c r="W342" i="2"/>
  <c r="V342" i="2"/>
  <c r="O342" i="2"/>
  <c r="G342" i="2"/>
  <c r="Y341" i="2"/>
  <c r="X341" i="2"/>
  <c r="W341" i="2"/>
  <c r="V341" i="2"/>
  <c r="O341" i="2"/>
  <c r="G341" i="2"/>
  <c r="Y340" i="2"/>
  <c r="X340" i="2"/>
  <c r="W340" i="2"/>
  <c r="V340" i="2"/>
  <c r="O340" i="2"/>
  <c r="G340" i="2"/>
  <c r="Y339" i="2"/>
  <c r="X339" i="2"/>
  <c r="W339" i="2"/>
  <c r="V339" i="2"/>
  <c r="O339" i="2"/>
  <c r="G339" i="2"/>
  <c r="Y338" i="2"/>
  <c r="X338" i="2"/>
  <c r="W338" i="2"/>
  <c r="V338" i="2"/>
  <c r="O338" i="2"/>
  <c r="G338" i="2"/>
  <c r="Y337" i="2"/>
  <c r="X337" i="2"/>
  <c r="W337" i="2"/>
  <c r="V337" i="2"/>
  <c r="O337" i="2"/>
  <c r="G337" i="2"/>
  <c r="Y336" i="2"/>
  <c r="X336" i="2"/>
  <c r="W336" i="2"/>
  <c r="V336" i="2"/>
  <c r="O336" i="2"/>
  <c r="G336" i="2"/>
  <c r="Y335" i="2"/>
  <c r="X335" i="2"/>
  <c r="W335" i="2"/>
  <c r="V335" i="2"/>
  <c r="O335" i="2"/>
  <c r="G335" i="2"/>
  <c r="Y334" i="2"/>
  <c r="X334" i="2"/>
  <c r="W334" i="2"/>
  <c r="V334" i="2"/>
  <c r="O334" i="2"/>
  <c r="G334" i="2"/>
  <c r="Y333" i="2"/>
  <c r="X333" i="2"/>
  <c r="W333" i="2"/>
  <c r="V333" i="2"/>
  <c r="O333" i="2"/>
  <c r="G333" i="2"/>
  <c r="Y332" i="2"/>
  <c r="X332" i="2"/>
  <c r="W332" i="2"/>
  <c r="V332" i="2"/>
  <c r="O332" i="2"/>
  <c r="G332" i="2"/>
  <c r="Y331" i="2"/>
  <c r="X331" i="2"/>
  <c r="W331" i="2"/>
  <c r="V331" i="2"/>
  <c r="O331" i="2"/>
  <c r="G331" i="2"/>
  <c r="Y330" i="2"/>
  <c r="X330" i="2"/>
  <c r="W330" i="2"/>
  <c r="V330" i="2"/>
  <c r="O330" i="2"/>
  <c r="G330" i="2"/>
  <c r="Y329" i="2"/>
  <c r="X329" i="2"/>
  <c r="W329" i="2"/>
  <c r="V329" i="2"/>
  <c r="O329" i="2"/>
  <c r="G329" i="2"/>
  <c r="Y328" i="2"/>
  <c r="X328" i="2"/>
  <c r="W328" i="2"/>
  <c r="V328" i="2"/>
  <c r="O328" i="2"/>
  <c r="G328" i="2"/>
  <c r="Y327" i="2"/>
  <c r="X327" i="2"/>
  <c r="W327" i="2"/>
  <c r="V327" i="2"/>
  <c r="O327" i="2"/>
  <c r="G327" i="2"/>
  <c r="Y326" i="2"/>
  <c r="X326" i="2"/>
  <c r="W326" i="2"/>
  <c r="V326" i="2"/>
  <c r="O326" i="2"/>
  <c r="G326" i="2"/>
  <c r="Y325" i="2"/>
  <c r="X325" i="2"/>
  <c r="W325" i="2"/>
  <c r="V325" i="2"/>
  <c r="O325" i="2"/>
  <c r="G325" i="2"/>
  <c r="Y324" i="2"/>
  <c r="X324" i="2"/>
  <c r="W324" i="2"/>
  <c r="V324" i="2"/>
  <c r="O324" i="2"/>
  <c r="G324" i="2"/>
  <c r="Y323" i="2"/>
  <c r="X323" i="2"/>
  <c r="W323" i="2"/>
  <c r="V323" i="2"/>
  <c r="O323" i="2"/>
  <c r="G323" i="2"/>
  <c r="Y322" i="2"/>
  <c r="X322" i="2"/>
  <c r="W322" i="2"/>
  <c r="V322" i="2"/>
  <c r="O322" i="2"/>
  <c r="G322" i="2"/>
  <c r="Y321" i="2"/>
  <c r="X321" i="2"/>
  <c r="W321" i="2"/>
  <c r="V321" i="2"/>
  <c r="O321" i="2"/>
  <c r="G321" i="2"/>
  <c r="Y320" i="2"/>
  <c r="X320" i="2"/>
  <c r="W320" i="2"/>
  <c r="V320" i="2"/>
  <c r="O320" i="2"/>
  <c r="G320" i="2"/>
  <c r="Y319" i="2"/>
  <c r="X319" i="2"/>
  <c r="W319" i="2"/>
  <c r="V319" i="2"/>
  <c r="O319" i="2"/>
  <c r="G319" i="2"/>
  <c r="Y318" i="2"/>
  <c r="X318" i="2"/>
  <c r="W318" i="2"/>
  <c r="V318" i="2"/>
  <c r="O318" i="2"/>
  <c r="G318" i="2"/>
  <c r="Y317" i="2"/>
  <c r="X317" i="2"/>
  <c r="W317" i="2"/>
  <c r="V317" i="2"/>
  <c r="O317" i="2"/>
  <c r="G317" i="2"/>
  <c r="Y316" i="2"/>
  <c r="X316" i="2"/>
  <c r="W316" i="2"/>
  <c r="V316" i="2"/>
  <c r="O316" i="2"/>
  <c r="G316" i="2"/>
  <c r="Y315" i="2"/>
  <c r="X315" i="2"/>
  <c r="W315" i="2"/>
  <c r="V315" i="2"/>
  <c r="O315" i="2"/>
  <c r="G315" i="2"/>
  <c r="Y314" i="2"/>
  <c r="X314" i="2"/>
  <c r="W314" i="2"/>
  <c r="V314" i="2"/>
  <c r="O314" i="2"/>
  <c r="G314" i="2"/>
  <c r="Y313" i="2"/>
  <c r="X313" i="2"/>
  <c r="W313" i="2"/>
  <c r="V313" i="2"/>
  <c r="O313" i="2"/>
  <c r="G313" i="2"/>
  <c r="Y312" i="2"/>
  <c r="X312" i="2"/>
  <c r="W312" i="2"/>
  <c r="V312" i="2"/>
  <c r="O312" i="2"/>
  <c r="G312" i="2"/>
  <c r="Y311" i="2"/>
  <c r="X311" i="2"/>
  <c r="W311" i="2"/>
  <c r="V311" i="2"/>
  <c r="O311" i="2"/>
  <c r="G311" i="2"/>
  <c r="Y310" i="2"/>
  <c r="X310" i="2"/>
  <c r="W310" i="2"/>
  <c r="V310" i="2"/>
  <c r="O310" i="2"/>
  <c r="G310" i="2"/>
  <c r="Y309" i="2"/>
  <c r="X309" i="2"/>
  <c r="W309" i="2"/>
  <c r="V309" i="2"/>
  <c r="O309" i="2"/>
  <c r="G309" i="2"/>
  <c r="Y308" i="2"/>
  <c r="X308" i="2"/>
  <c r="W308" i="2"/>
  <c r="V308" i="2"/>
  <c r="O308" i="2"/>
  <c r="G308" i="2"/>
  <c r="Y307" i="2"/>
  <c r="X307" i="2"/>
  <c r="W307" i="2"/>
  <c r="V307" i="2"/>
  <c r="O307" i="2"/>
  <c r="G307" i="2"/>
  <c r="Y306" i="2"/>
  <c r="X306" i="2"/>
  <c r="W306" i="2"/>
  <c r="V306" i="2"/>
  <c r="O306" i="2"/>
  <c r="G306" i="2"/>
  <c r="Y305" i="2"/>
  <c r="X305" i="2"/>
  <c r="W305" i="2"/>
  <c r="V305" i="2"/>
  <c r="O305" i="2"/>
  <c r="G305" i="2"/>
  <c r="Y304" i="2"/>
  <c r="X304" i="2"/>
  <c r="W304" i="2"/>
  <c r="V304" i="2"/>
  <c r="O304" i="2"/>
  <c r="G304" i="2"/>
  <c r="Y303" i="2"/>
  <c r="X303" i="2"/>
  <c r="W303" i="2"/>
  <c r="V303" i="2"/>
  <c r="O303" i="2"/>
  <c r="G303" i="2"/>
  <c r="Y302" i="2"/>
  <c r="X302" i="2"/>
  <c r="W302" i="2"/>
  <c r="V302" i="2"/>
  <c r="O302" i="2"/>
  <c r="G302" i="2"/>
  <c r="Y301" i="2"/>
  <c r="X301" i="2"/>
  <c r="W301" i="2"/>
  <c r="V301" i="2"/>
  <c r="O301" i="2"/>
  <c r="G301" i="2"/>
  <c r="Y300" i="2"/>
  <c r="X300" i="2"/>
  <c r="W300" i="2"/>
  <c r="V300" i="2"/>
  <c r="O300" i="2"/>
  <c r="G300" i="2"/>
  <c r="Y299" i="2"/>
  <c r="X299" i="2"/>
  <c r="W299" i="2"/>
  <c r="V299" i="2"/>
  <c r="O299" i="2"/>
  <c r="G299" i="2"/>
  <c r="Y298" i="2"/>
  <c r="X298" i="2"/>
  <c r="W298" i="2"/>
  <c r="V298" i="2"/>
  <c r="O298" i="2"/>
  <c r="G298" i="2"/>
  <c r="Y297" i="2"/>
  <c r="X297" i="2"/>
  <c r="W297" i="2"/>
  <c r="V297" i="2"/>
  <c r="O297" i="2"/>
  <c r="G297" i="2"/>
  <c r="Y296" i="2"/>
  <c r="X296" i="2"/>
  <c r="W296" i="2"/>
  <c r="V296" i="2"/>
  <c r="O296" i="2"/>
  <c r="G296" i="2"/>
  <c r="Y295" i="2"/>
  <c r="X295" i="2"/>
  <c r="W295" i="2"/>
  <c r="V295" i="2"/>
  <c r="O295" i="2"/>
  <c r="G295" i="2"/>
  <c r="Y294" i="2"/>
  <c r="X294" i="2"/>
  <c r="W294" i="2"/>
  <c r="V294" i="2"/>
  <c r="O294" i="2"/>
  <c r="G294" i="2"/>
  <c r="Y293" i="2"/>
  <c r="X293" i="2"/>
  <c r="W293" i="2"/>
  <c r="V293" i="2"/>
  <c r="O293" i="2"/>
  <c r="G293" i="2"/>
  <c r="Y292" i="2"/>
  <c r="X292" i="2"/>
  <c r="W292" i="2"/>
  <c r="V292" i="2"/>
  <c r="O292" i="2"/>
  <c r="G292" i="2"/>
  <c r="Y291" i="2"/>
  <c r="X291" i="2"/>
  <c r="W291" i="2"/>
  <c r="V291" i="2"/>
  <c r="O291" i="2"/>
  <c r="G291" i="2"/>
  <c r="Y290" i="2"/>
  <c r="X290" i="2"/>
  <c r="W290" i="2"/>
  <c r="V290" i="2"/>
  <c r="O290" i="2"/>
  <c r="G290" i="2"/>
  <c r="Y289" i="2"/>
  <c r="X289" i="2"/>
  <c r="W289" i="2"/>
  <c r="V289" i="2"/>
  <c r="O289" i="2"/>
  <c r="G289" i="2"/>
  <c r="Y288" i="2"/>
  <c r="X288" i="2"/>
  <c r="W288" i="2"/>
  <c r="V288" i="2"/>
  <c r="O288" i="2"/>
  <c r="G288" i="2"/>
  <c r="Y287" i="2"/>
  <c r="X287" i="2"/>
  <c r="W287" i="2"/>
  <c r="V287" i="2"/>
  <c r="O287" i="2"/>
  <c r="G287" i="2"/>
  <c r="Y286" i="2"/>
  <c r="X286" i="2"/>
  <c r="W286" i="2"/>
  <c r="V286" i="2"/>
  <c r="O286" i="2"/>
  <c r="G286" i="2"/>
  <c r="Y285" i="2"/>
  <c r="X285" i="2"/>
  <c r="W285" i="2"/>
  <c r="V285" i="2"/>
  <c r="O285" i="2"/>
  <c r="G285" i="2"/>
  <c r="Y284" i="2"/>
  <c r="X284" i="2"/>
  <c r="W284" i="2"/>
  <c r="V284" i="2"/>
  <c r="O284" i="2"/>
  <c r="G284" i="2"/>
  <c r="Y283" i="2"/>
  <c r="X283" i="2"/>
  <c r="W283" i="2"/>
  <c r="V283" i="2"/>
  <c r="O283" i="2"/>
  <c r="G283" i="2"/>
  <c r="Y282" i="2"/>
  <c r="X282" i="2"/>
  <c r="W282" i="2"/>
  <c r="V282" i="2"/>
  <c r="O282" i="2"/>
  <c r="G282" i="2"/>
  <c r="Y281" i="2"/>
  <c r="X281" i="2"/>
  <c r="W281" i="2"/>
  <c r="V281" i="2"/>
  <c r="O281" i="2"/>
  <c r="G281" i="2"/>
  <c r="Y280" i="2"/>
  <c r="X280" i="2"/>
  <c r="W280" i="2"/>
  <c r="V280" i="2"/>
  <c r="O280" i="2"/>
  <c r="G280" i="2"/>
  <c r="Y279" i="2"/>
  <c r="X279" i="2"/>
  <c r="W279" i="2"/>
  <c r="V279" i="2"/>
  <c r="O279" i="2"/>
  <c r="G279" i="2"/>
  <c r="Y278" i="2"/>
  <c r="X278" i="2"/>
  <c r="W278" i="2"/>
  <c r="V278" i="2"/>
  <c r="O278" i="2"/>
  <c r="G278" i="2"/>
  <c r="Y277" i="2"/>
  <c r="X277" i="2"/>
  <c r="W277" i="2"/>
  <c r="V277" i="2"/>
  <c r="O277" i="2"/>
  <c r="G277" i="2"/>
  <c r="Y276" i="2"/>
  <c r="X276" i="2"/>
  <c r="W276" i="2"/>
  <c r="V276" i="2"/>
  <c r="O276" i="2"/>
  <c r="G276" i="2"/>
  <c r="Y275" i="2"/>
  <c r="X275" i="2"/>
  <c r="W275" i="2"/>
  <c r="V275" i="2"/>
  <c r="O275" i="2"/>
  <c r="G275" i="2"/>
  <c r="Y274" i="2"/>
  <c r="X274" i="2"/>
  <c r="W274" i="2"/>
  <c r="V274" i="2"/>
  <c r="O274" i="2"/>
  <c r="G274" i="2"/>
  <c r="Y273" i="2"/>
  <c r="X273" i="2"/>
  <c r="W273" i="2"/>
  <c r="V273" i="2"/>
  <c r="O273" i="2"/>
  <c r="G273" i="2"/>
  <c r="Y272" i="2"/>
  <c r="X272" i="2"/>
  <c r="W272" i="2"/>
  <c r="V272" i="2"/>
  <c r="O272" i="2"/>
  <c r="G272" i="2"/>
  <c r="Y271" i="2"/>
  <c r="X271" i="2"/>
  <c r="W271" i="2"/>
  <c r="V271" i="2"/>
  <c r="O271" i="2"/>
  <c r="G271" i="2"/>
  <c r="Y270" i="2"/>
  <c r="X270" i="2"/>
  <c r="W270" i="2"/>
  <c r="V270" i="2"/>
  <c r="O270" i="2"/>
  <c r="G270" i="2"/>
  <c r="Y269" i="2"/>
  <c r="X269" i="2"/>
  <c r="W269" i="2"/>
  <c r="V269" i="2"/>
  <c r="O269" i="2"/>
  <c r="G269" i="2"/>
  <c r="Y268" i="2"/>
  <c r="X268" i="2"/>
  <c r="W268" i="2"/>
  <c r="V268" i="2"/>
  <c r="O268" i="2"/>
  <c r="G268" i="2"/>
  <c r="Y267" i="2"/>
  <c r="X267" i="2"/>
  <c r="W267" i="2"/>
  <c r="V267" i="2"/>
  <c r="O267" i="2"/>
  <c r="G267" i="2"/>
  <c r="Y266" i="2"/>
  <c r="X266" i="2"/>
  <c r="W266" i="2"/>
  <c r="V266" i="2"/>
  <c r="O266" i="2"/>
  <c r="G266" i="2"/>
  <c r="Y265" i="2"/>
  <c r="X265" i="2"/>
  <c r="W265" i="2"/>
  <c r="V265" i="2"/>
  <c r="O265" i="2"/>
  <c r="G265" i="2"/>
  <c r="Y264" i="2"/>
  <c r="X264" i="2"/>
  <c r="W264" i="2"/>
  <c r="V264" i="2"/>
  <c r="O264" i="2"/>
  <c r="G264" i="2"/>
  <c r="Y263" i="2"/>
  <c r="X263" i="2"/>
  <c r="W263" i="2"/>
  <c r="V263" i="2"/>
  <c r="O263" i="2"/>
  <c r="G263" i="2"/>
  <c r="Y262" i="2"/>
  <c r="X262" i="2"/>
  <c r="W262" i="2"/>
  <c r="V262" i="2"/>
  <c r="O262" i="2"/>
  <c r="G262" i="2"/>
  <c r="Y261" i="2"/>
  <c r="X261" i="2"/>
  <c r="W261" i="2"/>
  <c r="V261" i="2"/>
  <c r="O261" i="2"/>
  <c r="G261" i="2"/>
  <c r="Y260" i="2"/>
  <c r="X260" i="2"/>
  <c r="W260" i="2"/>
  <c r="V260" i="2"/>
  <c r="O260" i="2"/>
  <c r="G260" i="2"/>
  <c r="Y259" i="2"/>
  <c r="X259" i="2"/>
  <c r="W259" i="2"/>
  <c r="V259" i="2"/>
  <c r="O259" i="2"/>
  <c r="G259" i="2"/>
  <c r="Y258" i="2"/>
  <c r="X258" i="2"/>
  <c r="W258" i="2"/>
  <c r="V258" i="2"/>
  <c r="O258" i="2"/>
  <c r="G258" i="2"/>
  <c r="Y257" i="2"/>
  <c r="X257" i="2"/>
  <c r="W257" i="2"/>
  <c r="V257" i="2"/>
  <c r="O257" i="2"/>
  <c r="G257" i="2"/>
  <c r="Y256" i="2"/>
  <c r="X256" i="2"/>
  <c r="W256" i="2"/>
  <c r="V256" i="2"/>
  <c r="O256" i="2"/>
  <c r="G256" i="2"/>
  <c r="Y255" i="2"/>
  <c r="X255" i="2"/>
  <c r="W255" i="2"/>
  <c r="V255" i="2"/>
  <c r="O255" i="2"/>
  <c r="G255" i="2"/>
  <c r="Y254" i="2"/>
  <c r="X254" i="2"/>
  <c r="W254" i="2"/>
  <c r="V254" i="2"/>
  <c r="O254" i="2"/>
  <c r="G254" i="2"/>
  <c r="Y253" i="2"/>
  <c r="X253" i="2"/>
  <c r="W253" i="2"/>
  <c r="V253" i="2"/>
  <c r="O253" i="2"/>
  <c r="G253" i="2"/>
  <c r="Y252" i="2"/>
  <c r="X252" i="2"/>
  <c r="W252" i="2"/>
  <c r="V252" i="2"/>
  <c r="O252" i="2"/>
  <c r="G252" i="2"/>
  <c r="Y251" i="2"/>
  <c r="X251" i="2"/>
  <c r="W251" i="2"/>
  <c r="V251" i="2"/>
  <c r="O251" i="2"/>
  <c r="G251" i="2"/>
  <c r="Y250" i="2"/>
  <c r="X250" i="2"/>
  <c r="W250" i="2"/>
  <c r="V250" i="2"/>
  <c r="O250" i="2"/>
  <c r="G250" i="2"/>
  <c r="Y249" i="2"/>
  <c r="X249" i="2"/>
  <c r="W249" i="2"/>
  <c r="V249" i="2"/>
  <c r="O249" i="2"/>
  <c r="G249" i="2"/>
  <c r="Y248" i="2"/>
  <c r="X248" i="2"/>
  <c r="W248" i="2"/>
  <c r="V248" i="2"/>
  <c r="O248" i="2"/>
  <c r="G248" i="2"/>
  <c r="Y247" i="2"/>
  <c r="X247" i="2"/>
  <c r="W247" i="2"/>
  <c r="V247" i="2"/>
  <c r="O247" i="2"/>
  <c r="G247" i="2"/>
  <c r="Y246" i="2"/>
  <c r="X246" i="2"/>
  <c r="W246" i="2"/>
  <c r="V246" i="2"/>
  <c r="O246" i="2"/>
  <c r="G246" i="2"/>
  <c r="Y245" i="2"/>
  <c r="X245" i="2"/>
  <c r="W245" i="2"/>
  <c r="V245" i="2"/>
  <c r="O245" i="2"/>
  <c r="G245" i="2"/>
  <c r="Y244" i="2"/>
  <c r="X244" i="2"/>
  <c r="W244" i="2"/>
  <c r="V244" i="2"/>
  <c r="O244" i="2"/>
  <c r="G244" i="2"/>
  <c r="Y243" i="2"/>
  <c r="X243" i="2"/>
  <c r="W243" i="2"/>
  <c r="V243" i="2"/>
  <c r="O243" i="2"/>
  <c r="G243" i="2"/>
  <c r="Y242" i="2"/>
  <c r="X242" i="2"/>
  <c r="W242" i="2"/>
  <c r="V242" i="2"/>
  <c r="O242" i="2"/>
  <c r="G242" i="2"/>
  <c r="Y241" i="2"/>
  <c r="X241" i="2"/>
  <c r="W241" i="2"/>
  <c r="V241" i="2"/>
  <c r="O241" i="2"/>
  <c r="G241" i="2"/>
  <c r="Y240" i="2"/>
  <c r="X240" i="2"/>
  <c r="W240" i="2"/>
  <c r="V240" i="2"/>
  <c r="O240" i="2"/>
  <c r="G240" i="2"/>
  <c r="Y239" i="2"/>
  <c r="X239" i="2"/>
  <c r="W239" i="2"/>
  <c r="V239" i="2"/>
  <c r="O239" i="2"/>
  <c r="G239" i="2"/>
  <c r="Y238" i="2"/>
  <c r="X238" i="2"/>
  <c r="W238" i="2"/>
  <c r="V238" i="2"/>
  <c r="O238" i="2"/>
  <c r="G238" i="2"/>
  <c r="Y237" i="2"/>
  <c r="X237" i="2"/>
  <c r="W237" i="2"/>
  <c r="V237" i="2"/>
  <c r="O237" i="2"/>
  <c r="G237" i="2"/>
  <c r="Y236" i="2"/>
  <c r="X236" i="2"/>
  <c r="W236" i="2"/>
  <c r="V236" i="2"/>
  <c r="O236" i="2"/>
  <c r="G236" i="2"/>
  <c r="Y235" i="2"/>
  <c r="X235" i="2"/>
  <c r="W235" i="2"/>
  <c r="V235" i="2"/>
  <c r="O235" i="2"/>
  <c r="G235" i="2"/>
  <c r="Y234" i="2"/>
  <c r="X234" i="2"/>
  <c r="W234" i="2"/>
  <c r="V234" i="2"/>
  <c r="O234" i="2"/>
  <c r="G234" i="2"/>
  <c r="Y233" i="2"/>
  <c r="X233" i="2"/>
  <c r="W233" i="2"/>
  <c r="V233" i="2"/>
  <c r="O233" i="2"/>
  <c r="G233" i="2"/>
  <c r="Y232" i="2"/>
  <c r="X232" i="2"/>
  <c r="W232" i="2"/>
  <c r="V232" i="2"/>
  <c r="O232" i="2"/>
  <c r="G232" i="2"/>
  <c r="Y231" i="2"/>
  <c r="X231" i="2"/>
  <c r="W231" i="2"/>
  <c r="V231" i="2"/>
  <c r="O231" i="2"/>
  <c r="G231" i="2"/>
  <c r="Y230" i="2"/>
  <c r="X230" i="2"/>
  <c r="W230" i="2"/>
  <c r="V230" i="2"/>
  <c r="O230" i="2"/>
  <c r="G230" i="2"/>
  <c r="Y229" i="2"/>
  <c r="X229" i="2"/>
  <c r="W229" i="2"/>
  <c r="V229" i="2"/>
  <c r="O229" i="2"/>
  <c r="G229" i="2"/>
  <c r="Y228" i="2"/>
  <c r="X228" i="2"/>
  <c r="W228" i="2"/>
  <c r="V228" i="2"/>
  <c r="O228" i="2"/>
  <c r="G228" i="2"/>
  <c r="Y227" i="2"/>
  <c r="X227" i="2"/>
  <c r="W227" i="2"/>
  <c r="V227" i="2"/>
  <c r="O227" i="2"/>
  <c r="G227" i="2"/>
  <c r="Y226" i="2"/>
  <c r="X226" i="2"/>
  <c r="W226" i="2"/>
  <c r="V226" i="2"/>
  <c r="O226" i="2"/>
  <c r="G226" i="2"/>
  <c r="Y225" i="2"/>
  <c r="X225" i="2"/>
  <c r="W225" i="2"/>
  <c r="V225" i="2"/>
  <c r="O225" i="2"/>
  <c r="G225" i="2"/>
  <c r="Y224" i="2"/>
  <c r="X224" i="2"/>
  <c r="W224" i="2"/>
  <c r="V224" i="2"/>
  <c r="O224" i="2"/>
  <c r="G224" i="2"/>
  <c r="Y223" i="2"/>
  <c r="X223" i="2"/>
  <c r="W223" i="2"/>
  <c r="V223" i="2"/>
  <c r="O223" i="2"/>
  <c r="G223" i="2"/>
  <c r="Y222" i="2"/>
  <c r="X222" i="2"/>
  <c r="W222" i="2"/>
  <c r="V222" i="2"/>
  <c r="O222" i="2"/>
  <c r="G222" i="2"/>
  <c r="Y221" i="2"/>
  <c r="X221" i="2"/>
  <c r="W221" i="2"/>
  <c r="V221" i="2"/>
  <c r="O221" i="2"/>
  <c r="G221" i="2"/>
  <c r="Y220" i="2"/>
  <c r="X220" i="2"/>
  <c r="W220" i="2"/>
  <c r="V220" i="2"/>
  <c r="O220" i="2"/>
  <c r="G220" i="2"/>
  <c r="Y219" i="2"/>
  <c r="X219" i="2"/>
  <c r="W219" i="2"/>
  <c r="V219" i="2"/>
  <c r="O219" i="2"/>
  <c r="G219" i="2"/>
  <c r="Y218" i="2"/>
  <c r="X218" i="2"/>
  <c r="W218" i="2"/>
  <c r="V218" i="2"/>
  <c r="O218" i="2"/>
  <c r="G218" i="2"/>
  <c r="Y217" i="2"/>
  <c r="X217" i="2"/>
  <c r="W217" i="2"/>
  <c r="V217" i="2"/>
  <c r="O217" i="2"/>
  <c r="G217" i="2"/>
  <c r="Y216" i="2"/>
  <c r="X216" i="2"/>
  <c r="W216" i="2"/>
  <c r="V216" i="2"/>
  <c r="O216" i="2"/>
  <c r="G216" i="2"/>
  <c r="Y215" i="2"/>
  <c r="X215" i="2"/>
  <c r="W215" i="2"/>
  <c r="V215" i="2"/>
  <c r="O215" i="2"/>
  <c r="G215" i="2"/>
  <c r="Y214" i="2"/>
  <c r="X214" i="2"/>
  <c r="W214" i="2"/>
  <c r="V214" i="2"/>
  <c r="O214" i="2"/>
  <c r="G214" i="2"/>
  <c r="Y213" i="2"/>
  <c r="X213" i="2"/>
  <c r="W213" i="2"/>
  <c r="V213" i="2"/>
  <c r="O213" i="2"/>
  <c r="G213" i="2"/>
  <c r="Y212" i="2"/>
  <c r="X212" i="2"/>
  <c r="W212" i="2"/>
  <c r="V212" i="2"/>
  <c r="O212" i="2"/>
  <c r="G212" i="2"/>
  <c r="Y211" i="2"/>
  <c r="X211" i="2"/>
  <c r="W211" i="2"/>
  <c r="V211" i="2"/>
  <c r="O211" i="2"/>
  <c r="G211" i="2"/>
  <c r="Y210" i="2"/>
  <c r="X210" i="2"/>
  <c r="W210" i="2"/>
  <c r="V210" i="2"/>
  <c r="O210" i="2"/>
  <c r="G210" i="2"/>
  <c r="Y209" i="2"/>
  <c r="X209" i="2"/>
  <c r="W209" i="2"/>
  <c r="V209" i="2"/>
  <c r="O209" i="2"/>
  <c r="G209" i="2"/>
  <c r="Y208" i="2"/>
  <c r="X208" i="2"/>
  <c r="W208" i="2"/>
  <c r="V208" i="2"/>
  <c r="O208" i="2"/>
  <c r="G208" i="2"/>
  <c r="Y207" i="2"/>
  <c r="X207" i="2"/>
  <c r="W207" i="2"/>
  <c r="V207" i="2"/>
  <c r="O207" i="2"/>
  <c r="G207" i="2"/>
  <c r="Y206" i="2"/>
  <c r="X206" i="2"/>
  <c r="W206" i="2"/>
  <c r="V206" i="2"/>
  <c r="O206" i="2"/>
  <c r="G206" i="2"/>
  <c r="Y205" i="2"/>
  <c r="X205" i="2"/>
  <c r="W205" i="2"/>
  <c r="V205" i="2"/>
  <c r="O205" i="2"/>
  <c r="G205" i="2"/>
  <c r="Y204" i="2"/>
  <c r="X204" i="2"/>
  <c r="W204" i="2"/>
  <c r="V204" i="2"/>
  <c r="O204" i="2"/>
  <c r="G204" i="2"/>
  <c r="Y203" i="2"/>
  <c r="X203" i="2"/>
  <c r="W203" i="2"/>
  <c r="V203" i="2"/>
  <c r="O203" i="2"/>
  <c r="G203" i="2"/>
  <c r="Y202" i="2"/>
  <c r="X202" i="2"/>
  <c r="W202" i="2"/>
  <c r="V202" i="2"/>
  <c r="O202" i="2"/>
  <c r="G202" i="2"/>
  <c r="Y201" i="2"/>
  <c r="X201" i="2"/>
  <c r="W201" i="2"/>
  <c r="V201" i="2"/>
  <c r="O201" i="2"/>
  <c r="G201" i="2"/>
  <c r="Y200" i="2"/>
  <c r="X200" i="2"/>
  <c r="W200" i="2"/>
  <c r="V200" i="2"/>
  <c r="O200" i="2"/>
  <c r="G200" i="2"/>
  <c r="Y199" i="2"/>
  <c r="X199" i="2"/>
  <c r="W199" i="2"/>
  <c r="V199" i="2"/>
  <c r="O199" i="2"/>
  <c r="G199" i="2"/>
  <c r="Y198" i="2"/>
  <c r="X198" i="2"/>
  <c r="W198" i="2"/>
  <c r="V198" i="2"/>
  <c r="O198" i="2"/>
  <c r="G198" i="2"/>
  <c r="Y197" i="2"/>
  <c r="X197" i="2"/>
  <c r="W197" i="2"/>
  <c r="V197" i="2"/>
  <c r="O197" i="2"/>
  <c r="G197" i="2"/>
  <c r="Y196" i="2"/>
  <c r="X196" i="2"/>
  <c r="W196" i="2"/>
  <c r="V196" i="2"/>
  <c r="O196" i="2"/>
  <c r="G196" i="2"/>
  <c r="Y195" i="2"/>
  <c r="X195" i="2"/>
  <c r="W195" i="2"/>
  <c r="V195" i="2"/>
  <c r="O195" i="2"/>
  <c r="G195" i="2"/>
  <c r="Y194" i="2"/>
  <c r="X194" i="2"/>
  <c r="W194" i="2"/>
  <c r="V194" i="2"/>
  <c r="O194" i="2"/>
  <c r="G194" i="2"/>
  <c r="Y193" i="2"/>
  <c r="X193" i="2"/>
  <c r="W193" i="2"/>
  <c r="V193" i="2"/>
  <c r="O193" i="2"/>
  <c r="G193" i="2"/>
  <c r="Y192" i="2"/>
  <c r="X192" i="2"/>
  <c r="W192" i="2"/>
  <c r="V192" i="2"/>
  <c r="O192" i="2"/>
  <c r="G192" i="2"/>
  <c r="Y191" i="2"/>
  <c r="X191" i="2"/>
  <c r="W191" i="2"/>
  <c r="V191" i="2"/>
  <c r="O191" i="2"/>
  <c r="G191" i="2"/>
  <c r="Y190" i="2"/>
  <c r="X190" i="2"/>
  <c r="W190" i="2"/>
  <c r="V190" i="2"/>
  <c r="O190" i="2"/>
  <c r="G190" i="2"/>
  <c r="Y189" i="2"/>
  <c r="X189" i="2"/>
  <c r="W189" i="2"/>
  <c r="V189" i="2"/>
  <c r="O189" i="2"/>
  <c r="G189" i="2"/>
  <c r="Y188" i="2"/>
  <c r="X188" i="2"/>
  <c r="W188" i="2"/>
  <c r="V188" i="2"/>
  <c r="O188" i="2"/>
  <c r="G188" i="2"/>
  <c r="Y187" i="2"/>
  <c r="X187" i="2"/>
  <c r="W187" i="2"/>
  <c r="V187" i="2"/>
  <c r="O187" i="2"/>
  <c r="G187" i="2"/>
  <c r="Y186" i="2"/>
  <c r="X186" i="2"/>
  <c r="W186" i="2"/>
  <c r="V186" i="2"/>
  <c r="O186" i="2"/>
  <c r="G186" i="2"/>
  <c r="Y185" i="2"/>
  <c r="X185" i="2"/>
  <c r="W185" i="2"/>
  <c r="V185" i="2"/>
  <c r="O185" i="2"/>
  <c r="G185" i="2"/>
  <c r="Y184" i="2"/>
  <c r="X184" i="2"/>
  <c r="W184" i="2"/>
  <c r="V184" i="2"/>
  <c r="O184" i="2"/>
  <c r="G184" i="2"/>
  <c r="Y183" i="2"/>
  <c r="X183" i="2"/>
  <c r="W183" i="2"/>
  <c r="V183" i="2"/>
  <c r="O183" i="2"/>
  <c r="G183" i="2"/>
  <c r="Y182" i="2"/>
  <c r="X182" i="2"/>
  <c r="W182" i="2"/>
  <c r="V182" i="2"/>
  <c r="O182" i="2"/>
  <c r="G182" i="2"/>
  <c r="Y181" i="2"/>
  <c r="X181" i="2"/>
  <c r="W181" i="2"/>
  <c r="V181" i="2"/>
  <c r="O181" i="2"/>
  <c r="G181" i="2"/>
  <c r="Y180" i="2"/>
  <c r="X180" i="2"/>
  <c r="W180" i="2"/>
  <c r="V180" i="2"/>
  <c r="O180" i="2"/>
  <c r="G180" i="2"/>
  <c r="Y179" i="2"/>
  <c r="X179" i="2"/>
  <c r="W179" i="2"/>
  <c r="V179" i="2"/>
  <c r="O179" i="2"/>
  <c r="G179" i="2"/>
  <c r="Y178" i="2"/>
  <c r="X178" i="2"/>
  <c r="W178" i="2"/>
  <c r="V178" i="2"/>
  <c r="O178" i="2"/>
  <c r="G178" i="2"/>
  <c r="Y177" i="2"/>
  <c r="X177" i="2"/>
  <c r="W177" i="2"/>
  <c r="V177" i="2"/>
  <c r="O177" i="2"/>
  <c r="G177" i="2"/>
  <c r="Y176" i="2"/>
  <c r="X176" i="2"/>
  <c r="W176" i="2"/>
  <c r="V176" i="2"/>
  <c r="O176" i="2"/>
  <c r="G176" i="2"/>
  <c r="Y175" i="2"/>
  <c r="X175" i="2"/>
  <c r="W175" i="2"/>
  <c r="V175" i="2"/>
  <c r="O175" i="2"/>
  <c r="G175" i="2"/>
  <c r="Y174" i="2"/>
  <c r="X174" i="2"/>
  <c r="W174" i="2"/>
  <c r="V174" i="2"/>
  <c r="O174" i="2"/>
  <c r="G174" i="2"/>
  <c r="Y173" i="2"/>
  <c r="X173" i="2"/>
  <c r="W173" i="2"/>
  <c r="V173" i="2"/>
  <c r="O173" i="2"/>
  <c r="G173" i="2"/>
  <c r="Y172" i="2"/>
  <c r="X172" i="2"/>
  <c r="W172" i="2"/>
  <c r="V172" i="2"/>
  <c r="O172" i="2"/>
  <c r="G172" i="2"/>
  <c r="Y171" i="2"/>
  <c r="X171" i="2"/>
  <c r="W171" i="2"/>
  <c r="V171" i="2"/>
  <c r="O171" i="2"/>
  <c r="G171" i="2"/>
  <c r="Y170" i="2"/>
  <c r="X170" i="2"/>
  <c r="W170" i="2"/>
  <c r="V170" i="2"/>
  <c r="O170" i="2"/>
  <c r="G170" i="2"/>
  <c r="Y169" i="2"/>
  <c r="X169" i="2"/>
  <c r="W169" i="2"/>
  <c r="V169" i="2"/>
  <c r="O169" i="2"/>
  <c r="G169" i="2"/>
  <c r="Y168" i="2"/>
  <c r="X168" i="2"/>
  <c r="W168" i="2"/>
  <c r="V168" i="2"/>
  <c r="O168" i="2"/>
  <c r="G168" i="2"/>
  <c r="Y167" i="2"/>
  <c r="X167" i="2"/>
  <c r="W167" i="2"/>
  <c r="V167" i="2"/>
  <c r="O167" i="2"/>
  <c r="G167" i="2"/>
  <c r="Y166" i="2"/>
  <c r="X166" i="2"/>
  <c r="W166" i="2"/>
  <c r="V166" i="2"/>
  <c r="O166" i="2"/>
  <c r="G166" i="2"/>
  <c r="Y165" i="2"/>
  <c r="X165" i="2"/>
  <c r="W165" i="2"/>
  <c r="V165" i="2"/>
  <c r="O165" i="2"/>
  <c r="G165" i="2"/>
  <c r="Y164" i="2"/>
  <c r="X164" i="2"/>
  <c r="W164" i="2"/>
  <c r="V164" i="2"/>
  <c r="O164" i="2"/>
  <c r="G164" i="2"/>
  <c r="Y163" i="2"/>
  <c r="X163" i="2"/>
  <c r="W163" i="2"/>
  <c r="V163" i="2"/>
  <c r="O163" i="2"/>
  <c r="G163" i="2"/>
  <c r="Y162" i="2"/>
  <c r="X162" i="2"/>
  <c r="W162" i="2"/>
  <c r="V162" i="2"/>
  <c r="O162" i="2"/>
  <c r="G162" i="2"/>
  <c r="Y161" i="2"/>
  <c r="X161" i="2"/>
  <c r="W161" i="2"/>
  <c r="V161" i="2"/>
  <c r="O161" i="2"/>
  <c r="G161" i="2"/>
  <c r="Y160" i="2"/>
  <c r="X160" i="2"/>
  <c r="W160" i="2"/>
  <c r="V160" i="2"/>
  <c r="O160" i="2"/>
  <c r="G160" i="2"/>
  <c r="Y159" i="2"/>
  <c r="X159" i="2"/>
  <c r="W159" i="2"/>
  <c r="V159" i="2"/>
  <c r="O159" i="2"/>
  <c r="G159" i="2"/>
  <c r="Y158" i="2"/>
  <c r="X158" i="2"/>
  <c r="W158" i="2"/>
  <c r="V158" i="2"/>
  <c r="O158" i="2"/>
  <c r="G158" i="2"/>
  <c r="Y157" i="2"/>
  <c r="X157" i="2"/>
  <c r="W157" i="2"/>
  <c r="V157" i="2"/>
  <c r="O157" i="2"/>
  <c r="G157" i="2"/>
  <c r="Y156" i="2"/>
  <c r="X156" i="2"/>
  <c r="W156" i="2"/>
  <c r="V156" i="2"/>
  <c r="O156" i="2"/>
  <c r="G156" i="2"/>
  <c r="Y155" i="2"/>
  <c r="X155" i="2"/>
  <c r="W155" i="2"/>
  <c r="V155" i="2"/>
  <c r="O155" i="2"/>
  <c r="G155" i="2"/>
  <c r="Y154" i="2"/>
  <c r="X154" i="2"/>
  <c r="W154" i="2"/>
  <c r="V154" i="2"/>
  <c r="O154" i="2"/>
  <c r="G154" i="2"/>
  <c r="Y153" i="2"/>
  <c r="X153" i="2"/>
  <c r="W153" i="2"/>
  <c r="V153" i="2"/>
  <c r="O153" i="2"/>
  <c r="G153" i="2"/>
  <c r="Y152" i="2"/>
  <c r="X152" i="2"/>
  <c r="W152" i="2"/>
  <c r="V152" i="2"/>
  <c r="O152" i="2"/>
  <c r="G152" i="2"/>
  <c r="Y151" i="2"/>
  <c r="X151" i="2"/>
  <c r="W151" i="2"/>
  <c r="V151" i="2"/>
  <c r="O151" i="2"/>
  <c r="G151" i="2"/>
  <c r="Y150" i="2"/>
  <c r="X150" i="2"/>
  <c r="W150" i="2"/>
  <c r="V150" i="2"/>
  <c r="O150" i="2"/>
  <c r="G150" i="2"/>
  <c r="Y149" i="2"/>
  <c r="X149" i="2"/>
  <c r="W149" i="2"/>
  <c r="V149" i="2"/>
  <c r="O149" i="2"/>
  <c r="G149" i="2"/>
  <c r="Y148" i="2"/>
  <c r="X148" i="2"/>
  <c r="W148" i="2"/>
  <c r="V148" i="2"/>
  <c r="O148" i="2"/>
  <c r="G148" i="2"/>
  <c r="Y147" i="2"/>
  <c r="X147" i="2"/>
  <c r="W147" i="2"/>
  <c r="V147" i="2"/>
  <c r="O147" i="2"/>
  <c r="G147" i="2"/>
  <c r="Y146" i="2"/>
  <c r="X146" i="2"/>
  <c r="W146" i="2"/>
  <c r="V146" i="2"/>
  <c r="O146" i="2"/>
  <c r="G146" i="2"/>
  <c r="Y145" i="2"/>
  <c r="X145" i="2"/>
  <c r="W145" i="2"/>
  <c r="V145" i="2"/>
  <c r="O145" i="2"/>
  <c r="G145" i="2"/>
  <c r="Y144" i="2"/>
  <c r="X144" i="2"/>
  <c r="W144" i="2"/>
  <c r="V144" i="2"/>
  <c r="O144" i="2"/>
  <c r="G144" i="2"/>
  <c r="Y143" i="2"/>
  <c r="X143" i="2"/>
  <c r="W143" i="2"/>
  <c r="V143" i="2"/>
  <c r="O143" i="2"/>
  <c r="G143" i="2"/>
  <c r="Y142" i="2"/>
  <c r="X142" i="2"/>
  <c r="W142" i="2"/>
  <c r="V142" i="2"/>
  <c r="O142" i="2"/>
  <c r="G142" i="2"/>
  <c r="Y141" i="2"/>
  <c r="X141" i="2"/>
  <c r="W141" i="2"/>
  <c r="V141" i="2"/>
  <c r="O141" i="2"/>
  <c r="G141" i="2"/>
  <c r="Y140" i="2"/>
  <c r="X140" i="2"/>
  <c r="W140" i="2"/>
  <c r="V140" i="2"/>
  <c r="O140" i="2"/>
  <c r="G140" i="2"/>
  <c r="Y139" i="2"/>
  <c r="X139" i="2"/>
  <c r="W139" i="2"/>
  <c r="V139" i="2"/>
  <c r="O139" i="2"/>
  <c r="G139" i="2"/>
  <c r="Y138" i="2"/>
  <c r="X138" i="2"/>
  <c r="W138" i="2"/>
  <c r="V138" i="2"/>
  <c r="O138" i="2"/>
  <c r="G138" i="2"/>
  <c r="Y137" i="2"/>
  <c r="X137" i="2"/>
  <c r="W137" i="2"/>
  <c r="V137" i="2"/>
  <c r="O137" i="2"/>
  <c r="G137" i="2"/>
  <c r="Y136" i="2"/>
  <c r="X136" i="2"/>
  <c r="W136" i="2"/>
  <c r="V136" i="2"/>
  <c r="O136" i="2"/>
  <c r="G136" i="2"/>
  <c r="Y135" i="2"/>
  <c r="X135" i="2"/>
  <c r="W135" i="2"/>
  <c r="V135" i="2"/>
  <c r="O135" i="2"/>
  <c r="G135" i="2"/>
  <c r="Y134" i="2"/>
  <c r="X134" i="2"/>
  <c r="W134" i="2"/>
  <c r="V134" i="2"/>
  <c r="O134" i="2"/>
  <c r="G134" i="2"/>
  <c r="Y133" i="2"/>
  <c r="X133" i="2"/>
  <c r="W133" i="2"/>
  <c r="V133" i="2"/>
  <c r="O133" i="2"/>
  <c r="G133" i="2"/>
  <c r="Y132" i="2"/>
  <c r="X132" i="2"/>
  <c r="W132" i="2"/>
  <c r="V132" i="2"/>
  <c r="O132" i="2"/>
  <c r="G132" i="2"/>
  <c r="Y131" i="2"/>
  <c r="X131" i="2"/>
  <c r="W131" i="2"/>
  <c r="V131" i="2"/>
  <c r="O131" i="2"/>
  <c r="G131" i="2"/>
  <c r="Y130" i="2"/>
  <c r="X130" i="2"/>
  <c r="W130" i="2"/>
  <c r="V130" i="2"/>
  <c r="O130" i="2"/>
  <c r="G130" i="2"/>
  <c r="Y129" i="2"/>
  <c r="X129" i="2"/>
  <c r="W129" i="2"/>
  <c r="V129" i="2"/>
  <c r="O129" i="2"/>
  <c r="G129" i="2"/>
  <c r="Y128" i="2"/>
  <c r="X128" i="2"/>
  <c r="W128" i="2"/>
  <c r="V128" i="2"/>
  <c r="O128" i="2"/>
  <c r="G128" i="2"/>
  <c r="Y127" i="2"/>
  <c r="X127" i="2"/>
  <c r="W127" i="2"/>
  <c r="V127" i="2"/>
  <c r="O127" i="2"/>
  <c r="G127" i="2"/>
  <c r="Y126" i="2"/>
  <c r="X126" i="2"/>
  <c r="W126" i="2"/>
  <c r="V126" i="2"/>
  <c r="O126" i="2"/>
  <c r="G126" i="2"/>
  <c r="Y125" i="2"/>
  <c r="X125" i="2"/>
  <c r="W125" i="2"/>
  <c r="V125" i="2"/>
  <c r="O125" i="2"/>
  <c r="G125" i="2"/>
  <c r="Y124" i="2"/>
  <c r="X124" i="2"/>
  <c r="W124" i="2"/>
  <c r="V124" i="2"/>
  <c r="O124" i="2"/>
  <c r="G124" i="2"/>
  <c r="Y123" i="2"/>
  <c r="X123" i="2"/>
  <c r="W123" i="2"/>
  <c r="V123" i="2"/>
  <c r="O123" i="2"/>
  <c r="G123" i="2"/>
  <c r="Y122" i="2"/>
  <c r="X122" i="2"/>
  <c r="W122" i="2"/>
  <c r="V122" i="2"/>
  <c r="O122" i="2"/>
  <c r="G122" i="2"/>
  <c r="Y121" i="2"/>
  <c r="X121" i="2"/>
  <c r="W121" i="2"/>
  <c r="V121" i="2"/>
  <c r="O121" i="2"/>
  <c r="G121" i="2"/>
  <c r="Y120" i="2"/>
  <c r="X120" i="2"/>
  <c r="W120" i="2"/>
  <c r="V120" i="2"/>
  <c r="O120" i="2"/>
  <c r="G120" i="2"/>
  <c r="Y119" i="2"/>
  <c r="X119" i="2"/>
  <c r="W119" i="2"/>
  <c r="V119" i="2"/>
  <c r="O119" i="2"/>
  <c r="G119" i="2"/>
  <c r="Y118" i="2"/>
  <c r="X118" i="2"/>
  <c r="W118" i="2"/>
  <c r="V118" i="2"/>
  <c r="O118" i="2"/>
  <c r="G118" i="2"/>
  <c r="Y117" i="2"/>
  <c r="X117" i="2"/>
  <c r="W117" i="2"/>
  <c r="V117" i="2"/>
  <c r="O117" i="2"/>
  <c r="G117" i="2"/>
  <c r="Y116" i="2"/>
  <c r="X116" i="2"/>
  <c r="W116" i="2"/>
  <c r="V116" i="2"/>
  <c r="O116" i="2"/>
  <c r="G116" i="2"/>
  <c r="Y115" i="2"/>
  <c r="X115" i="2"/>
  <c r="W115" i="2"/>
  <c r="V115" i="2"/>
  <c r="O115" i="2"/>
  <c r="G115" i="2"/>
  <c r="Y114" i="2"/>
  <c r="X114" i="2"/>
  <c r="W114" i="2"/>
  <c r="V114" i="2"/>
  <c r="O114" i="2"/>
  <c r="G114" i="2"/>
  <c r="Y113" i="2"/>
  <c r="X113" i="2"/>
  <c r="W113" i="2"/>
  <c r="V113" i="2"/>
  <c r="O113" i="2"/>
  <c r="G113" i="2"/>
  <c r="Y112" i="2"/>
  <c r="X112" i="2"/>
  <c r="W112" i="2"/>
  <c r="V112" i="2"/>
  <c r="O112" i="2"/>
  <c r="G112" i="2"/>
  <c r="Y111" i="2"/>
  <c r="X111" i="2"/>
  <c r="W111" i="2"/>
  <c r="V111" i="2"/>
  <c r="O111" i="2"/>
  <c r="G111" i="2"/>
  <c r="Y110" i="2"/>
  <c r="X110" i="2"/>
  <c r="W110" i="2"/>
  <c r="V110" i="2"/>
  <c r="O110" i="2"/>
  <c r="G110" i="2"/>
  <c r="Y109" i="2"/>
  <c r="X109" i="2"/>
  <c r="W109" i="2"/>
  <c r="V109" i="2"/>
  <c r="O109" i="2"/>
  <c r="G109" i="2"/>
  <c r="Y108" i="2"/>
  <c r="X108" i="2"/>
  <c r="W108" i="2"/>
  <c r="V108" i="2"/>
  <c r="O108" i="2"/>
  <c r="G108" i="2"/>
  <c r="Y107" i="2"/>
  <c r="X107" i="2"/>
  <c r="W107" i="2"/>
  <c r="V107" i="2"/>
  <c r="O107" i="2"/>
  <c r="G107" i="2"/>
  <c r="Y106" i="2"/>
  <c r="X106" i="2"/>
  <c r="W106" i="2"/>
  <c r="V106" i="2"/>
  <c r="O106" i="2"/>
  <c r="G106" i="2"/>
  <c r="Y105" i="2"/>
  <c r="X105" i="2"/>
  <c r="W105" i="2"/>
  <c r="V105" i="2"/>
  <c r="O105" i="2"/>
  <c r="G105" i="2"/>
  <c r="Y104" i="2"/>
  <c r="X104" i="2"/>
  <c r="W104" i="2"/>
  <c r="V104" i="2"/>
  <c r="O104" i="2"/>
  <c r="G104" i="2"/>
  <c r="Y103" i="2"/>
  <c r="X103" i="2"/>
  <c r="W103" i="2"/>
  <c r="V103" i="2"/>
  <c r="O103" i="2"/>
  <c r="G103" i="2"/>
  <c r="Y102" i="2"/>
  <c r="X102" i="2"/>
  <c r="W102" i="2"/>
  <c r="V102" i="2"/>
  <c r="O102" i="2"/>
  <c r="G102" i="2"/>
  <c r="Y101" i="2"/>
  <c r="X101" i="2"/>
  <c r="W101" i="2"/>
  <c r="V101" i="2"/>
  <c r="O101" i="2"/>
  <c r="G101" i="2"/>
  <c r="Y100" i="2"/>
  <c r="X100" i="2"/>
  <c r="W100" i="2"/>
  <c r="V100" i="2"/>
  <c r="O100" i="2"/>
  <c r="G100" i="2"/>
  <c r="Y99" i="2"/>
  <c r="X99" i="2"/>
  <c r="W99" i="2"/>
  <c r="V99" i="2"/>
  <c r="O99" i="2"/>
  <c r="G99" i="2"/>
  <c r="Y98" i="2"/>
  <c r="X98" i="2"/>
  <c r="W98" i="2"/>
  <c r="V98" i="2"/>
  <c r="O98" i="2"/>
  <c r="G98" i="2"/>
  <c r="Y97" i="2"/>
  <c r="X97" i="2"/>
  <c r="W97" i="2"/>
  <c r="V97" i="2"/>
  <c r="O97" i="2"/>
  <c r="G97" i="2"/>
  <c r="Y96" i="2"/>
  <c r="X96" i="2"/>
  <c r="W96" i="2"/>
  <c r="V96" i="2"/>
  <c r="O96" i="2"/>
  <c r="G96" i="2"/>
  <c r="Y95" i="2"/>
  <c r="X95" i="2"/>
  <c r="W95" i="2"/>
  <c r="V95" i="2"/>
  <c r="O95" i="2"/>
  <c r="G95" i="2"/>
  <c r="Y94" i="2"/>
  <c r="X94" i="2"/>
  <c r="W94" i="2"/>
  <c r="V94" i="2"/>
  <c r="O94" i="2"/>
  <c r="G94" i="2"/>
  <c r="Y93" i="2"/>
  <c r="X93" i="2"/>
  <c r="W93" i="2"/>
  <c r="V93" i="2"/>
  <c r="O93" i="2"/>
  <c r="G93" i="2"/>
  <c r="Y92" i="2"/>
  <c r="X92" i="2"/>
  <c r="W92" i="2"/>
  <c r="V92" i="2"/>
  <c r="O92" i="2"/>
  <c r="G92" i="2"/>
  <c r="Y91" i="2"/>
  <c r="X91" i="2"/>
  <c r="W91" i="2"/>
  <c r="V91" i="2"/>
  <c r="O91" i="2"/>
  <c r="G91" i="2"/>
  <c r="Y90" i="2"/>
  <c r="X90" i="2"/>
  <c r="W90" i="2"/>
  <c r="V90" i="2"/>
  <c r="O90" i="2"/>
  <c r="G90" i="2"/>
  <c r="Y89" i="2"/>
  <c r="X89" i="2"/>
  <c r="W89" i="2"/>
  <c r="V89" i="2"/>
  <c r="O89" i="2"/>
  <c r="G89" i="2"/>
  <c r="Y88" i="2"/>
  <c r="X88" i="2"/>
  <c r="W88" i="2"/>
  <c r="V88" i="2"/>
  <c r="O88" i="2"/>
  <c r="G88" i="2"/>
  <c r="Y87" i="2"/>
  <c r="X87" i="2"/>
  <c r="W87" i="2"/>
  <c r="V87" i="2"/>
  <c r="O87" i="2"/>
  <c r="G87" i="2"/>
  <c r="Y86" i="2"/>
  <c r="X86" i="2"/>
  <c r="W86" i="2"/>
  <c r="V86" i="2"/>
  <c r="O86" i="2"/>
  <c r="G86" i="2"/>
  <c r="Y85" i="2"/>
  <c r="X85" i="2"/>
  <c r="W85" i="2"/>
  <c r="V85" i="2"/>
  <c r="O85" i="2"/>
  <c r="G85" i="2"/>
  <c r="Y84" i="2"/>
  <c r="X84" i="2"/>
  <c r="W84" i="2"/>
  <c r="V84" i="2"/>
  <c r="O84" i="2"/>
  <c r="G84" i="2"/>
  <c r="Y83" i="2"/>
  <c r="X83" i="2"/>
  <c r="W83" i="2"/>
  <c r="V83" i="2"/>
  <c r="O83" i="2"/>
  <c r="G83" i="2"/>
  <c r="Y82" i="2"/>
  <c r="X82" i="2"/>
  <c r="W82" i="2"/>
  <c r="V82" i="2"/>
  <c r="O82" i="2"/>
  <c r="G82" i="2"/>
  <c r="Y81" i="2"/>
  <c r="X81" i="2"/>
  <c r="W81" i="2"/>
  <c r="V81" i="2"/>
  <c r="O81" i="2"/>
  <c r="G81" i="2"/>
  <c r="Y80" i="2"/>
  <c r="X80" i="2"/>
  <c r="W80" i="2"/>
  <c r="V80" i="2"/>
  <c r="O80" i="2"/>
  <c r="G80" i="2"/>
  <c r="Y79" i="2"/>
  <c r="X79" i="2"/>
  <c r="W79" i="2"/>
  <c r="V79" i="2"/>
  <c r="O79" i="2"/>
  <c r="G79" i="2"/>
  <c r="Y78" i="2"/>
  <c r="X78" i="2"/>
  <c r="W78" i="2"/>
  <c r="V78" i="2"/>
  <c r="O78" i="2"/>
  <c r="G78" i="2"/>
  <c r="Y77" i="2"/>
  <c r="X77" i="2"/>
  <c r="W77" i="2"/>
  <c r="V77" i="2"/>
  <c r="O77" i="2"/>
  <c r="G77" i="2"/>
  <c r="Y76" i="2"/>
  <c r="X76" i="2"/>
  <c r="W76" i="2"/>
  <c r="V76" i="2"/>
  <c r="O76" i="2"/>
  <c r="G76" i="2"/>
  <c r="Y75" i="2"/>
  <c r="X75" i="2"/>
  <c r="W75" i="2"/>
  <c r="V75" i="2"/>
  <c r="O75" i="2"/>
  <c r="G75" i="2"/>
  <c r="Y74" i="2"/>
  <c r="X74" i="2"/>
  <c r="W74" i="2"/>
  <c r="V74" i="2"/>
  <c r="O74" i="2"/>
  <c r="G74" i="2"/>
  <c r="Y73" i="2"/>
  <c r="X73" i="2"/>
  <c r="W73" i="2"/>
  <c r="V73" i="2"/>
  <c r="O73" i="2"/>
  <c r="G73" i="2"/>
  <c r="Y72" i="2"/>
  <c r="X72" i="2"/>
  <c r="W72" i="2"/>
  <c r="V72" i="2"/>
  <c r="O72" i="2"/>
  <c r="G72" i="2"/>
  <c r="Y71" i="2"/>
  <c r="X71" i="2"/>
  <c r="W71" i="2"/>
  <c r="V71" i="2"/>
  <c r="O71" i="2"/>
  <c r="G71" i="2"/>
  <c r="Y70" i="2"/>
  <c r="X70" i="2"/>
  <c r="W70" i="2"/>
  <c r="V70" i="2"/>
  <c r="O70" i="2"/>
  <c r="G70" i="2"/>
  <c r="Y69" i="2"/>
  <c r="X69" i="2"/>
  <c r="W69" i="2"/>
  <c r="V69" i="2"/>
  <c r="O69" i="2"/>
  <c r="G69" i="2"/>
  <c r="Y68" i="2"/>
  <c r="X68" i="2"/>
  <c r="W68" i="2"/>
  <c r="V68" i="2"/>
  <c r="O68" i="2"/>
  <c r="G68" i="2"/>
  <c r="Y67" i="2"/>
  <c r="X67" i="2"/>
  <c r="W67" i="2"/>
  <c r="V67" i="2"/>
  <c r="O67" i="2"/>
  <c r="G67" i="2"/>
  <c r="Y66" i="2"/>
  <c r="X66" i="2"/>
  <c r="W66" i="2"/>
  <c r="V66" i="2"/>
  <c r="O66" i="2"/>
  <c r="G66" i="2"/>
  <c r="Y65" i="2"/>
  <c r="X65" i="2"/>
  <c r="W65" i="2"/>
  <c r="V65" i="2"/>
  <c r="O65" i="2"/>
  <c r="G65" i="2"/>
  <c r="Y64" i="2"/>
  <c r="X64" i="2"/>
  <c r="W64" i="2"/>
  <c r="V64" i="2"/>
  <c r="O64" i="2"/>
  <c r="G64" i="2"/>
  <c r="Y63" i="2"/>
  <c r="X63" i="2"/>
  <c r="W63" i="2"/>
  <c r="V63" i="2"/>
  <c r="O63" i="2"/>
  <c r="G63" i="2"/>
  <c r="Y62" i="2"/>
  <c r="X62" i="2"/>
  <c r="W62" i="2"/>
  <c r="V62" i="2"/>
  <c r="O62" i="2"/>
  <c r="G62" i="2"/>
  <c r="Y61" i="2"/>
  <c r="X61" i="2"/>
  <c r="W61" i="2"/>
  <c r="V61" i="2"/>
  <c r="O61" i="2"/>
  <c r="G61" i="2"/>
  <c r="Y60" i="2"/>
  <c r="X60" i="2"/>
  <c r="W60" i="2"/>
  <c r="V60" i="2"/>
  <c r="O60" i="2"/>
  <c r="G60" i="2"/>
  <c r="Y59" i="2"/>
  <c r="X59" i="2"/>
  <c r="W59" i="2"/>
  <c r="V59" i="2"/>
  <c r="O59" i="2"/>
  <c r="G59" i="2"/>
  <c r="Y58" i="2"/>
  <c r="X58" i="2"/>
  <c r="W58" i="2"/>
  <c r="V58" i="2"/>
  <c r="O58" i="2"/>
  <c r="G58" i="2"/>
  <c r="Y57" i="2"/>
  <c r="X57" i="2"/>
  <c r="W57" i="2"/>
  <c r="V57" i="2"/>
  <c r="O57" i="2"/>
  <c r="G57" i="2"/>
  <c r="Y56" i="2"/>
  <c r="X56" i="2"/>
  <c r="W56" i="2"/>
  <c r="V56" i="2"/>
  <c r="O56" i="2"/>
  <c r="G56" i="2"/>
  <c r="Y55" i="2"/>
  <c r="X55" i="2"/>
  <c r="W55" i="2"/>
  <c r="V55" i="2"/>
  <c r="O55" i="2"/>
  <c r="G55" i="2"/>
  <c r="Y54" i="2"/>
  <c r="X54" i="2"/>
  <c r="W54" i="2"/>
  <c r="V54" i="2"/>
  <c r="O54" i="2"/>
  <c r="G54" i="2"/>
  <c r="Y53" i="2"/>
  <c r="X53" i="2"/>
  <c r="W53" i="2"/>
  <c r="V53" i="2"/>
  <c r="O53" i="2"/>
  <c r="G53" i="2"/>
  <c r="Y52" i="2"/>
  <c r="X52" i="2"/>
  <c r="W52" i="2"/>
  <c r="V52" i="2"/>
  <c r="O52" i="2"/>
  <c r="G52" i="2"/>
  <c r="Y51" i="2"/>
  <c r="X51" i="2"/>
  <c r="W51" i="2"/>
  <c r="V51" i="2"/>
  <c r="O51" i="2"/>
  <c r="G51" i="2"/>
  <c r="Y50" i="2"/>
  <c r="X50" i="2"/>
  <c r="W50" i="2"/>
  <c r="V50" i="2"/>
  <c r="O50" i="2"/>
  <c r="G50" i="2"/>
  <c r="Y49" i="2"/>
  <c r="X49" i="2"/>
  <c r="W49" i="2"/>
  <c r="V49" i="2"/>
  <c r="O49" i="2"/>
  <c r="G49" i="2"/>
  <c r="Y48" i="2"/>
  <c r="X48" i="2"/>
  <c r="W48" i="2"/>
  <c r="V48" i="2"/>
  <c r="O48" i="2"/>
  <c r="G48" i="2"/>
  <c r="Y47" i="2"/>
  <c r="X47" i="2"/>
  <c r="W47" i="2"/>
  <c r="V47" i="2"/>
  <c r="O47" i="2"/>
  <c r="G47" i="2"/>
  <c r="Y46" i="2"/>
  <c r="X46" i="2"/>
  <c r="W46" i="2"/>
  <c r="V46" i="2"/>
  <c r="O46" i="2"/>
  <c r="G46" i="2"/>
  <c r="Y45" i="2"/>
  <c r="X45" i="2"/>
  <c r="W45" i="2"/>
  <c r="V45" i="2"/>
  <c r="O45" i="2"/>
  <c r="G45" i="2"/>
  <c r="Y44" i="2"/>
  <c r="X44" i="2"/>
  <c r="W44" i="2"/>
  <c r="V44" i="2"/>
  <c r="O44" i="2"/>
  <c r="G44" i="2"/>
  <c r="Y43" i="2"/>
  <c r="X43" i="2"/>
  <c r="W43" i="2"/>
  <c r="V43" i="2"/>
  <c r="O43" i="2"/>
  <c r="G43" i="2"/>
  <c r="Y42" i="2"/>
  <c r="X42" i="2"/>
  <c r="W42" i="2"/>
  <c r="V42" i="2"/>
  <c r="O42" i="2"/>
  <c r="G42" i="2"/>
  <c r="Y41" i="2"/>
  <c r="X41" i="2"/>
  <c r="W41" i="2"/>
  <c r="V41" i="2"/>
  <c r="O41" i="2"/>
  <c r="G41" i="2"/>
  <c r="Y40" i="2"/>
  <c r="X40" i="2"/>
  <c r="W40" i="2"/>
  <c r="V40" i="2"/>
  <c r="O40" i="2"/>
  <c r="G40" i="2"/>
  <c r="Y39" i="2"/>
  <c r="X39" i="2"/>
  <c r="W39" i="2"/>
  <c r="V39" i="2"/>
  <c r="O39" i="2"/>
  <c r="G39" i="2"/>
  <c r="Y38" i="2"/>
  <c r="X38" i="2"/>
  <c r="W38" i="2"/>
  <c r="V38" i="2"/>
  <c r="O38" i="2"/>
  <c r="G38" i="2"/>
  <c r="Y37" i="2"/>
  <c r="X37" i="2"/>
  <c r="W37" i="2"/>
  <c r="V37" i="2"/>
  <c r="O37" i="2"/>
  <c r="G37" i="2"/>
  <c r="Y36" i="2"/>
  <c r="X36" i="2"/>
  <c r="W36" i="2"/>
  <c r="V36" i="2"/>
  <c r="O36" i="2"/>
  <c r="G36" i="2"/>
  <c r="Y35" i="2"/>
  <c r="X35" i="2"/>
  <c r="W35" i="2"/>
  <c r="V35" i="2"/>
  <c r="O35" i="2"/>
  <c r="G35" i="2"/>
  <c r="Y34" i="2"/>
  <c r="X34" i="2"/>
  <c r="W34" i="2"/>
  <c r="V34" i="2"/>
  <c r="O34" i="2"/>
  <c r="G34" i="2"/>
  <c r="Y33" i="2"/>
  <c r="X33" i="2"/>
  <c r="W33" i="2"/>
  <c r="V33" i="2"/>
  <c r="O33" i="2"/>
  <c r="G33" i="2"/>
  <c r="Y32" i="2"/>
  <c r="X32" i="2"/>
  <c r="W32" i="2"/>
  <c r="V32" i="2"/>
  <c r="O32" i="2"/>
  <c r="G32" i="2"/>
  <c r="Y31" i="2"/>
  <c r="X31" i="2"/>
  <c r="W31" i="2"/>
  <c r="V31" i="2"/>
  <c r="O31" i="2"/>
  <c r="G31" i="2"/>
  <c r="Y30" i="2"/>
  <c r="X30" i="2"/>
  <c r="W30" i="2"/>
  <c r="V30" i="2"/>
  <c r="O30" i="2"/>
  <c r="G30" i="2"/>
  <c r="Y29" i="2"/>
  <c r="X29" i="2"/>
  <c r="W29" i="2"/>
  <c r="V29" i="2"/>
  <c r="O29" i="2"/>
  <c r="G29" i="2"/>
  <c r="Y28" i="2"/>
  <c r="X28" i="2"/>
  <c r="W28" i="2"/>
  <c r="V28" i="2"/>
  <c r="O28" i="2"/>
  <c r="G28" i="2"/>
  <c r="Y27" i="2"/>
  <c r="X27" i="2"/>
  <c r="W27" i="2"/>
  <c r="V27" i="2"/>
  <c r="O27" i="2"/>
  <c r="G27" i="2"/>
  <c r="Y26" i="2"/>
  <c r="X26" i="2"/>
  <c r="W26" i="2"/>
  <c r="V26" i="2"/>
  <c r="O26" i="2"/>
  <c r="G26" i="2"/>
  <c r="Y25" i="2"/>
  <c r="X25" i="2"/>
  <c r="W25" i="2"/>
  <c r="V25" i="2"/>
  <c r="O25" i="2"/>
  <c r="G25" i="2"/>
  <c r="Y24" i="2"/>
  <c r="X24" i="2"/>
  <c r="W24" i="2"/>
  <c r="V24" i="2"/>
  <c r="O24" i="2"/>
  <c r="G24" i="2"/>
  <c r="Y23" i="2"/>
  <c r="X23" i="2"/>
  <c r="W23" i="2"/>
  <c r="V23" i="2"/>
  <c r="O23" i="2"/>
  <c r="G23" i="2"/>
  <c r="Y22" i="2"/>
  <c r="X22" i="2"/>
  <c r="W22" i="2"/>
  <c r="V22" i="2"/>
  <c r="O22" i="2"/>
  <c r="G22" i="2"/>
  <c r="Y21" i="2"/>
  <c r="X21" i="2"/>
  <c r="W21" i="2"/>
  <c r="V21" i="2"/>
  <c r="O21" i="2"/>
  <c r="G21" i="2"/>
  <c r="Y20" i="2"/>
  <c r="X20" i="2"/>
  <c r="W20" i="2"/>
  <c r="V20" i="2"/>
  <c r="O20" i="2"/>
  <c r="G20" i="2"/>
  <c r="Y19" i="2"/>
  <c r="X19" i="2"/>
  <c r="W19" i="2"/>
  <c r="V19" i="2"/>
  <c r="O19" i="2"/>
  <c r="G19" i="2"/>
  <c r="Y18" i="2"/>
  <c r="X18" i="2"/>
  <c r="W18" i="2"/>
  <c r="V18" i="2"/>
  <c r="O18" i="2"/>
  <c r="G18" i="2"/>
  <c r="Y17" i="2"/>
  <c r="X17" i="2"/>
  <c r="W17" i="2"/>
  <c r="V17" i="2"/>
  <c r="O17" i="2"/>
  <c r="G17" i="2"/>
  <c r="Y16" i="2"/>
  <c r="X16" i="2"/>
  <c r="W16" i="2"/>
  <c r="V16" i="2"/>
  <c r="O16" i="2"/>
  <c r="G16" i="2"/>
  <c r="Y15" i="2"/>
  <c r="X15" i="2"/>
  <c r="W15" i="2"/>
  <c r="V15" i="2"/>
  <c r="O15" i="2"/>
  <c r="G15" i="2"/>
  <c r="Y14" i="2"/>
  <c r="X14" i="2"/>
  <c r="W14" i="2"/>
  <c r="V14" i="2"/>
  <c r="O14" i="2"/>
  <c r="G14" i="2"/>
  <c r="Y13" i="2"/>
  <c r="X13" i="2"/>
  <c r="W13" i="2"/>
  <c r="V13" i="2"/>
  <c r="O13" i="2"/>
  <c r="G13" i="2"/>
  <c r="Y12" i="2"/>
  <c r="X12" i="2"/>
  <c r="W12" i="2"/>
  <c r="V12" i="2"/>
  <c r="O12" i="2"/>
  <c r="G12" i="2"/>
  <c r="Y11" i="2"/>
  <c r="X11" i="2"/>
  <c r="W11" i="2"/>
  <c r="V11" i="2"/>
  <c r="O11" i="2"/>
  <c r="G11" i="2"/>
  <c r="Y10" i="2"/>
  <c r="X10" i="2"/>
  <c r="W10" i="2"/>
  <c r="V10" i="2"/>
  <c r="O10" i="2"/>
  <c r="G10" i="2"/>
  <c r="Y9" i="2"/>
  <c r="X9" i="2"/>
  <c r="W9" i="2"/>
  <c r="V9" i="2"/>
  <c r="O9" i="2"/>
  <c r="G9" i="2"/>
  <c r="Y8" i="2"/>
  <c r="X8" i="2"/>
  <c r="W8" i="2"/>
  <c r="V8" i="2"/>
  <c r="O8" i="2"/>
  <c r="G8" i="2"/>
  <c r="Y7" i="2"/>
  <c r="X7" i="2"/>
  <c r="W7" i="2"/>
  <c r="V7" i="2"/>
  <c r="O7" i="2"/>
  <c r="G7" i="2"/>
  <c r="Y6" i="2"/>
  <c r="X6" i="2"/>
  <c r="W6" i="2"/>
  <c r="V6" i="2"/>
  <c r="O6" i="2"/>
  <c r="G6" i="2"/>
  <c r="Y5" i="2"/>
  <c r="X5" i="2"/>
  <c r="W5" i="2"/>
  <c r="V5" i="2"/>
  <c r="O5" i="2"/>
  <c r="G5" i="2"/>
  <c r="Y4" i="2"/>
  <c r="X4" i="2"/>
  <c r="W4" i="2"/>
  <c r="V4" i="2"/>
  <c r="O4" i="2"/>
  <c r="G4" i="2"/>
  <c r="Y3" i="2"/>
  <c r="X3" i="2"/>
  <c r="W3" i="2"/>
  <c r="V3" i="2"/>
  <c r="O3" i="2"/>
  <c r="G3" i="2"/>
  <c r="Y2" i="2"/>
  <c r="X2" i="2"/>
  <c r="W2" i="2"/>
  <c r="V2" i="2"/>
  <c r="D23" i="4" s="1"/>
  <c r="O2" i="2"/>
  <c r="G2" i="2"/>
  <c r="V1" i="4" l="1"/>
  <c r="V2" i="4" s="1"/>
  <c r="W1" i="4"/>
  <c r="W2" i="4" s="1"/>
  <c r="X1" i="4"/>
  <c r="X2" i="4" s="1"/>
  <c r="Q1" i="4"/>
  <c r="Q2" i="4" s="1"/>
  <c r="R1" i="4"/>
  <c r="R2" i="4" s="1"/>
  <c r="S1" i="4"/>
  <c r="S2" i="4" s="1"/>
  <c r="P1" i="4"/>
  <c r="P2" i="4" s="1"/>
  <c r="T1" i="4"/>
  <c r="T2" i="4" s="1"/>
  <c r="C152" i="4"/>
  <c r="E152" i="4"/>
  <c r="G152" i="4"/>
  <c r="F152" i="4"/>
  <c r="C52" i="4"/>
  <c r="F52" i="4"/>
  <c r="G52" i="4"/>
  <c r="E52" i="4"/>
  <c r="C202" i="4"/>
  <c r="G202" i="4"/>
  <c r="E202" i="4"/>
  <c r="F202" i="4"/>
  <c r="A11" i="13"/>
  <c r="F10" i="13"/>
  <c r="A8" i="13"/>
  <c r="D32" i="4"/>
  <c r="G32" i="4"/>
  <c r="F32" i="4"/>
  <c r="C32" i="4"/>
  <c r="E32" i="4"/>
  <c r="E10" i="13"/>
  <c r="C102" i="4"/>
  <c r="E102" i="4"/>
  <c r="F102" i="4"/>
  <c r="G102" i="4"/>
  <c r="C8" i="13"/>
  <c r="F8" i="13"/>
  <c r="D153" i="4"/>
  <c r="D113" i="4"/>
  <c r="C11" i="13"/>
  <c r="E11" i="13"/>
  <c r="C12" i="13"/>
  <c r="D12" i="13"/>
  <c r="E12" i="13"/>
  <c r="E9" i="13"/>
  <c r="K1" i="4"/>
  <c r="K2" i="4" s="1"/>
  <c r="L1" i="4"/>
  <c r="L2" i="4" s="1"/>
  <c r="D133" i="4"/>
  <c r="D183" i="4"/>
  <c r="E4" i="7"/>
  <c r="B7" i="7"/>
  <c r="F3" i="9"/>
  <c r="F4" i="9" s="1"/>
  <c r="C9" i="9"/>
  <c r="C10" i="9" s="1"/>
  <c r="B10" i="13"/>
  <c r="B11" i="13"/>
  <c r="D53" i="4"/>
  <c r="D11" i="13"/>
  <c r="E8" i="13"/>
  <c r="D63" i="4"/>
  <c r="D73" i="4"/>
  <c r="D173" i="4"/>
  <c r="F12" i="13"/>
  <c r="C4" i="7"/>
  <c r="D4" i="7"/>
  <c r="B9" i="9"/>
  <c r="B10" i="9" s="1"/>
  <c r="M1" i="4"/>
  <c r="M2" i="4" s="1"/>
  <c r="F4" i="7"/>
  <c r="C7" i="7"/>
  <c r="G3" i="9"/>
  <c r="G4" i="9" s="1"/>
  <c r="D9" i="9"/>
  <c r="D10" i="9" s="1"/>
  <c r="C10" i="13"/>
  <c r="B8" i="13"/>
  <c r="D103" i="4"/>
  <c r="D8" i="13"/>
  <c r="F11" i="13"/>
  <c r="AB3" i="4"/>
  <c r="A12" i="13"/>
  <c r="B12" i="13"/>
  <c r="B9" i="13"/>
  <c r="C9" i="13"/>
  <c r="D123" i="4"/>
  <c r="C3" i="9"/>
  <c r="C4" i="9" s="1"/>
  <c r="F11" i="9"/>
  <c r="F12" i="9" s="1"/>
  <c r="J1" i="4"/>
  <c r="J2" i="4" s="1"/>
  <c r="D3" i="9"/>
  <c r="D4" i="9" s="1"/>
  <c r="A9" i="9"/>
  <c r="A10" i="9" s="1"/>
  <c r="G11" i="9"/>
  <c r="G12" i="9" s="1"/>
  <c r="A7" i="7"/>
  <c r="E3" i="9"/>
  <c r="E4" i="9" s="1"/>
  <c r="A10" i="13"/>
  <c r="D33" i="4"/>
  <c r="D83" i="4"/>
  <c r="N1" i="4"/>
  <c r="N2" i="4" s="1"/>
  <c r="G4" i="7"/>
  <c r="D7" i="7"/>
  <c r="E9" i="9"/>
  <c r="E10" i="9" s="1"/>
  <c r="D10" i="13"/>
  <c r="D3" i="4"/>
  <c r="D13" i="4"/>
  <c r="D163" i="4"/>
  <c r="A9" i="13"/>
  <c r="D9" i="13"/>
  <c r="F9" i="13"/>
  <c r="A7" i="9"/>
  <c r="A8" i="9" s="1"/>
  <c r="F72" i="4" l="1"/>
  <c r="E72" i="4"/>
  <c r="D72" i="4"/>
  <c r="C72" i="4"/>
  <c r="G72" i="4"/>
  <c r="F12" i="4"/>
  <c r="D12" i="4"/>
  <c r="C12" i="4"/>
  <c r="G12" i="4"/>
  <c r="E12" i="4"/>
  <c r="L22" i="13"/>
  <c r="J19" i="13"/>
  <c r="H16" i="13"/>
  <c r="I15" i="13"/>
  <c r="L21" i="13"/>
  <c r="I18" i="13"/>
  <c r="L24" i="13"/>
  <c r="J24" i="13"/>
  <c r="H24" i="13"/>
  <c r="K20" i="13"/>
  <c r="J20" i="13"/>
  <c r="K23" i="13"/>
  <c r="K16" i="13"/>
  <c r="L19" i="13"/>
  <c r="I16" i="13"/>
  <c r="K22" i="13"/>
  <c r="I19" i="13"/>
  <c r="H22" i="13"/>
  <c r="J15" i="13"/>
  <c r="J18" i="13"/>
  <c r="K21" i="13"/>
  <c r="J21" i="13"/>
  <c r="K24" i="13"/>
  <c r="H21" i="13"/>
  <c r="H17" i="13"/>
  <c r="J22" i="13"/>
  <c r="H19" i="13"/>
  <c r="L15" i="13"/>
  <c r="K18" i="13"/>
  <c r="H18" i="13"/>
  <c r="I21" i="13"/>
  <c r="L17" i="13"/>
  <c r="K17" i="13"/>
  <c r="L20" i="13"/>
  <c r="I17" i="13"/>
  <c r="L16" i="13"/>
  <c r="J16" i="13"/>
  <c r="I22" i="13"/>
  <c r="K15" i="13"/>
  <c r="L18" i="13"/>
  <c r="H15" i="13"/>
  <c r="I24" i="13"/>
  <c r="J17" i="13"/>
  <c r="L23" i="13"/>
  <c r="H20" i="13"/>
  <c r="H23" i="13"/>
  <c r="K19" i="13"/>
  <c r="I20" i="13"/>
  <c r="J23" i="13"/>
  <c r="I23" i="13"/>
  <c r="F62" i="4"/>
  <c r="C62" i="4"/>
  <c r="G62" i="4"/>
  <c r="E62" i="4"/>
  <c r="D62" i="4"/>
  <c r="G172" i="4"/>
  <c r="F172" i="4"/>
  <c r="D172" i="4"/>
  <c r="E172" i="4"/>
  <c r="C172" i="4"/>
  <c r="G22" i="4"/>
  <c r="F22" i="4"/>
  <c r="E22" i="4"/>
  <c r="C22" i="4"/>
  <c r="D22" i="4"/>
  <c r="F122" i="4"/>
  <c r="D122" i="4"/>
  <c r="G122" i="4"/>
  <c r="E122" i="4"/>
  <c r="C122" i="4"/>
  <c r="F162" i="4"/>
  <c r="G162" i="4"/>
  <c r="C162" i="4"/>
  <c r="E162" i="4"/>
  <c r="D162" i="4"/>
  <c r="D132" i="4"/>
  <c r="C132" i="4"/>
  <c r="E132" i="4"/>
  <c r="G132" i="4"/>
  <c r="F132" i="4"/>
  <c r="G82" i="4"/>
  <c r="E82" i="4"/>
  <c r="C82" i="4"/>
  <c r="F82" i="4"/>
  <c r="D82" i="4"/>
  <c r="G112" i="4"/>
  <c r="E112" i="4"/>
  <c r="C112" i="4"/>
  <c r="D112" i="4"/>
  <c r="F112" i="4"/>
  <c r="G142" i="4"/>
  <c r="F142" i="4"/>
  <c r="E142" i="4"/>
  <c r="C142" i="4"/>
  <c r="D142" i="4"/>
  <c r="G92" i="4"/>
  <c r="F92" i="4"/>
  <c r="D92" i="4"/>
  <c r="E92" i="4"/>
  <c r="C92" i="4"/>
  <c r="G42" i="4"/>
  <c r="F42" i="4"/>
  <c r="E42" i="4"/>
  <c r="D42" i="4"/>
  <c r="C42" i="4"/>
  <c r="D182" i="4"/>
  <c r="C182" i="4"/>
  <c r="F182" i="4"/>
  <c r="G182" i="4"/>
  <c r="E182" i="4"/>
  <c r="G192" i="4"/>
  <c r="F192" i="4"/>
  <c r="E192" i="4"/>
  <c r="C192" i="4"/>
  <c r="D192" i="4"/>
  <c r="M2" i="13" l="1"/>
  <c r="I31" i="13"/>
  <c r="I32" i="13"/>
  <c r="J2" i="13"/>
</calcChain>
</file>

<file path=xl/sharedStrings.xml><?xml version="1.0" encoding="utf-8"?>
<sst xmlns="http://schemas.openxmlformats.org/spreadsheetml/2006/main" count="373" uniqueCount="192">
  <si>
    <t>PIC Name</t>
  </si>
  <si>
    <t>↑</t>
  </si>
  <si>
    <t>↓</t>
  </si>
  <si>
    <t>Color</t>
  </si>
  <si>
    <t>🔄 Refresh PIC Colors</t>
  </si>
  <si>
    <t>ID</t>
  </si>
  <si>
    <t>Start Date</t>
  </si>
  <si>
    <t>Task</t>
  </si>
  <si>
    <t>PIC</t>
  </si>
  <si>
    <t>Total Subtasks</t>
  </si>
  <si>
    <t>Completed Subtasks</t>
  </si>
  <si>
    <t>Subtask of</t>
  </si>
  <si>
    <t>Project / Category</t>
  </si>
  <si>
    <t>Linked Campaign</t>
  </si>
  <si>
    <t>Priority</t>
  </si>
  <si>
    <t>Deadline</t>
  </si>
  <si>
    <t>Status</t>
  </si>
  <si>
    <t>Days Left</t>
  </si>
  <si>
    <t>Notes</t>
  </si>
  <si>
    <t>TaskKey</t>
  </si>
  <si>
    <t>ParentKey</t>
  </si>
  <si>
    <t>Level</t>
  </si>
  <si>
    <t>SiblingOrder</t>
  </si>
  <si>
    <t>LinkedCampaignKey</t>
  </si>
  <si>
    <t>SortKey</t>
  </si>
  <si>
    <t>CampaignSortHelper</t>
  </si>
  <si>
    <t>CampaignRank</t>
  </si>
  <si>
    <t>CampaignRankKey</t>
  </si>
  <si>
    <t>+ Add 500 More Task Rows</t>
  </si>
  <si>
    <t>Completed At</t>
  </si>
  <si>
    <t>RowType</t>
  </si>
  <si>
    <t>Campaign Name</t>
  </si>
  <si>
    <t>Number of Tasks</t>
  </si>
  <si>
    <t>End Date</t>
  </si>
  <si>
    <t>Progress</t>
  </si>
  <si>
    <t>CampaignKey</t>
  </si>
  <si>
    <t>CampaignNameList</t>
  </si>
  <si>
    <t>ReminderDaysLeft</t>
  </si>
  <si>
    <t>ReminderSortKey</t>
  </si>
  <si>
    <t>None</t>
  </si>
  <si>
    <t>Task Name</t>
  </si>
  <si>
    <t>Subtasks</t>
  </si>
  <si>
    <t>Recurrence</t>
  </si>
  <si>
    <t>Task Start On</t>
  </si>
  <si>
    <t>Time</t>
  </si>
  <si>
    <t>If Missed</t>
  </si>
  <si>
    <t>Deadline Offset (days)</t>
  </si>
  <si>
    <t>RecurringKey</t>
  </si>
  <si>
    <t>RecurringParentKey</t>
  </si>
  <si>
    <t>Last Generated</t>
  </si>
  <si>
    <t>Next Run</t>
  </si>
  <si>
    <t>Monday</t>
  </si>
  <si>
    <t>Tuesday</t>
  </si>
  <si>
    <t>Wednesday</t>
  </si>
  <si>
    <t>Thursday</t>
  </si>
  <si>
    <t>Friday</t>
  </si>
  <si>
    <t>Saturday</t>
  </si>
  <si>
    <t>Sunday</t>
  </si>
  <si>
    <t>◀</t>
  </si>
  <si>
    <t>Today</t>
  </si>
  <si>
    <t>▶</t>
  </si>
  <si>
    <t>Mon</t>
  </si>
  <si>
    <t>Tue</t>
  </si>
  <si>
    <t>Wed</t>
  </si>
  <si>
    <t>Thu</t>
  </si>
  <si>
    <t>Fri</t>
  </si>
  <si>
    <t>Sat</t>
  </si>
  <si>
    <t>Sun</t>
  </si>
  <si>
    <t>Hour:</t>
  </si>
  <si>
    <t>00</t>
  </si>
  <si>
    <t>Minute:</t>
  </si>
  <si>
    <t>✓ Confirm</t>
  </si>
  <si>
    <t>✕ Cancel</t>
  </si>
  <si>
    <t>Date</t>
  </si>
  <si>
    <t>Location</t>
  </si>
  <si>
    <t>Meeting Name</t>
  </si>
  <si>
    <t>Start Time</t>
  </si>
  <si>
    <t>End Time</t>
  </si>
  <si>
    <t>Anchor Date</t>
  </si>
  <si>
    <t>MeetingKey</t>
  </si>
  <si>
    <t>Reminder Settings</t>
  </si>
  <si>
    <t>Platform</t>
  </si>
  <si>
    <t>Website</t>
  </si>
  <si>
    <t>Username / Email</t>
  </si>
  <si>
    <t>Password</t>
  </si>
  <si>
    <t>Last Password Change</t>
  </si>
  <si>
    <t>Access</t>
  </si>
  <si>
    <t>Category / Group</t>
  </si>
  <si>
    <t>Link / URL</t>
  </si>
  <si>
    <t>Description</t>
  </si>
  <si>
    <t>Instructions</t>
  </si>
  <si>
    <t>Getting Started -- Enable Macros</t>
  </si>
  <si>
    <t>When you first open this workbook, Excel shows a yellow security bar near the top saying something like "SECURITY WARNING Macros have been disabled." Click "Enable Content" on that bar. This workbook won't work correctly until you do -- buttons, popups, and automatic updates all depend on macros being enabled.</t>
  </si>
  <si>
    <t>Contents</t>
  </si>
  <si>
    <t>Dashboard</t>
  </si>
  <si>
    <t>Tasks</t>
  </si>
  <si>
    <t>Archive</t>
  </si>
  <si>
    <t>Calendar</t>
  </si>
  <si>
    <t>Campaigns</t>
  </si>
  <si>
    <t>Campaigns Archive</t>
  </si>
  <si>
    <t>Monthly Media Plan</t>
  </si>
  <si>
    <t>Recurring Tasks</t>
  </si>
  <si>
    <t>Schedule</t>
  </si>
  <si>
    <t>Login Information</t>
  </si>
  <si>
    <t>Quick Links</t>
  </si>
  <si>
    <t>Your home screen -- a live overview of tasks, campaigns, and productivity, pulled from every other sheet.</t>
  </si>
  <si>
    <t>• Click "Refresh Now" to force everything to recalculate immediately (it also refreshes automatically whenever you open the file).</t>
  </si>
  <si>
    <t>• The KPI cards at the top update live as you work -- no action needed.</t>
  </si>
  <si>
    <t>• Marketing Campaign Reminders shows any campaign starting or ending within the next 7 days.</t>
  </si>
  <si>
    <t>Your main task tracker -- add tasks and subtasks, organize them into a hierarchy, and track deadlines, priority, and time spent.</t>
  </si>
  <si>
    <t>• Double-click a task's Deadline cell to pick a date from the Calendar.</t>
  </si>
  <si>
    <t>• Double-click the Timer cell to start/stop tracking time on that task -- this also marks it "In Progress."</t>
  </si>
  <si>
    <t>• Double-click a task's Notes cell to open the Notes popup and write a longer note.</t>
  </si>
  <si>
    <t>• Double-click a task's name to collapse/expand its subtasks.</t>
  </si>
  <si>
    <t>• Use the up/down arrow cells to reorder a task among its siblings.</t>
  </si>
  <si>
    <t>• Set a task's Status to "Completed" to move it to Archive automatically.</t>
  </si>
  <si>
    <t>• Set a task's Status to "Delete" to permanently remove it (and any subtasks) after a confirmation prompt -- this does not go to Archive.</t>
  </si>
  <si>
    <t>• Pick a Linked Campaign from the dropdown to connect a task to a Campaign.</t>
  </si>
  <si>
    <t>A read-only historical record of every completed task -- filled in automatically, never edited by hand.</t>
  </si>
  <si>
    <t>• Double-click a task's Notes cell to view the note it had when it was completed.</t>
  </si>
  <si>
    <t>• Tasks land here automatically when you set their Status to "Completed" on the Tasks sheet.</t>
  </si>
  <si>
    <t>• This sheet is protected against direct edits, since Dashboard's historical stats read straight from it.</t>
  </si>
  <si>
    <t>A date-picker popup, launched automatically whenever you double-click a Deadline cell elsewhere in the workbook.</t>
  </si>
  <si>
    <t>• Use the arrow buttons to move between months, or click "Today" to jump back to the current month.</t>
  </si>
  <si>
    <t>• Double-click a day to select it, then set the time with the Hour/Minute dropdowns.</t>
  </si>
  <si>
    <t>• Click "Confirm" to send the picked date back to the cell you started from, or "Cancel" to close without changes.</t>
  </si>
  <si>
    <t>Your own campaign tracker -- separate from the agency's Monthly Media Plan -- with linked tasks and a visual timeline.</t>
  </si>
  <si>
    <t>• Double-click a campaign's Notes cell to open the Notes popup.</t>
  </si>
  <si>
    <t>• Double-click a campaign's name to collapse/expand its linked-tasks summary block (only works once it has at least one linked task).</t>
  </si>
  <si>
    <t>• Use the up/down arrow cells to reorder a campaign.</t>
  </si>
  <si>
    <t>• Every task you link to a campaign (via Tasks' Linked Campaign dropdown) shows up automatically in that campaign's summary block below it.</t>
  </si>
  <si>
    <t>• Set a campaign's Status to "Completed" to move it to Campaigns Archive automatically.</t>
  </si>
  <si>
    <t>• The colored bars show each campaign's timeline across the visible weeks.</t>
  </si>
  <si>
    <t>A read-only historical record of every completed campaign -- filled in automatically, same idea as Archive.</t>
  </si>
  <si>
    <t>• Double-click a campaign's Notes cell to view its note.</t>
  </si>
  <si>
    <t>• Campaigns land here automatically when marked "Completed" on the Campaigns sheet.</t>
  </si>
  <si>
    <t>The agency-provided monthly budget and schedule plan -- separate from your own Campaigns tracker.</t>
  </si>
  <si>
    <t>• Click "Set Exchange Rate" to update the EUR-to-USD rate used to calculate Budget (USD) -- it's shown just to the right of the button.</t>
  </si>
  <si>
    <t>• Click "Start New Month" to clear the campaign table and move the Gantt to the current month -- this is destructive and asks for confirmation first.</t>
  </si>
  <si>
    <t>• The Gantt bars are colored by Platform (Google/META).</t>
  </si>
  <si>
    <t>Templates for tasks that repeat on a schedule (Daily/Weekly/Monthly) -- they generate real entries on Tasks automatically.</t>
  </si>
  <si>
    <t>• Set a template's Status to "Active" to start generating occurrences, or "Inactive" to pause it.</t>
  </si>
  <si>
    <t>• Choose a Recurrence, then a Task Start On value (a weekday for Weekly, a day-of-month for Monthly).</t>
  </si>
  <si>
    <t>• Missed occurrences catch up automatically the next time you open the workbook -- nothing is lost if you don't open it for a while.</t>
  </si>
  <si>
    <t>• Double-click a template's Notes cell to open the Notes popup.</t>
  </si>
  <si>
    <t>A visual monthly calendar showing your work location and meetings each day.</t>
  </si>
  <si>
    <t>• Double-click a day to set its Work Location and manage meetings for that date.</t>
  </si>
  <si>
    <t>• Each day's background color shows its Work Location; the small number below the date shows how many meetings are scheduled.</t>
  </si>
  <si>
    <t>• Click "Reminder Settings" to change how many minutes before a meeting you're reminded, and how many reminders you get.</t>
  </si>
  <si>
    <t>A flat reference list of platform logins -- type directly into most cells.</t>
  </si>
  <si>
    <t>• Passwords are stored in plain text here for simplicity -- this relies on your machine's own security, not Excel's.</t>
  </si>
  <si>
    <t>• Set Access to "Yes" or "No" for each platform.</t>
  </si>
  <si>
    <t>• Double-click a row's Notes cell to open the Notes popup.</t>
  </si>
  <si>
    <t>A flat reference list of bookmarked links -- type directly into the cells, no popups involved.</t>
  </si>
  <si>
    <t>• Excel automatically turns recognizable URLs into clickable links as you type them.</t>
  </si>
  <si>
    <t>Active Tasks (Upcoming)</t>
  </si>
  <si>
    <t>Completed Tasks (Total)</t>
  </si>
  <si>
    <t>Overdue Tasks</t>
  </si>
  <si>
    <t>Current Campaign Ends (days)</t>
  </si>
  <si>
    <t>Next Campaign Starts (days)</t>
  </si>
  <si>
    <t>🔄 Refresh Now</t>
  </si>
  <si>
    <t>Upcoming Tasks (Next 5 Deadlines)</t>
  </si>
  <si>
    <t>Daily &amp; Weekly Productivity</t>
  </si>
  <si>
    <t>Project</t>
  </si>
  <si>
    <t>Productivity Indicator</t>
  </si>
  <si>
    <t>Performance</t>
  </si>
  <si>
    <t>Completed Tasks Today</t>
  </si>
  <si>
    <t>Completed This Week</t>
  </si>
  <si>
    <t>Marketing Campaign Reminders (7-Day Window)</t>
  </si>
  <si>
    <t>Yearly Monthly Performance</t>
  </si>
  <si>
    <t>Month</t>
  </si>
  <si>
    <t>Completed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</si>
  <si>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</si>
  <si>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</si>
  <si>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</si>
  <si>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</si>
  <si>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</si>
  <si>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</si>
  <si>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</si>
  <si>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</si>
  <si>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</si>
  <si>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</si>
  <si>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</si>
  <si>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</si>
  <si>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Campaign Metrics Summary</t>
  </si>
  <si>
    <t>Performance Metric</t>
  </si>
  <si>
    <t>Count / Total</t>
  </si>
  <si>
    <t>Active Campaigns Count</t>
  </si>
  <si>
    <t>Planned Campaigns Count</t>
  </si>
  <si>
    <t>Completed Campaigns Count</t>
  </si>
  <si>
    <t>Planned Budget Total (EUR)</t>
  </si>
  <si>
    <t>Planned Budget Total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</si>
</sst>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\.mm\.yyyy\ hh:mm"/>
    <numFmt numFmtId="165" formatCode="General;General;General;&quot;📝&quot;"/>
    <numFmt numFmtId="166" formatCode="dd\.mm\.yyyy"/>
    <numFmt numFmtId="167" formatCode="hh:mm"/>
    <numFmt numFmtId="168" formatCode="d"/>
    <numFmt numFmtId="169" formatCode="&quot;• &quot;0"/>
    <numFmt numFmtId="170" formatCode="#,##0.00&quot; €&quot;"/>
    <numFmt numFmtId="171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0.5"/>
      <color rgb="FFFFFFFF"/>
      <name val="Segoe UI"/>
    </font>
    <font>
      <b/>
      <sz val="10.5"/>
      <color rgb="FF0B0B0B"/>
      <name val="Segoe UI"/>
    </font>
    <font>
      <b/>
      <sz val="9"/>
      <color rgb="FF898781"/>
      <name val="Segoe UI"/>
    </font>
    <font>
      <i/>
      <sz val="10.5"/>
      <color rgb="FF52514E"/>
      <name val="Segoe UI"/>
    </font>
    <font>
      <sz val="10.5"/>
      <color rgb="FF52514E"/>
      <name val="Segoe UI"/>
    </font>
    <font>
      <b/>
      <sz val="16"/>
      <color rgb="FFFFFFFF"/>
      <name val="Segoe UI"/>
    </font>
    <font>
      <b/>
      <sz val="11"/>
      <color rgb="FFFFFFFF"/>
      <name val="Segoe UI"/>
    </font>
    <font>
      <sz val="10.5"/>
      <name val="Segoe UI"/>
    </font>
    <font>
      <b/>
      <sz val="11"/>
      <name val="Segoe UI"/>
    </font>
    <font>
      <i/>
      <sz val="11"/>
      <color rgb="FF52514E"/>
      <name val="Segoe UI"/>
    </font>
    <font>
      <b/>
      <sz val="11"/>
      <color rgb="FF0B0B0B"/>
      <name val="Segoe UI"/>
    </font>
    <font>
      <sz val="9"/>
      <color rgb="FF52514E"/>
      <name val="Segoe UI"/>
    </font>
    <font>
      <b/>
      <sz val="20"/>
      <color rgb="FF0B0B0B"/>
      <name val="Segoe UI"/>
    </font>
    <font>
      <sz val="10.5"/>
      <color rgb="FF0B0B0B"/>
      <name val="Segoe UI"/>
    </font>
    <font>
      <b/>
      <sz val="16"/>
      <color rgb="FF0B0B0B"/>
      <name val="Segoe UI"/>
    </font>
    <font>
      <u/>
      <sz val="10.5"/>
      <color rgb="FF1F4E79"/>
      <name val="Segoe UI"/>
    </font>
    <font>
      <b/>
      <sz val="24"/>
      <color rgb="FF0B0B0B"/>
      <name val="Segoe U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CFCFB"/>
      </patternFill>
    </fill>
    <fill>
      <patternFill patternType="solid">
        <fgColor rgb="FF0CA30C"/>
      </patternFill>
    </fill>
    <fill>
      <patternFill patternType="solid">
        <fgColor rgb="FFE1E0D9"/>
      </patternFill>
    </fill>
  </fills>
  <borders count="20">
    <border>
      <left/>
      <right/>
      <top/>
      <bottom/>
      <diagonal/>
    </border>
    <border>
      <left/>
      <right style="hair">
        <color rgb="FF898781"/>
      </right>
      <top/>
      <bottom/>
      <diagonal/>
    </border>
    <border>
      <left/>
      <right/>
      <top/>
      <bottom style="hair">
        <color rgb="FFE1E0D9"/>
      </bottom>
      <diagonal/>
    </border>
    <border>
      <left style="thin">
        <color rgb="FF898781"/>
      </left>
      <right/>
      <top style="thin">
        <color rgb="FF898781"/>
      </top>
      <bottom style="thin">
        <color rgb="FF898781"/>
      </bottom>
      <diagonal/>
    </border>
    <border>
      <left/>
      <right/>
      <top style="thin">
        <color rgb="FF898781"/>
      </top>
      <bottom style="thin">
        <color rgb="FF898781"/>
      </bottom>
      <diagonal/>
    </border>
    <border>
      <left/>
      <right style="thin">
        <color rgb="FF898781"/>
      </right>
      <top style="thin">
        <color rgb="FF898781"/>
      </top>
      <bottom style="thin">
        <color rgb="FF898781"/>
      </bottom>
      <diagonal/>
    </border>
    <border>
      <left style="medium">
        <color rgb="FF898781"/>
      </left>
      <right/>
      <top/>
      <bottom/>
      <diagonal/>
    </border>
    <border>
      <left/>
      <right/>
      <top/>
      <bottom style="thin">
        <color rgb="FFE1E0D9"/>
      </bottom>
      <diagonal/>
    </border>
    <border>
      <left style="thin">
        <color rgb="FFE1E0D9"/>
      </left>
      <right/>
      <top style="thin">
        <color rgb="FFE1E0D9"/>
      </top>
      <bottom/>
      <diagonal/>
    </border>
    <border>
      <left/>
      <right/>
      <top style="thin">
        <color rgb="FFE1E0D9"/>
      </top>
      <bottom/>
      <diagonal/>
    </border>
    <border>
      <left/>
      <right style="thin">
        <color rgb="FFE1E0D9"/>
      </right>
      <top style="thin">
        <color rgb="FFE1E0D9"/>
      </top>
      <bottom/>
      <diagonal/>
    </border>
    <border>
      <left style="thin">
        <color rgb="FFE1E0D9"/>
      </left>
      <right style="thin">
        <color rgb="FFE1E0D9"/>
      </right>
      <top/>
      <bottom style="thin">
        <color rgb="FFE1E0D9"/>
      </bottom>
      <diagonal/>
    </border>
    <border>
      <left/>
      <right/>
      <top/>
      <bottom style="thin">
        <color rgb="FFE1E0D9"/>
      </bottom>
      <diagonal/>
    </border>
    <border>
      <left/>
      <right style="thin">
        <color rgb="FFE1E0D9"/>
      </right>
      <top/>
      <bottom style="thin">
        <color rgb="FFE1E0D9"/>
      </bottom>
      <diagonal/>
    </border>
    <border>
      <left style="hair">
        <color rgb="FFE1E0D9"/>
      </left>
      <right/>
      <top style="thick">
        <color rgb="FF1F4E79"/>
      </top>
      <bottom/>
      <diagonal/>
    </border>
    <border>
      <left/>
      <right style="hair">
        <color rgb="FFE1E0D9"/>
      </right>
      <top style="thick">
        <color rgb="FF1F4E79"/>
      </top>
      <bottom/>
      <diagonal/>
    </border>
    <border>
      <left style="hair">
        <color rgb="FFE1E0D9"/>
      </left>
      <right/>
      <top/>
      <bottom/>
      <diagonal/>
    </border>
    <border>
      <left/>
      <right style="hair">
        <color rgb="FFE1E0D9"/>
      </right>
      <top/>
      <bottom/>
      <diagonal/>
    </border>
    <border>
      <left style="hair">
        <color rgb="FFE1E0D9"/>
      </left>
      <right/>
      <top/>
      <bottom style="hair">
        <color rgb="FFE1E0D9"/>
      </bottom>
      <diagonal/>
    </border>
    <border>
      <left/>
      <right style="hair">
        <color rgb="FFE1E0D9"/>
      </right>
      <top/>
      <bottom style="hair">
        <color rgb="FFE1E0D9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164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/>
    <xf numFmtId="49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/>
    <xf numFmtId="0" fontId="1" fillId="2" borderId="6" xfId="0" applyFont="1" applyFill="1" applyBorder="1" applyAlignment="1">
      <alignment horizontal="center" vertical="center" wrapText="1"/>
    </xf>
    <xf numFmtId="166" fontId="0" fillId="0" borderId="2" xfId="0" applyNumberFormat="1" applyBorder="1"/>
    <xf numFmtId="9" fontId="0" fillId="0" borderId="2" xfId="0" applyNumberFormat="1" applyBorder="1" applyAlignment="1">
      <alignment horizontal="center" vertical="center"/>
    </xf>
    <xf numFmtId="0" fontId="0" fillId="0" borderId="6" xfId="0" applyBorder="1"/>
    <xf numFmtId="0" fontId="3" fillId="0" borderId="7" xfId="0" applyFont="1" applyBorder="1" applyAlignment="1">
      <alignment horizontal="left"/>
    </xf>
    <xf numFmtId="0" fontId="3" fillId="0" borderId="7" xfId="0" applyFont="1" applyBorder="1" applyAlignment="1">
      <alignment horizontal="center"/>
    </xf>
    <xf numFmtId="0" fontId="4" fillId="0" borderId="0" xfId="0" applyFont="1" applyAlignment="1">
      <alignment indent="1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4" borderId="0" xfId="0" applyFill="1"/>
    <xf numFmtId="9" fontId="0" fillId="0" borderId="0" xfId="0" applyNumberFormat="1"/>
    <xf numFmtId="167" fontId="0" fillId="0" borderId="0" xfId="0" applyNumberFormat="1"/>
    <xf numFmtId="167" fontId="0" fillId="0" borderId="2" xfId="0" applyNumberForma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8" fontId="8" fillId="0" borderId="0" xfId="0" applyNumberFormat="1" applyFont="1" applyAlignment="1">
      <alignment horizontal="center" vertical="center"/>
    </xf>
    <xf numFmtId="168" fontId="8" fillId="5" borderId="0" xfId="0" applyNumberFormat="1" applyFont="1" applyFill="1" applyAlignment="1">
      <alignment horizontal="center" vertical="center"/>
    </xf>
    <xf numFmtId="0" fontId="9" fillId="3" borderId="8" xfId="0" applyFont="1" applyFill="1" applyBorder="1"/>
    <xf numFmtId="0" fontId="0" fillId="3" borderId="9" xfId="0" applyFill="1" applyBorder="1"/>
    <xf numFmtId="0" fontId="9" fillId="3" borderId="9" xfId="0" applyFont="1" applyFill="1" applyBorder="1"/>
    <xf numFmtId="0" fontId="0" fillId="3" borderId="10" xfId="0" applyFill="1" applyBorder="1"/>
    <xf numFmtId="167" fontId="0" fillId="0" borderId="2" xfId="0" applyNumberFormat="1" applyBorder="1"/>
    <xf numFmtId="169" fontId="12" fillId="0" borderId="0" xfId="0" applyNumberFormat="1" applyFont="1" applyAlignment="1">
      <alignment horizontal="center" vertical="center"/>
    </xf>
    <xf numFmtId="0" fontId="13" fillId="0" borderId="0" xfId="0" applyFont="1"/>
    <xf numFmtId="0" fontId="15" fillId="0" borderId="0" xfId="0" applyFont="1"/>
    <xf numFmtId="0" fontId="16" fillId="0" borderId="0" xfId="0" applyFont="1"/>
    <xf numFmtId="0" fontId="15" fillId="3" borderId="8" xfId="0" applyFont="1" applyFill="1" applyBorder="1"/>
    <xf numFmtId="0" fontId="0" fillId="3" borderId="2" xfId="0" applyFill="1" applyBorder="1" applyAlignment="1">
      <alignment horizontal="center" vertical="center"/>
    </xf>
    <xf numFmtId="0" fontId="0" fillId="3" borderId="2" xfId="0" applyFill="1" applyBorder="1"/>
    <xf numFmtId="166" fontId="0" fillId="3" borderId="2" xfId="0" applyNumberFormat="1" applyFill="1" applyBorder="1"/>
    <xf numFmtId="1" fontId="0" fillId="3" borderId="2" xfId="0" applyNumberFormat="1" applyFill="1" applyBorder="1" applyAlignment="1">
      <alignment horizontal="center" vertical="center"/>
    </xf>
    <xf numFmtId="0" fontId="14" fillId="3" borderId="2" xfId="0" applyFont="1" applyFill="1" applyBorder="1"/>
    <xf numFmtId="170" fontId="0" fillId="3" borderId="2" xfId="0" applyNumberFormat="1" applyFill="1" applyBorder="1" applyAlignment="1">
      <alignment horizontal="center" vertical="center"/>
    </xf>
    <xf numFmtId="171" fontId="0" fillId="3" borderId="2" xfId="0" applyNumberForma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7" fillId="2" borderId="0" xfId="0" applyFont="1" applyFill="1" applyAlignment="1">
      <alignment horizontal="center" vertical="center"/>
    </xf>
    <xf numFmtId="0" fontId="0" fillId="0" borderId="0" xfId="0"/>
    <xf numFmtId="0" fontId="11" fillId="3" borderId="3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6" fillId="2" borderId="0" xfId="0" applyFont="1" applyFill="1" applyAlignment="1">
      <alignment horizontal="center" vertical="center"/>
    </xf>
    <xf numFmtId="0" fontId="14" fillId="0" borderId="0" xfId="0" applyFont="1" applyAlignment="1"/>
    <xf numFmtId="0" fontId="4" fillId="0" borderId="0" xfId="0" applyFont="1"/>
    <xf numFmtId="0" fontId="6" fillId="2" borderId="0" xfId="0" applyFont="1" applyFill="1"/>
    <xf numFmtId="0" fontId="14" fillId="3" borderId="0" xfId="0" applyFont="1" applyFill="1" applyAlignment="1">
      <alignment vertical="top" wrapText="1"/>
    </xf>
    <xf numFmtId="1" fontId="17" fillId="3" borderId="16" xfId="0" applyNumberFormat="1" applyFont="1" applyFill="1" applyBorder="1" applyAlignment="1">
      <alignment horizontal="center" vertical="center"/>
    </xf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17" fillId="3" borderId="16" xfId="0" applyFont="1" applyFill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 wrapText="1"/>
    </xf>
    <xf numFmtId="0" fontId="0" fillId="3" borderId="15" xfId="0" applyFill="1" applyBorder="1"/>
  </cellXfs>
  <cellStyles count="1">
    <cellStyle name="Нормален" xfId="0" builtinId="0"/>
  </cellStyles>
  <dxfs count="488">
    <dxf>
      <border>
        <left style="hair">
          <color rgb="FFE1E0D9"/>
        </left>
        <right style="hair">
          <color rgb="FFE1E0D9"/>
        </right>
        <top style="thick">
          <color rgb="FFFAB219"/>
        </top>
        <bottom style="hair">
          <color rgb="FFE1E0D9"/>
        </bottom>
      </border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CE7B3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4A3AA7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font>
        <b/>
        <color rgb="FFFFFFFF"/>
      </font>
      <fill>
        <patternFill patternType="solid">
          <bgColor rgb="FF4A3AA7"/>
        </patternFill>
      </fill>
    </dxf>
    <dxf>
      <font>
        <b/>
        <color rgb="FFFFFFFF"/>
      </font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border>
        <left style="medium">
          <color rgb="FF4A3AA7"/>
        </left>
        <right style="medium">
          <color rgb="FF4A3AA7"/>
        </right>
        <top style="medium">
          <color rgb="FF4A3AA7"/>
        </top>
        <bottom style="medium">
          <color rgb="FF4A3AA7"/>
        </bottom>
      </border>
    </dxf>
    <dxf>
      <fill>
        <patternFill patternType="solid">
          <bgColor rgb="FFB7D3F6"/>
        </patternFill>
      </fill>
    </dxf>
    <dxf>
      <font>
        <color rgb="FF898781"/>
      </font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2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numFmt numFmtId="172" formatCode="&quot;⤷ &quot;@"/>
    </dxf>
    <dxf>
      <fill>
        <patternFill patternType="solid">
          <bgColor rgb="FFF0EFEC"/>
        </patternFill>
      </fill>
    </dxf>
    <dxf>
      <fill>
        <patternFill patternType="solid">
          <bgColor rgb="FFE34948"/>
        </patternFill>
      </fill>
    </dxf>
    <dxf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2" formatCode="&quot;⤷ &quot;@"/>
    </dxf>
    <dxf>
      <fill>
        <patternFill patternType="solid">
          <bgColor rgb="FFF9F9F7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2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F9F9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1"/>
  <c:style val="2"/>
  <c:chart>
    <c:title>
      <c:tx>
        <c:rich>
          <a:bodyPr/>
          <a:lstStyle/>
          <a:p>
            <a:pPr>
              <a:defRPr/>
            </a:pPr>
            <a:r>
              <a:t>Completed Tasks by Month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Dashboard!$B$15</c:f>
              <c:strCache>
                <c:ptCount val="1"/>
                <c:pt idx="0">
                  <c:v>Completed</c:v>
                </c:pt>
              </c:strCache>
            </c:strRef>
          </c:tx>
          <c:spPr>
            <a:ln>
              <a:solidFill>
                <a:srgbClr val="2A78D6"/>
              </a:solidFill>
              <a:prstDash val="solid"/>
            </a:ln>
          </c:spPr>
          <c:marker>
            <c:symbol val="none"/>
          </c:marker>
          <c:cat>
            <c:strRef>
              <c:f>Dashboard!$A$16:$A$27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Dashboard!$B$16:$B$27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E-4ABC-8086-5E7BDE0A9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28</xdr:row>
      <xdr:rowOff>0</xdr:rowOff>
    </xdr:from>
    <xdr:ext cx="360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ICListTable" displayName="PICListTable" ref="A1:C2">
  <autoFilter ref="A1:C2" xr:uid="{00000000-0009-0000-0100-000001000000}"/>
  <tableColumns count="3">
    <tableColumn id="1" xr3:uid="{00000000-0010-0000-0000-000001000000}" name="PIC Name"/>
    <tableColumn id="2" xr3:uid="{00000000-0010-0000-0000-000002000000}" name="↑"/>
    <tableColumn id="3" xr3:uid="{00000000-0010-0000-0000-000003000000}" name="↓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rchiveTable" displayName="ArchiveTable" ref="A1:S2">
  <autoFilter ref="A1:S2" xr:uid="{00000000-0009-0000-0100-000002000000}"/>
  <tableColumns count="19">
    <tableColumn id="1" xr3:uid="{00000000-0010-0000-0100-000001000000}" name="ID"/>
    <tableColumn id="2" xr3:uid="{00000000-0010-0000-0100-000002000000}" name="Start Date"/>
    <tableColumn id="3" xr3:uid="{00000000-0010-0000-0100-000003000000}" name="Task"/>
    <tableColumn id="4" xr3:uid="{00000000-0010-0000-0100-000004000000}" name="PIC"/>
    <tableColumn id="5" xr3:uid="{00000000-0010-0000-0100-000005000000}" name="Total Subtasks"/>
    <tableColumn id="6" xr3:uid="{00000000-0010-0000-0100-000006000000}" name="Completed Subtasks"/>
    <tableColumn id="7" xr3:uid="{00000000-0010-0000-0100-000007000000}" name="Subtask of"/>
    <tableColumn id="8" xr3:uid="{00000000-0010-0000-0100-000008000000}" name="Project / Category"/>
    <tableColumn id="9" xr3:uid="{00000000-0010-0000-0100-000009000000}" name="Linked Campaign"/>
    <tableColumn id="10" xr3:uid="{00000000-0010-0000-0100-00000A000000}" name="Priority"/>
    <tableColumn id="11" xr3:uid="{00000000-0010-0000-0100-00000B000000}" name="Deadline"/>
    <tableColumn id="12" xr3:uid="{00000000-0010-0000-0100-00000C000000}" name="Status"/>
    <tableColumn id="13" xr3:uid="{00000000-0010-0000-0100-00000D000000}" name="Days Left"/>
    <tableColumn id="14" xr3:uid="{00000000-0010-0000-0100-00000E000000}" name="Notes"/>
    <tableColumn id="15" xr3:uid="{00000000-0010-0000-0100-00000F000000}" name="Completed At"/>
    <tableColumn id="16" xr3:uid="{00000000-0010-0000-0100-000010000000}" name="TaskKey"/>
    <tableColumn id="17" xr3:uid="{00000000-0010-0000-0100-000011000000}" name="ParentKey"/>
    <tableColumn id="18" xr3:uid="{00000000-0010-0000-0100-000012000000}" name="Level"/>
    <tableColumn id="19" xr3:uid="{00000000-0010-0000-0100-000013000000}" name="RowType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ampaignsArchiveTable" displayName="CampaignsArchiveTable" ref="A1:H2">
  <autoFilter ref="A1:H2" xr:uid="{00000000-0009-0000-0100-000003000000}"/>
  <tableColumns count="8">
    <tableColumn id="1" xr3:uid="{00000000-0010-0000-0200-000001000000}" name="Campaign Name"/>
    <tableColumn id="2" xr3:uid="{00000000-0010-0000-0200-000002000000}" name="Start Date"/>
    <tableColumn id="3" xr3:uid="{00000000-0010-0000-0200-000003000000}" name="End Date"/>
    <tableColumn id="4" xr3:uid="{00000000-0010-0000-0200-000004000000}" name="Status"/>
    <tableColumn id="5" xr3:uid="{00000000-0010-0000-0200-000005000000}" name="Progress"/>
    <tableColumn id="6" xr3:uid="{00000000-0010-0000-0200-000006000000}" name="Notes"/>
    <tableColumn id="7" xr3:uid="{00000000-0010-0000-0200-000007000000}" name="Completed At"/>
    <tableColumn id="8" xr3:uid="{00000000-0010-0000-0200-000008000000}" name="CampaignKey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orkLocationTable" displayName="WorkLocationTable" ref="A1:B2">
  <autoFilter ref="A1:B2" xr:uid="{00000000-0009-0000-0100-000004000000}"/>
  <tableColumns count="2">
    <tableColumn id="1" xr3:uid="{00000000-0010-0000-0300-000001000000}" name="Date"/>
    <tableColumn id="2" xr3:uid="{00000000-0010-0000-0300-000002000000}" name="Location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MeetingsTable" displayName="MeetingsTable" ref="D1:J2">
  <autoFilter ref="D1:J2" xr:uid="{00000000-0009-0000-0100-000005000000}"/>
  <tableColumns count="7">
    <tableColumn id="4" xr3:uid="{00000000-0010-0000-0400-000004000000}" name="Meeting Name"/>
    <tableColumn id="5" xr3:uid="{00000000-0010-0000-0400-000005000000}" name="Start Time"/>
    <tableColumn id="6" xr3:uid="{00000000-0010-0000-0400-000006000000}" name="End Time"/>
    <tableColumn id="7" xr3:uid="{00000000-0010-0000-0400-000007000000}" name="Recurrence"/>
    <tableColumn id="8" xr3:uid="{00000000-0010-0000-0400-000008000000}" name="Anchor Date"/>
    <tableColumn id="9" xr3:uid="{00000000-0010-0000-0400-000009000000}" name="Status"/>
    <tableColumn id="10" xr3:uid="{00000000-0010-0000-0400-00000A000000}" name="MeetingKey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LoginInformationTable" displayName="LoginInformationTable" ref="A1:G2">
  <autoFilter ref="A1:G2" xr:uid="{00000000-0009-0000-0100-000006000000}"/>
  <tableColumns count="7">
    <tableColumn id="1" xr3:uid="{00000000-0010-0000-0500-000001000000}" name="Platform"/>
    <tableColumn id="2" xr3:uid="{00000000-0010-0000-0500-000002000000}" name="Website"/>
    <tableColumn id="3" xr3:uid="{00000000-0010-0000-0500-000003000000}" name="Username / Email"/>
    <tableColumn id="4" xr3:uid="{00000000-0010-0000-0500-000004000000}" name="Password"/>
    <tableColumn id="5" xr3:uid="{00000000-0010-0000-0500-000005000000}" name="Last Password Change"/>
    <tableColumn id="6" xr3:uid="{00000000-0010-0000-0500-000006000000}" name="Access"/>
    <tableColumn id="7" xr3:uid="{00000000-0010-0000-0500-000007000000}" name="Notes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QuickLinksTable" displayName="QuickLinksTable" ref="A1:D2">
  <autoFilter ref="A1:D2" xr:uid="{00000000-0009-0000-0100-000007000000}"/>
  <tableColumns count="4">
    <tableColumn id="1" xr3:uid="{00000000-0010-0000-0600-000001000000}" name="Category / Group"/>
    <tableColumn id="2" xr3:uid="{00000000-0010-0000-0600-000002000000}" name="Link / URL"/>
    <tableColumn id="3" xr3:uid="{00000000-0010-0000-0600-000003000000}" name="Description"/>
    <tableColumn id="4" xr3:uid="{00000000-0010-0000-0600-000004000000}" name="Notes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UpcomingTasksTable" displayName="UpcomingTasksTable" ref="A7:F12">
  <autoFilter ref="A7:F12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700-000001000000}" name="ID"/>
    <tableColumn id="2" xr3:uid="{00000000-0010-0000-0700-000002000000}" name="Task"/>
    <tableColumn id="3" xr3:uid="{00000000-0010-0000-0700-000003000000}" name="Project"/>
    <tableColumn id="4" xr3:uid="{00000000-0010-0000-0700-000004000000}" name="Priority"/>
    <tableColumn id="5" xr3:uid="{00000000-0010-0000-0700-000005000000}" name="Deadline"/>
    <tableColumn id="6" xr3:uid="{00000000-0010-0000-0700-000006000000}" name="Days Left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YearlyMonthlyPerformanceTable" displayName="YearlyMonthlyPerformanceTable" ref="A15:B27">
  <autoFilter ref="A15:B27" xr:uid="{00000000-0009-0000-0100-000009000000}">
    <filterColumn colId="0" hiddenButton="1"/>
    <filterColumn colId="1" hiddenButton="1"/>
  </autoFilter>
  <tableColumns count="2">
    <tableColumn id="1" xr3:uid="{00000000-0010-0000-0800-000001000000}" name="Month"/>
    <tableColumn id="2" xr3:uid="{00000000-0010-0000-0800-000002000000}" name="Completed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DailyWeeklyProductivityTable" displayName="DailyWeeklyProductivityTable" ref="H7:I9">
  <autoFilter ref="H7:I9" xr:uid="{00000000-0009-0000-0100-00000A000000}">
    <filterColumn colId="0" hiddenButton="1"/>
    <filterColumn colId="1" hiddenButton="1"/>
  </autoFilter>
  <tableColumns count="2">
    <tableColumn id="8" xr3:uid="{00000000-0010-0000-0900-000008000000}" name="Productivity Indicator"/>
    <tableColumn id="9" xr3:uid="{00000000-0010-0000-0900-000009000000}" name="Performance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rketingCampaignRemindersTable" displayName="MarketingCampaignRemindersTable" ref="H14:L24">
  <autoFilter ref="H14:L24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8" xr3:uid="{00000000-0010-0000-0A00-000008000000}" name="Campaign Name"/>
    <tableColumn id="9" xr3:uid="{00000000-0010-0000-0A00-000009000000}" name="Start Date"/>
    <tableColumn id="10" xr3:uid="{00000000-0010-0000-0A00-00000A000000}" name="End Date"/>
    <tableColumn id="11" xr3:uid="{00000000-0010-0000-0A00-00000B000000}" name="Days Left"/>
    <tableColumn id="12" xr3:uid="{00000000-0010-0000-0A00-00000C000000}" name="Status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CampaignMetricsSummaryTable" displayName="CampaignMetricsSummaryTable" ref="H30:I35">
  <autoFilter ref="H30:I35" xr:uid="{00000000-0009-0000-0100-00000C000000}">
    <filterColumn colId="0" hiddenButton="1"/>
    <filterColumn colId="1" hiddenButton="1"/>
  </autoFilter>
  <tableColumns count="2">
    <tableColumn id="8" xr3:uid="{00000000-0010-0000-0B00-000008000000}" name="Performance Metric"/>
    <tableColumn id="9" xr3:uid="{00000000-0010-0000-0B00-000009000000}" name="Count / Total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1BAF7A"/>
  </sheetPr>
  <dimension ref="A1:D202"/>
  <sheetViews>
    <sheetView showGridLines="0" tabSelected="1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28" customWidth="1"/>
    <col min="2" max="3" width="4" customWidth="1"/>
    <col min="4" max="4" width="10" customWidth="1"/>
  </cols>
  <sheetData>
    <row r="1" spans="1:4" ht="32" customHeight="1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ht="14.5" x14ac:dyDescent="0.35">
      <c r="A2" s="2"/>
      <c r="B2" s="2"/>
      <c r="C2" s="2"/>
      <c r="D2" s="2"/>
    </row>
    <row r="3" spans="1:4" ht="14.5" x14ac:dyDescent="0.35">
      <c r="A3" s="2"/>
      <c r="B3" s="2"/>
      <c r="C3" s="2"/>
      <c r="D3" s="2"/>
    </row>
    <row r="4" spans="1:4" ht="14.5" x14ac:dyDescent="0.35">
      <c r="A4" s="2"/>
      <c r="B4" s="2"/>
      <c r="C4" s="2"/>
      <c r="D4" s="2"/>
    </row>
    <row r="5" spans="1:4" ht="14.5" x14ac:dyDescent="0.35">
      <c r="A5" s="2"/>
      <c r="B5" s="2"/>
      <c r="C5" s="2"/>
      <c r="D5" s="2"/>
    </row>
    <row r="6" spans="1:4" ht="14.5" x14ac:dyDescent="0.35">
      <c r="A6" s="2"/>
      <c r="B6" s="2"/>
      <c r="C6" s="2"/>
      <c r="D6" s="2"/>
    </row>
    <row r="7" spans="1:4" ht="14.5" x14ac:dyDescent="0.35">
      <c r="A7" s="2"/>
      <c r="B7" s="2"/>
      <c r="C7" s="2"/>
      <c r="D7" s="2"/>
    </row>
    <row r="8" spans="1:4" ht="14.5" x14ac:dyDescent="0.35">
      <c r="A8" s="2"/>
      <c r="B8" s="2"/>
      <c r="C8" s="2"/>
      <c r="D8" s="2"/>
    </row>
    <row r="9" spans="1:4" ht="14.5" x14ac:dyDescent="0.35">
      <c r="A9" s="2"/>
      <c r="B9" s="2"/>
      <c r="C9" s="2"/>
      <c r="D9" s="2"/>
    </row>
    <row r="10" spans="1:4" ht="14.5" x14ac:dyDescent="0.35">
      <c r="A10" s="2"/>
      <c r="B10" s="2"/>
      <c r="C10" s="2"/>
      <c r="D10" s="2"/>
    </row>
    <row r="11" spans="1:4" ht="14.5" x14ac:dyDescent="0.35">
      <c r="A11" s="2"/>
      <c r="B11" s="2"/>
      <c r="C11" s="2"/>
      <c r="D11" s="2"/>
    </row>
    <row r="12" spans="1:4" ht="14.5" x14ac:dyDescent="0.35">
      <c r="A12" s="2"/>
      <c r="B12" s="2"/>
      <c r="C12" s="2"/>
      <c r="D12" s="2"/>
    </row>
    <row r="13" spans="1:4" ht="14.5" x14ac:dyDescent="0.35">
      <c r="A13" s="2"/>
      <c r="B13" s="2"/>
      <c r="C13" s="2"/>
      <c r="D13" s="2"/>
    </row>
    <row r="14" spans="1:4" ht="14.5" x14ac:dyDescent="0.35">
      <c r="A14" s="2"/>
      <c r="B14" s="2"/>
      <c r="C14" s="2"/>
      <c r="D14" s="2"/>
    </row>
    <row r="15" spans="1:4" ht="14.5" x14ac:dyDescent="0.35">
      <c r="A15" s="2"/>
      <c r="B15" s="2"/>
      <c r="C15" s="2"/>
      <c r="D15" s="2"/>
    </row>
    <row r="16" spans="1:4" ht="14.5" x14ac:dyDescent="0.35">
      <c r="A16" s="2"/>
      <c r="B16" s="2"/>
      <c r="C16" s="2"/>
      <c r="D16" s="2"/>
    </row>
    <row r="17" spans="1:4" ht="14.5" x14ac:dyDescent="0.35">
      <c r="A17" s="2"/>
      <c r="B17" s="2"/>
      <c r="C17" s="2"/>
      <c r="D17" s="2"/>
    </row>
    <row r="18" spans="1:4" ht="14.5" x14ac:dyDescent="0.35">
      <c r="A18" s="2"/>
      <c r="B18" s="2"/>
      <c r="C18" s="2"/>
      <c r="D18" s="2"/>
    </row>
    <row r="19" spans="1:4" ht="14.5" x14ac:dyDescent="0.35">
      <c r="A19" s="2"/>
      <c r="B19" s="2"/>
      <c r="C19" s="2"/>
      <c r="D19" s="2"/>
    </row>
    <row r="20" spans="1:4" ht="14.5" x14ac:dyDescent="0.35">
      <c r="A20" s="2"/>
      <c r="B20" s="2"/>
      <c r="C20" s="2"/>
      <c r="D20" s="2"/>
    </row>
    <row r="21" spans="1:4" ht="14.5" x14ac:dyDescent="0.35">
      <c r="A21" s="2"/>
      <c r="B21" s="2"/>
      <c r="C21" s="2"/>
      <c r="D21" s="2"/>
    </row>
    <row r="22" spans="1:4" ht="14.5" x14ac:dyDescent="0.35">
      <c r="A22" s="2"/>
      <c r="B22" s="2"/>
      <c r="C22" s="2"/>
      <c r="D22" s="2"/>
    </row>
    <row r="23" spans="1:4" ht="14.5" x14ac:dyDescent="0.35">
      <c r="A23" s="2"/>
      <c r="B23" s="2"/>
      <c r="C23" s="2"/>
      <c r="D23" s="2"/>
    </row>
    <row r="24" spans="1:4" ht="14.5" x14ac:dyDescent="0.35">
      <c r="A24" s="2"/>
      <c r="B24" s="2"/>
      <c r="C24" s="2"/>
      <c r="D24" s="2"/>
    </row>
    <row r="25" spans="1:4" ht="14.5" x14ac:dyDescent="0.35">
      <c r="A25" s="2"/>
      <c r="B25" s="2"/>
      <c r="C25" s="2"/>
      <c r="D25" s="2"/>
    </row>
    <row r="26" spans="1:4" ht="14.5" x14ac:dyDescent="0.35">
      <c r="A26" s="2"/>
      <c r="B26" s="2"/>
      <c r="C26" s="2"/>
      <c r="D26" s="2"/>
    </row>
    <row r="27" spans="1:4" ht="14.5" x14ac:dyDescent="0.35">
      <c r="A27" s="2"/>
      <c r="B27" s="2"/>
      <c r="C27" s="2"/>
      <c r="D27" s="2"/>
    </row>
    <row r="28" spans="1:4" ht="14.5" x14ac:dyDescent="0.35">
      <c r="A28" s="2"/>
      <c r="B28" s="2"/>
      <c r="C28" s="2"/>
      <c r="D28" s="2"/>
    </row>
    <row r="29" spans="1:4" ht="14.5" x14ac:dyDescent="0.35">
      <c r="A29" s="2"/>
      <c r="B29" s="2"/>
      <c r="C29" s="2"/>
      <c r="D29" s="2"/>
    </row>
    <row r="30" spans="1:4" ht="14.5" x14ac:dyDescent="0.35">
      <c r="A30" s="2"/>
      <c r="B30" s="2"/>
      <c r="C30" s="2"/>
      <c r="D30" s="2"/>
    </row>
    <row r="31" spans="1:4" ht="14.5" x14ac:dyDescent="0.35">
      <c r="A31" s="2"/>
      <c r="B31" s="2"/>
      <c r="C31" s="2"/>
      <c r="D31" s="2"/>
    </row>
    <row r="32" spans="1:4" ht="14.5" x14ac:dyDescent="0.35">
      <c r="A32" s="2"/>
      <c r="B32" s="2"/>
      <c r="C32" s="2"/>
      <c r="D32" s="2"/>
    </row>
    <row r="33" spans="1:4" ht="14.5" x14ac:dyDescent="0.35">
      <c r="A33" s="2"/>
      <c r="B33" s="2"/>
      <c r="C33" s="2"/>
      <c r="D33" s="2"/>
    </row>
    <row r="34" spans="1:4" ht="14.5" x14ac:dyDescent="0.35">
      <c r="A34" s="2"/>
      <c r="B34" s="2"/>
      <c r="C34" s="2"/>
      <c r="D34" s="2"/>
    </row>
    <row r="35" spans="1:4" ht="14.5" x14ac:dyDescent="0.35">
      <c r="A35" s="2"/>
      <c r="B35" s="2"/>
      <c r="C35" s="2"/>
      <c r="D35" s="2"/>
    </row>
    <row r="36" spans="1:4" ht="14.5" x14ac:dyDescent="0.35">
      <c r="A36" s="2"/>
      <c r="B36" s="2"/>
      <c r="C36" s="2"/>
      <c r="D36" s="2"/>
    </row>
    <row r="37" spans="1:4" ht="14.5" x14ac:dyDescent="0.35">
      <c r="A37" s="2"/>
      <c r="B37" s="2"/>
      <c r="C37" s="2"/>
      <c r="D37" s="2"/>
    </row>
    <row r="38" spans="1:4" ht="14.5" x14ac:dyDescent="0.35">
      <c r="A38" s="2"/>
      <c r="B38" s="2"/>
      <c r="C38" s="2"/>
      <c r="D38" s="2"/>
    </row>
    <row r="39" spans="1:4" ht="14.5" x14ac:dyDescent="0.35">
      <c r="A39" s="2"/>
      <c r="B39" s="2"/>
      <c r="C39" s="2"/>
      <c r="D39" s="2"/>
    </row>
    <row r="40" spans="1:4" ht="14.5" x14ac:dyDescent="0.35">
      <c r="A40" s="2"/>
      <c r="B40" s="2"/>
      <c r="C40" s="2"/>
      <c r="D40" s="2"/>
    </row>
    <row r="41" spans="1:4" ht="14.5" x14ac:dyDescent="0.35">
      <c r="A41" s="2"/>
      <c r="B41" s="2"/>
      <c r="C41" s="2"/>
      <c r="D41" s="2"/>
    </row>
    <row r="42" spans="1:4" ht="14.5" x14ac:dyDescent="0.35">
      <c r="A42" s="2"/>
      <c r="B42" s="2"/>
      <c r="C42" s="2"/>
      <c r="D42" s="2"/>
    </row>
    <row r="43" spans="1:4" ht="14.5" x14ac:dyDescent="0.35">
      <c r="A43" s="2"/>
      <c r="B43" s="2"/>
      <c r="C43" s="2"/>
      <c r="D43" s="2"/>
    </row>
    <row r="44" spans="1:4" ht="14.5" x14ac:dyDescent="0.35">
      <c r="A44" s="2"/>
      <c r="B44" s="2"/>
      <c r="C44" s="2"/>
      <c r="D44" s="2"/>
    </row>
    <row r="45" spans="1:4" ht="14.5" x14ac:dyDescent="0.35">
      <c r="A45" s="2"/>
      <c r="B45" s="2"/>
      <c r="C45" s="2"/>
      <c r="D45" s="2"/>
    </row>
    <row r="46" spans="1:4" ht="14.5" x14ac:dyDescent="0.35">
      <c r="A46" s="2"/>
      <c r="B46" s="2"/>
      <c r="C46" s="2"/>
      <c r="D46" s="2"/>
    </row>
    <row r="47" spans="1:4" ht="14.5" x14ac:dyDescent="0.35">
      <c r="A47" s="2"/>
      <c r="B47" s="2"/>
      <c r="C47" s="2"/>
      <c r="D47" s="2"/>
    </row>
    <row r="48" spans="1:4" ht="14.5" x14ac:dyDescent="0.35">
      <c r="A48" s="2"/>
      <c r="B48" s="2"/>
      <c r="C48" s="2"/>
      <c r="D48" s="2"/>
    </row>
    <row r="49" spans="1:4" ht="14.5" x14ac:dyDescent="0.35">
      <c r="A49" s="2"/>
      <c r="B49" s="2"/>
      <c r="C49" s="2"/>
      <c r="D49" s="2"/>
    </row>
    <row r="50" spans="1:4" ht="14.5" x14ac:dyDescent="0.35">
      <c r="A50" s="2"/>
      <c r="B50" s="2"/>
      <c r="C50" s="2"/>
      <c r="D50" s="2"/>
    </row>
    <row r="51" spans="1:4" ht="14.5" x14ac:dyDescent="0.35">
      <c r="A51" s="2"/>
      <c r="B51" s="2"/>
      <c r="C51" s="2"/>
      <c r="D51" s="2"/>
    </row>
    <row r="52" spans="1:4" ht="14.5" x14ac:dyDescent="0.35">
      <c r="A52" s="2"/>
      <c r="B52" s="2"/>
      <c r="C52" s="2"/>
      <c r="D52" s="2"/>
    </row>
    <row r="53" spans="1:4" ht="14.5" x14ac:dyDescent="0.35">
      <c r="A53" s="2"/>
      <c r="B53" s="2"/>
      <c r="C53" s="2"/>
      <c r="D53" s="2"/>
    </row>
    <row r="54" spans="1:4" ht="14.5" x14ac:dyDescent="0.35">
      <c r="A54" s="2"/>
      <c r="B54" s="2"/>
      <c r="C54" s="2"/>
      <c r="D54" s="2"/>
    </row>
    <row r="55" spans="1:4" ht="14.5" x14ac:dyDescent="0.35">
      <c r="A55" s="2"/>
      <c r="B55" s="2"/>
      <c r="C55" s="2"/>
      <c r="D55" s="2"/>
    </row>
    <row r="56" spans="1:4" ht="14.5" x14ac:dyDescent="0.35">
      <c r="A56" s="2"/>
      <c r="B56" s="2"/>
      <c r="C56" s="2"/>
      <c r="D56" s="2"/>
    </row>
    <row r="57" spans="1:4" ht="14.5" x14ac:dyDescent="0.35">
      <c r="A57" s="2"/>
      <c r="B57" s="2"/>
      <c r="C57" s="2"/>
      <c r="D57" s="2"/>
    </row>
    <row r="58" spans="1:4" ht="14.5" x14ac:dyDescent="0.35">
      <c r="A58" s="2"/>
      <c r="B58" s="2"/>
      <c r="C58" s="2"/>
      <c r="D58" s="2"/>
    </row>
    <row r="59" spans="1:4" ht="14.5" x14ac:dyDescent="0.35">
      <c r="A59" s="2"/>
      <c r="B59" s="2"/>
      <c r="C59" s="2"/>
      <c r="D59" s="2"/>
    </row>
    <row r="60" spans="1:4" ht="14.5" x14ac:dyDescent="0.35">
      <c r="A60" s="2"/>
      <c r="B60" s="2"/>
      <c r="C60" s="2"/>
      <c r="D60" s="2"/>
    </row>
    <row r="61" spans="1:4" ht="14.5" x14ac:dyDescent="0.35">
      <c r="A61" s="2"/>
      <c r="B61" s="2"/>
      <c r="C61" s="2"/>
      <c r="D61" s="2"/>
    </row>
    <row r="62" spans="1:4" ht="14.5" x14ac:dyDescent="0.35">
      <c r="A62" s="2"/>
      <c r="B62" s="2"/>
      <c r="C62" s="2"/>
      <c r="D62" s="2"/>
    </row>
    <row r="63" spans="1:4" ht="14.5" x14ac:dyDescent="0.35">
      <c r="A63" s="2"/>
      <c r="B63" s="2"/>
      <c r="C63" s="2"/>
      <c r="D63" s="2"/>
    </row>
    <row r="64" spans="1:4" ht="14.5" x14ac:dyDescent="0.35">
      <c r="A64" s="2"/>
      <c r="B64" s="2"/>
      <c r="C64" s="2"/>
      <c r="D64" s="2"/>
    </row>
    <row r="65" spans="1:4" ht="14.5" x14ac:dyDescent="0.35">
      <c r="A65" s="2"/>
      <c r="B65" s="2"/>
      <c r="C65" s="2"/>
      <c r="D65" s="2"/>
    </row>
    <row r="66" spans="1:4" ht="14.5" x14ac:dyDescent="0.35">
      <c r="A66" s="2"/>
      <c r="B66" s="2"/>
      <c r="C66" s="2"/>
      <c r="D66" s="2"/>
    </row>
    <row r="67" spans="1:4" ht="14.5" x14ac:dyDescent="0.35">
      <c r="A67" s="2"/>
      <c r="B67" s="2"/>
      <c r="C67" s="2"/>
      <c r="D67" s="2"/>
    </row>
    <row r="68" spans="1:4" ht="14.5" x14ac:dyDescent="0.35">
      <c r="A68" s="2"/>
      <c r="B68" s="2"/>
      <c r="C68" s="2"/>
      <c r="D68" s="2"/>
    </row>
    <row r="69" spans="1:4" ht="14.5" x14ac:dyDescent="0.35">
      <c r="A69" s="2"/>
      <c r="B69" s="2"/>
      <c r="C69" s="2"/>
      <c r="D69" s="2"/>
    </row>
    <row r="70" spans="1:4" ht="14.5" x14ac:dyDescent="0.35">
      <c r="A70" s="2"/>
      <c r="B70" s="2"/>
      <c r="C70" s="2"/>
      <c r="D70" s="2"/>
    </row>
    <row r="71" spans="1:4" ht="14.5" x14ac:dyDescent="0.35">
      <c r="A71" s="2"/>
      <c r="B71" s="2"/>
      <c r="C71" s="2"/>
      <c r="D71" s="2"/>
    </row>
    <row r="72" spans="1:4" ht="14.5" x14ac:dyDescent="0.35">
      <c r="A72" s="2"/>
      <c r="B72" s="2"/>
      <c r="C72" s="2"/>
      <c r="D72" s="2"/>
    </row>
    <row r="73" spans="1:4" ht="14.5" x14ac:dyDescent="0.35">
      <c r="A73" s="2"/>
      <c r="B73" s="2"/>
      <c r="C73" s="2"/>
      <c r="D73" s="2"/>
    </row>
    <row r="74" spans="1:4" ht="14.5" x14ac:dyDescent="0.35">
      <c r="A74" s="2"/>
      <c r="B74" s="2"/>
      <c r="C74" s="2"/>
      <c r="D74" s="2"/>
    </row>
    <row r="75" spans="1:4" ht="14.5" x14ac:dyDescent="0.35">
      <c r="A75" s="2"/>
      <c r="B75" s="2"/>
      <c r="C75" s="2"/>
      <c r="D75" s="2"/>
    </row>
    <row r="76" spans="1:4" ht="14.5" x14ac:dyDescent="0.35">
      <c r="A76" s="2"/>
      <c r="B76" s="2"/>
      <c r="C76" s="2"/>
      <c r="D76" s="2"/>
    </row>
    <row r="77" spans="1:4" ht="14.5" x14ac:dyDescent="0.35">
      <c r="A77" s="2"/>
      <c r="B77" s="2"/>
      <c r="C77" s="2"/>
      <c r="D77" s="2"/>
    </row>
    <row r="78" spans="1:4" ht="14.5" x14ac:dyDescent="0.35">
      <c r="A78" s="2"/>
      <c r="B78" s="2"/>
      <c r="C78" s="2"/>
      <c r="D78" s="2"/>
    </row>
    <row r="79" spans="1:4" ht="14.5" x14ac:dyDescent="0.35">
      <c r="A79" s="2"/>
      <c r="B79" s="2"/>
      <c r="C79" s="2"/>
      <c r="D79" s="2"/>
    </row>
    <row r="80" spans="1:4" ht="14.5" x14ac:dyDescent="0.35">
      <c r="A80" s="2"/>
      <c r="B80" s="2"/>
      <c r="C80" s="2"/>
      <c r="D80" s="2"/>
    </row>
    <row r="81" spans="1:4" ht="14.5" x14ac:dyDescent="0.35">
      <c r="A81" s="2"/>
      <c r="B81" s="2"/>
      <c r="C81" s="2"/>
      <c r="D81" s="2"/>
    </row>
    <row r="82" spans="1:4" ht="14.5" x14ac:dyDescent="0.35">
      <c r="A82" s="2"/>
      <c r="B82" s="2"/>
      <c r="C82" s="2"/>
      <c r="D82" s="2"/>
    </row>
    <row r="83" spans="1:4" ht="14.5" x14ac:dyDescent="0.35">
      <c r="A83" s="2"/>
      <c r="B83" s="2"/>
      <c r="C83" s="2"/>
      <c r="D83" s="2"/>
    </row>
    <row r="84" spans="1:4" ht="14.5" x14ac:dyDescent="0.35">
      <c r="A84" s="2"/>
      <c r="B84" s="2"/>
      <c r="C84" s="2"/>
      <c r="D84" s="2"/>
    </row>
    <row r="85" spans="1:4" ht="14.5" x14ac:dyDescent="0.35">
      <c r="A85" s="2"/>
      <c r="B85" s="2"/>
      <c r="C85" s="2"/>
      <c r="D85" s="2"/>
    </row>
    <row r="86" spans="1:4" ht="14.5" x14ac:dyDescent="0.35">
      <c r="A86" s="2"/>
      <c r="B86" s="2"/>
      <c r="C86" s="2"/>
      <c r="D86" s="2"/>
    </row>
    <row r="87" spans="1:4" ht="14.5" x14ac:dyDescent="0.35">
      <c r="A87" s="2"/>
      <c r="B87" s="2"/>
      <c r="C87" s="2"/>
      <c r="D87" s="2"/>
    </row>
    <row r="88" spans="1:4" ht="14.5" x14ac:dyDescent="0.35">
      <c r="A88" s="2"/>
      <c r="B88" s="2"/>
      <c r="C88" s="2"/>
      <c r="D88" s="2"/>
    </row>
    <row r="89" spans="1:4" ht="14.5" x14ac:dyDescent="0.35">
      <c r="A89" s="2"/>
      <c r="B89" s="2"/>
      <c r="C89" s="2"/>
      <c r="D89" s="2"/>
    </row>
    <row r="90" spans="1:4" ht="14.5" x14ac:dyDescent="0.35">
      <c r="A90" s="2"/>
      <c r="B90" s="2"/>
      <c r="C90" s="2"/>
      <c r="D90" s="2"/>
    </row>
    <row r="91" spans="1:4" ht="14.5" x14ac:dyDescent="0.35">
      <c r="A91" s="2"/>
      <c r="B91" s="2"/>
      <c r="C91" s="2"/>
      <c r="D91" s="2"/>
    </row>
    <row r="92" spans="1:4" ht="14.5" x14ac:dyDescent="0.35">
      <c r="A92" s="2"/>
      <c r="B92" s="2"/>
      <c r="C92" s="2"/>
      <c r="D92" s="2"/>
    </row>
    <row r="93" spans="1:4" ht="14.5" x14ac:dyDescent="0.35">
      <c r="A93" s="2"/>
      <c r="B93" s="2"/>
      <c r="C93" s="2"/>
      <c r="D93" s="2"/>
    </row>
    <row r="94" spans="1:4" ht="14.5" x14ac:dyDescent="0.35">
      <c r="A94" s="2"/>
      <c r="B94" s="2"/>
      <c r="C94" s="2"/>
      <c r="D94" s="2"/>
    </row>
    <row r="95" spans="1:4" ht="14.5" x14ac:dyDescent="0.35">
      <c r="A95" s="2"/>
      <c r="B95" s="2"/>
      <c r="C95" s="2"/>
      <c r="D95" s="2"/>
    </row>
    <row r="96" spans="1:4" ht="14.5" x14ac:dyDescent="0.35">
      <c r="A96" s="2"/>
      <c r="B96" s="2"/>
      <c r="C96" s="2"/>
      <c r="D96" s="2"/>
    </row>
    <row r="97" spans="1:4" ht="14.5" x14ac:dyDescent="0.35">
      <c r="A97" s="2"/>
      <c r="B97" s="2"/>
      <c r="C97" s="2"/>
      <c r="D97" s="2"/>
    </row>
    <row r="98" spans="1:4" ht="14.5" x14ac:dyDescent="0.35">
      <c r="A98" s="2"/>
      <c r="B98" s="2"/>
      <c r="C98" s="2"/>
      <c r="D98" s="2"/>
    </row>
    <row r="99" spans="1:4" ht="14.5" x14ac:dyDescent="0.35">
      <c r="A99" s="2"/>
      <c r="B99" s="2"/>
      <c r="C99" s="2"/>
      <c r="D99" s="2"/>
    </row>
    <row r="100" spans="1:4" ht="14.5" x14ac:dyDescent="0.35">
      <c r="A100" s="2"/>
      <c r="B100" s="2"/>
      <c r="C100" s="2"/>
      <c r="D100" s="2"/>
    </row>
    <row r="101" spans="1:4" ht="14.5" x14ac:dyDescent="0.35">
      <c r="A101" s="2"/>
      <c r="B101" s="2"/>
      <c r="C101" s="2"/>
      <c r="D101" s="2"/>
    </row>
    <row r="102" spans="1:4" ht="14.5" x14ac:dyDescent="0.35">
      <c r="A102" s="2"/>
      <c r="B102" s="2"/>
      <c r="C102" s="2"/>
      <c r="D102" s="2"/>
    </row>
    <row r="103" spans="1:4" ht="14.5" x14ac:dyDescent="0.35">
      <c r="A103" s="2"/>
      <c r="B103" s="2"/>
      <c r="C103" s="2"/>
      <c r="D103" s="2"/>
    </row>
    <row r="104" spans="1:4" ht="14.5" x14ac:dyDescent="0.35">
      <c r="A104" s="2"/>
      <c r="B104" s="2"/>
      <c r="C104" s="2"/>
      <c r="D104" s="2"/>
    </row>
    <row r="105" spans="1:4" ht="14.5" x14ac:dyDescent="0.35">
      <c r="A105" s="2"/>
      <c r="B105" s="2"/>
      <c r="C105" s="2"/>
      <c r="D105" s="2"/>
    </row>
    <row r="106" spans="1:4" ht="14.5" x14ac:dyDescent="0.35">
      <c r="A106" s="2"/>
      <c r="B106" s="2"/>
      <c r="C106" s="2"/>
      <c r="D106" s="2"/>
    </row>
    <row r="107" spans="1:4" ht="14.5" x14ac:dyDescent="0.35">
      <c r="A107" s="2"/>
      <c r="B107" s="2"/>
      <c r="C107" s="2"/>
      <c r="D107" s="2"/>
    </row>
    <row r="108" spans="1:4" ht="14.5" x14ac:dyDescent="0.35">
      <c r="A108" s="2"/>
      <c r="B108" s="2"/>
      <c r="C108" s="2"/>
      <c r="D108" s="2"/>
    </row>
    <row r="109" spans="1:4" ht="14.5" x14ac:dyDescent="0.35">
      <c r="A109" s="2"/>
      <c r="B109" s="2"/>
      <c r="C109" s="2"/>
      <c r="D109" s="2"/>
    </row>
    <row r="110" spans="1:4" ht="14.5" x14ac:dyDescent="0.35">
      <c r="A110" s="2"/>
      <c r="B110" s="2"/>
      <c r="C110" s="2"/>
      <c r="D110" s="2"/>
    </row>
    <row r="111" spans="1:4" ht="14.5" x14ac:dyDescent="0.35">
      <c r="A111" s="2"/>
      <c r="B111" s="2"/>
      <c r="C111" s="2"/>
      <c r="D111" s="2"/>
    </row>
    <row r="112" spans="1:4" ht="14.5" x14ac:dyDescent="0.35">
      <c r="A112" s="2"/>
      <c r="B112" s="2"/>
      <c r="C112" s="2"/>
      <c r="D112" s="2"/>
    </row>
    <row r="113" spans="1:4" ht="14.5" x14ac:dyDescent="0.35">
      <c r="A113" s="2"/>
      <c r="B113" s="2"/>
      <c r="C113" s="2"/>
      <c r="D113" s="2"/>
    </row>
    <row r="114" spans="1:4" ht="14.5" x14ac:dyDescent="0.35">
      <c r="A114" s="2"/>
      <c r="B114" s="2"/>
      <c r="C114" s="2"/>
      <c r="D114" s="2"/>
    </row>
    <row r="115" spans="1:4" ht="14.5" x14ac:dyDescent="0.35">
      <c r="A115" s="2"/>
      <c r="B115" s="2"/>
      <c r="C115" s="2"/>
      <c r="D115" s="2"/>
    </row>
    <row r="116" spans="1:4" ht="14.5" x14ac:dyDescent="0.35">
      <c r="A116" s="2"/>
      <c r="B116" s="2"/>
      <c r="C116" s="2"/>
      <c r="D116" s="2"/>
    </row>
    <row r="117" spans="1:4" ht="14.5" x14ac:dyDescent="0.35">
      <c r="A117" s="2"/>
      <c r="B117" s="2"/>
      <c r="C117" s="2"/>
      <c r="D117" s="2"/>
    </row>
    <row r="118" spans="1:4" ht="14.5" x14ac:dyDescent="0.35">
      <c r="A118" s="2"/>
      <c r="B118" s="2"/>
      <c r="C118" s="2"/>
      <c r="D118" s="2"/>
    </row>
    <row r="119" spans="1:4" ht="14.5" x14ac:dyDescent="0.35">
      <c r="A119" s="2"/>
      <c r="B119" s="2"/>
      <c r="C119" s="2"/>
      <c r="D119" s="2"/>
    </row>
    <row r="120" spans="1:4" ht="14.5" x14ac:dyDescent="0.35">
      <c r="A120" s="2"/>
      <c r="B120" s="2"/>
      <c r="C120" s="2"/>
      <c r="D120" s="2"/>
    </row>
    <row r="121" spans="1:4" ht="14.5" x14ac:dyDescent="0.35">
      <c r="A121" s="2"/>
      <c r="B121" s="2"/>
      <c r="C121" s="2"/>
      <c r="D121" s="2"/>
    </row>
    <row r="122" spans="1:4" ht="14.5" x14ac:dyDescent="0.35">
      <c r="A122" s="2"/>
      <c r="B122" s="2"/>
      <c r="C122" s="2"/>
      <c r="D122" s="2"/>
    </row>
    <row r="123" spans="1:4" ht="14.5" x14ac:dyDescent="0.35">
      <c r="A123" s="2"/>
      <c r="B123" s="2"/>
      <c r="C123" s="2"/>
      <c r="D123" s="2"/>
    </row>
    <row r="124" spans="1:4" ht="14.5" x14ac:dyDescent="0.35">
      <c r="A124" s="2"/>
      <c r="B124" s="2"/>
      <c r="C124" s="2"/>
      <c r="D124" s="2"/>
    </row>
    <row r="125" spans="1:4" ht="14.5" x14ac:dyDescent="0.35">
      <c r="A125" s="2"/>
      <c r="B125" s="2"/>
      <c r="C125" s="2"/>
      <c r="D125" s="2"/>
    </row>
    <row r="126" spans="1:4" ht="14.5" x14ac:dyDescent="0.35">
      <c r="A126" s="2"/>
      <c r="B126" s="2"/>
      <c r="C126" s="2"/>
      <c r="D126" s="2"/>
    </row>
    <row r="127" spans="1:4" ht="14.5" x14ac:dyDescent="0.35">
      <c r="A127" s="2"/>
      <c r="B127" s="2"/>
      <c r="C127" s="2"/>
      <c r="D127" s="2"/>
    </row>
    <row r="128" spans="1:4" ht="14.5" x14ac:dyDescent="0.35">
      <c r="A128" s="2"/>
      <c r="B128" s="2"/>
      <c r="C128" s="2"/>
      <c r="D128" s="2"/>
    </row>
    <row r="129" spans="1:4" ht="14.5" x14ac:dyDescent="0.35">
      <c r="A129" s="2"/>
      <c r="B129" s="2"/>
      <c r="C129" s="2"/>
      <c r="D129" s="2"/>
    </row>
    <row r="130" spans="1:4" ht="14.5" x14ac:dyDescent="0.35">
      <c r="A130" s="2"/>
      <c r="B130" s="2"/>
      <c r="C130" s="2"/>
      <c r="D130" s="2"/>
    </row>
    <row r="131" spans="1:4" ht="14.5" x14ac:dyDescent="0.35">
      <c r="A131" s="2"/>
      <c r="B131" s="2"/>
      <c r="C131" s="2"/>
      <c r="D131" s="2"/>
    </row>
    <row r="132" spans="1:4" ht="14.5" x14ac:dyDescent="0.35">
      <c r="A132" s="2"/>
      <c r="B132" s="2"/>
      <c r="C132" s="2"/>
      <c r="D132" s="2"/>
    </row>
    <row r="133" spans="1:4" ht="14.5" x14ac:dyDescent="0.35">
      <c r="A133" s="2"/>
      <c r="B133" s="2"/>
      <c r="C133" s="2"/>
      <c r="D133" s="2"/>
    </row>
    <row r="134" spans="1:4" ht="14.5" x14ac:dyDescent="0.35">
      <c r="A134" s="2"/>
      <c r="B134" s="2"/>
      <c r="C134" s="2"/>
      <c r="D134" s="2"/>
    </row>
    <row r="135" spans="1:4" ht="14.5" x14ac:dyDescent="0.35">
      <c r="A135" s="2"/>
      <c r="B135" s="2"/>
      <c r="C135" s="2"/>
      <c r="D135" s="2"/>
    </row>
    <row r="136" spans="1:4" ht="14.5" x14ac:dyDescent="0.35">
      <c r="A136" s="2"/>
      <c r="B136" s="2"/>
      <c r="C136" s="2"/>
      <c r="D136" s="2"/>
    </row>
    <row r="137" spans="1:4" ht="14.5" x14ac:dyDescent="0.35">
      <c r="A137" s="2"/>
      <c r="B137" s="2"/>
      <c r="C137" s="2"/>
      <c r="D137" s="2"/>
    </row>
    <row r="138" spans="1:4" ht="14.5" x14ac:dyDescent="0.35">
      <c r="A138" s="2"/>
      <c r="B138" s="2"/>
      <c r="C138" s="2"/>
      <c r="D138" s="2"/>
    </row>
    <row r="139" spans="1:4" ht="14.5" x14ac:dyDescent="0.35">
      <c r="A139" s="2"/>
      <c r="B139" s="2"/>
      <c r="C139" s="2"/>
      <c r="D139" s="2"/>
    </row>
    <row r="140" spans="1:4" ht="14.5" x14ac:dyDescent="0.35">
      <c r="A140" s="2"/>
      <c r="B140" s="2"/>
      <c r="C140" s="2"/>
      <c r="D140" s="2"/>
    </row>
    <row r="141" spans="1:4" ht="14.5" x14ac:dyDescent="0.35">
      <c r="A141" s="2"/>
      <c r="B141" s="2"/>
      <c r="C141" s="2"/>
      <c r="D141" s="2"/>
    </row>
    <row r="142" spans="1:4" ht="14.5" x14ac:dyDescent="0.35">
      <c r="A142" s="2"/>
      <c r="B142" s="2"/>
      <c r="C142" s="2"/>
      <c r="D142" s="2"/>
    </row>
    <row r="143" spans="1:4" ht="14.5" x14ac:dyDescent="0.35">
      <c r="A143" s="2"/>
      <c r="B143" s="2"/>
      <c r="C143" s="2"/>
      <c r="D143" s="2"/>
    </row>
    <row r="144" spans="1:4" ht="14.5" x14ac:dyDescent="0.35">
      <c r="A144" s="2"/>
      <c r="B144" s="2"/>
      <c r="C144" s="2"/>
      <c r="D144" s="2"/>
    </row>
    <row r="145" spans="1:4" ht="14.5" x14ac:dyDescent="0.35">
      <c r="A145" s="2"/>
      <c r="B145" s="2"/>
      <c r="C145" s="2"/>
      <c r="D145" s="2"/>
    </row>
    <row r="146" spans="1:4" ht="14.5" x14ac:dyDescent="0.35">
      <c r="A146" s="2"/>
      <c r="B146" s="2"/>
      <c r="C146" s="2"/>
      <c r="D146" s="2"/>
    </row>
    <row r="147" spans="1:4" ht="14.5" x14ac:dyDescent="0.35">
      <c r="A147" s="2"/>
      <c r="B147" s="2"/>
      <c r="C147" s="2"/>
      <c r="D147" s="2"/>
    </row>
    <row r="148" spans="1:4" ht="14.5" x14ac:dyDescent="0.35">
      <c r="A148" s="2"/>
      <c r="B148" s="2"/>
      <c r="C148" s="2"/>
      <c r="D148" s="2"/>
    </row>
    <row r="149" spans="1:4" ht="14.5" x14ac:dyDescent="0.35">
      <c r="A149" s="2"/>
      <c r="B149" s="2"/>
      <c r="C149" s="2"/>
      <c r="D149" s="2"/>
    </row>
    <row r="150" spans="1:4" ht="14.5" x14ac:dyDescent="0.35">
      <c r="A150" s="2"/>
      <c r="B150" s="2"/>
      <c r="C150" s="2"/>
      <c r="D150" s="2"/>
    </row>
    <row r="151" spans="1:4" ht="14.5" x14ac:dyDescent="0.35">
      <c r="A151" s="2"/>
      <c r="B151" s="2"/>
      <c r="C151" s="2"/>
      <c r="D151" s="2"/>
    </row>
    <row r="152" spans="1:4" ht="14.5" x14ac:dyDescent="0.35">
      <c r="A152" s="2"/>
      <c r="B152" s="2"/>
      <c r="C152" s="2"/>
      <c r="D152" s="2"/>
    </row>
    <row r="153" spans="1:4" ht="14.5" x14ac:dyDescent="0.35">
      <c r="A153" s="2"/>
      <c r="B153" s="2"/>
      <c r="C153" s="2"/>
      <c r="D153" s="2"/>
    </row>
    <row r="154" spans="1:4" ht="14.5" x14ac:dyDescent="0.35">
      <c r="A154" s="2"/>
      <c r="B154" s="2"/>
      <c r="C154" s="2"/>
      <c r="D154" s="2"/>
    </row>
    <row r="155" spans="1:4" ht="14.5" x14ac:dyDescent="0.35">
      <c r="A155" s="2"/>
      <c r="B155" s="2"/>
      <c r="C155" s="2"/>
      <c r="D155" s="2"/>
    </row>
    <row r="156" spans="1:4" ht="14.5" x14ac:dyDescent="0.35">
      <c r="A156" s="2"/>
      <c r="B156" s="2"/>
      <c r="C156" s="2"/>
      <c r="D156" s="2"/>
    </row>
    <row r="157" spans="1:4" ht="14.5" x14ac:dyDescent="0.35">
      <c r="A157" s="2"/>
      <c r="B157" s="2"/>
      <c r="C157" s="2"/>
      <c r="D157" s="2"/>
    </row>
    <row r="158" spans="1:4" ht="14.5" x14ac:dyDescent="0.35">
      <c r="A158" s="2"/>
      <c r="B158" s="2"/>
      <c r="C158" s="2"/>
      <c r="D158" s="2"/>
    </row>
    <row r="159" spans="1:4" ht="14.5" x14ac:dyDescent="0.35">
      <c r="A159" s="2"/>
      <c r="B159" s="2"/>
      <c r="C159" s="2"/>
      <c r="D159" s="2"/>
    </row>
    <row r="160" spans="1:4" ht="14.5" x14ac:dyDescent="0.35">
      <c r="A160" s="2"/>
      <c r="B160" s="2"/>
      <c r="C160" s="2"/>
      <c r="D160" s="2"/>
    </row>
    <row r="161" spans="1:4" ht="14.5" x14ac:dyDescent="0.35">
      <c r="A161" s="2"/>
      <c r="B161" s="2"/>
      <c r="C161" s="2"/>
      <c r="D161" s="2"/>
    </row>
    <row r="162" spans="1:4" ht="14.5" x14ac:dyDescent="0.35">
      <c r="A162" s="2"/>
      <c r="B162" s="2"/>
      <c r="C162" s="2"/>
      <c r="D162" s="2"/>
    </row>
    <row r="163" spans="1:4" ht="14.5" x14ac:dyDescent="0.35">
      <c r="A163" s="2"/>
      <c r="B163" s="2"/>
      <c r="C163" s="2"/>
      <c r="D163" s="2"/>
    </row>
    <row r="164" spans="1:4" ht="14.5" x14ac:dyDescent="0.35">
      <c r="A164" s="2"/>
      <c r="B164" s="2"/>
      <c r="C164" s="2"/>
      <c r="D164" s="2"/>
    </row>
    <row r="165" spans="1:4" ht="14.5" x14ac:dyDescent="0.35">
      <c r="A165" s="2"/>
      <c r="B165" s="2"/>
      <c r="C165" s="2"/>
      <c r="D165" s="2"/>
    </row>
    <row r="166" spans="1:4" ht="14.5" x14ac:dyDescent="0.35">
      <c r="A166" s="2"/>
      <c r="B166" s="2"/>
      <c r="C166" s="2"/>
      <c r="D166" s="2"/>
    </row>
    <row r="167" spans="1:4" ht="14.5" x14ac:dyDescent="0.35">
      <c r="A167" s="2"/>
      <c r="B167" s="2"/>
      <c r="C167" s="2"/>
      <c r="D167" s="2"/>
    </row>
    <row r="168" spans="1:4" ht="14.5" x14ac:dyDescent="0.35">
      <c r="A168" s="2"/>
      <c r="B168" s="2"/>
      <c r="C168" s="2"/>
      <c r="D168" s="2"/>
    </row>
    <row r="169" spans="1:4" ht="14.5" x14ac:dyDescent="0.35">
      <c r="A169" s="2"/>
      <c r="B169" s="2"/>
      <c r="C169" s="2"/>
      <c r="D169" s="2"/>
    </row>
    <row r="170" spans="1:4" ht="14.5" x14ac:dyDescent="0.35">
      <c r="A170" s="2"/>
      <c r="B170" s="2"/>
      <c r="C170" s="2"/>
      <c r="D170" s="2"/>
    </row>
    <row r="171" spans="1:4" ht="14.5" x14ac:dyDescent="0.35">
      <c r="A171" s="2"/>
      <c r="B171" s="2"/>
      <c r="C171" s="2"/>
      <c r="D171" s="2"/>
    </row>
    <row r="172" spans="1:4" ht="14.5" x14ac:dyDescent="0.35">
      <c r="A172" s="2"/>
      <c r="B172" s="2"/>
      <c r="C172" s="2"/>
      <c r="D172" s="2"/>
    </row>
    <row r="173" spans="1:4" ht="14.5" x14ac:dyDescent="0.35">
      <c r="A173" s="2"/>
      <c r="B173" s="2"/>
      <c r="C173" s="2"/>
      <c r="D173" s="2"/>
    </row>
    <row r="174" spans="1:4" ht="14.5" x14ac:dyDescent="0.35">
      <c r="A174" s="2"/>
      <c r="B174" s="2"/>
      <c r="C174" s="2"/>
      <c r="D174" s="2"/>
    </row>
    <row r="175" spans="1:4" ht="14.5" x14ac:dyDescent="0.35">
      <c r="A175" s="2"/>
      <c r="B175" s="2"/>
      <c r="C175" s="2"/>
      <c r="D175" s="2"/>
    </row>
    <row r="176" spans="1:4" ht="14.5" x14ac:dyDescent="0.35">
      <c r="A176" s="2"/>
      <c r="B176" s="2"/>
      <c r="C176" s="2"/>
      <c r="D176" s="2"/>
    </row>
    <row r="177" spans="1:4" ht="14.5" x14ac:dyDescent="0.35">
      <c r="A177" s="2"/>
      <c r="B177" s="2"/>
      <c r="C177" s="2"/>
      <c r="D177" s="2"/>
    </row>
    <row r="178" spans="1:4" ht="14.5" x14ac:dyDescent="0.35">
      <c r="A178" s="2"/>
      <c r="B178" s="2"/>
      <c r="C178" s="2"/>
      <c r="D178" s="2"/>
    </row>
    <row r="179" spans="1:4" ht="14.5" x14ac:dyDescent="0.35">
      <c r="A179" s="2"/>
      <c r="B179" s="2"/>
      <c r="C179" s="2"/>
      <c r="D179" s="2"/>
    </row>
    <row r="180" spans="1:4" ht="14.5" x14ac:dyDescent="0.35">
      <c r="A180" s="2"/>
      <c r="B180" s="2"/>
      <c r="C180" s="2"/>
      <c r="D180" s="2"/>
    </row>
    <row r="181" spans="1:4" ht="14.5" x14ac:dyDescent="0.35">
      <c r="A181" s="2"/>
      <c r="B181" s="2"/>
      <c r="C181" s="2"/>
      <c r="D181" s="2"/>
    </row>
    <row r="182" spans="1:4" ht="14.5" x14ac:dyDescent="0.35">
      <c r="A182" s="2"/>
      <c r="B182" s="2"/>
      <c r="C182" s="2"/>
      <c r="D182" s="2"/>
    </row>
    <row r="183" spans="1:4" ht="14.5" x14ac:dyDescent="0.35">
      <c r="A183" s="2"/>
      <c r="B183" s="2"/>
      <c r="C183" s="2"/>
      <c r="D183" s="2"/>
    </row>
    <row r="184" spans="1:4" ht="14.5" x14ac:dyDescent="0.35">
      <c r="A184" s="2"/>
      <c r="B184" s="2"/>
      <c r="C184" s="2"/>
      <c r="D184" s="2"/>
    </row>
    <row r="185" spans="1:4" ht="14.5" x14ac:dyDescent="0.35">
      <c r="A185" s="2"/>
      <c r="B185" s="2"/>
      <c r="C185" s="2"/>
      <c r="D185" s="2"/>
    </row>
    <row r="186" spans="1:4" ht="14.5" x14ac:dyDescent="0.35">
      <c r="A186" s="2"/>
      <c r="B186" s="2"/>
      <c r="C186" s="2"/>
      <c r="D186" s="2"/>
    </row>
    <row r="187" spans="1:4" ht="14.5" x14ac:dyDescent="0.35">
      <c r="A187" s="2"/>
      <c r="B187" s="2"/>
      <c r="C187" s="2"/>
      <c r="D187" s="2"/>
    </row>
    <row r="188" spans="1:4" ht="14.5" x14ac:dyDescent="0.35">
      <c r="A188" s="2"/>
      <c r="B188" s="2"/>
      <c r="C188" s="2"/>
      <c r="D188" s="2"/>
    </row>
    <row r="189" spans="1:4" ht="14.5" x14ac:dyDescent="0.35">
      <c r="A189" s="2"/>
      <c r="B189" s="2"/>
      <c r="C189" s="2"/>
      <c r="D189" s="2"/>
    </row>
    <row r="190" spans="1:4" ht="14.5" x14ac:dyDescent="0.35">
      <c r="A190" s="2"/>
      <c r="B190" s="2"/>
      <c r="C190" s="2"/>
      <c r="D190" s="2"/>
    </row>
    <row r="191" spans="1:4" ht="14.5" x14ac:dyDescent="0.35">
      <c r="A191" s="2"/>
      <c r="B191" s="2"/>
      <c r="C191" s="2"/>
      <c r="D191" s="2"/>
    </row>
    <row r="192" spans="1:4" ht="14.5" x14ac:dyDescent="0.35">
      <c r="A192" s="2"/>
      <c r="B192" s="2"/>
      <c r="C192" s="2"/>
      <c r="D192" s="2"/>
    </row>
    <row r="193" spans="1:4" ht="14.5" x14ac:dyDescent="0.35">
      <c r="A193" s="2"/>
      <c r="B193" s="2"/>
      <c r="C193" s="2"/>
      <c r="D193" s="2"/>
    </row>
    <row r="194" spans="1:4" ht="14.5" x14ac:dyDescent="0.35">
      <c r="A194" s="2"/>
      <c r="B194" s="2"/>
      <c r="C194" s="2"/>
      <c r="D194" s="2"/>
    </row>
    <row r="195" spans="1:4" ht="14.5" x14ac:dyDescent="0.35">
      <c r="A195" s="2"/>
      <c r="B195" s="2"/>
      <c r="C195" s="2"/>
      <c r="D195" s="2"/>
    </row>
    <row r="196" spans="1:4" ht="14.5" x14ac:dyDescent="0.35">
      <c r="A196" s="2"/>
      <c r="B196" s="2"/>
      <c r="C196" s="2"/>
      <c r="D196" s="2"/>
    </row>
    <row r="197" spans="1:4" ht="14.5" x14ac:dyDescent="0.35">
      <c r="A197" s="2"/>
      <c r="B197" s="2"/>
      <c r="C197" s="2"/>
      <c r="D197" s="2"/>
    </row>
    <row r="198" spans="1:4" ht="14.5" x14ac:dyDescent="0.35">
      <c r="A198" s="2"/>
      <c r="B198" s="2"/>
      <c r="C198" s="2"/>
      <c r="D198" s="2"/>
    </row>
    <row r="199" spans="1:4" ht="14.5" x14ac:dyDescent="0.35">
      <c r="A199" s="2"/>
      <c r="B199" s="2"/>
      <c r="C199" s="2"/>
      <c r="D199" s="2"/>
    </row>
    <row r="200" spans="1:4" ht="14.5" x14ac:dyDescent="0.35">
      <c r="A200" s="2"/>
      <c r="B200" s="2"/>
      <c r="C200" s="2"/>
      <c r="D200" s="2"/>
    </row>
    <row r="201" spans="1:4" ht="14.5" x14ac:dyDescent="0.35">
      <c r="A201" s="2"/>
      <c r="B201" s="2"/>
      <c r="C201" s="2"/>
      <c r="D201" s="2"/>
    </row>
    <row r="202" spans="1:4" ht="17" x14ac:dyDescent="0.35">
      <c r="A202" s="50" t="s">
        <v>4</v>
      </c>
      <c r="B202" s="51"/>
      <c r="C202" s="51"/>
      <c r="D202" s="52"/>
    </row>
  </sheetData>
  <mergeCells count="1">
    <mergeCell ref="A202:D202"/>
  </mergeCells>
  <conditionalFormatting sqref="A2:C201">
    <cfRule type="expression" dxfId="487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1F4E79"/>
  </sheetPr>
  <dimension ref="A1:Y150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0" customWidth="1"/>
    <col min="2" max="3" width="4" customWidth="1"/>
    <col min="4" max="4" width="19" customWidth="1"/>
    <col min="5" max="5" width="32" customWidth="1"/>
    <col min="6" max="6" width="16" customWidth="1"/>
    <col min="7" max="7" width="10" customWidth="1"/>
    <col min="8" max="8" width="12" customWidth="1"/>
    <col min="9" max="9" width="10" customWidth="1"/>
    <col min="10" max="11" width="18" customWidth="1"/>
    <col min="12" max="12" width="10" customWidth="1"/>
    <col min="13" max="13" width="19" customWidth="1"/>
    <col min="14" max="14" width="13" customWidth="1"/>
    <col min="15" max="15" width="10" customWidth="1"/>
    <col min="16" max="16" width="8" customWidth="1"/>
    <col min="17" max="25" width="13" hidden="1" customWidth="1"/>
  </cols>
  <sheetData>
    <row r="1" spans="1:25" ht="32" customHeight="1" x14ac:dyDescent="0.35">
      <c r="A1" s="1" t="s">
        <v>5</v>
      </c>
      <c r="B1" s="1" t="s">
        <v>1</v>
      </c>
      <c r="C1" s="1" t="s">
        <v>2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</row>
    <row r="2" spans="1:25" ht="14.5" x14ac:dyDescent="0.35">
      <c r="A2" s="3"/>
      <c r="B2" s="2"/>
      <c r="C2" s="2"/>
      <c r="D2" s="4"/>
      <c r="E2" s="2"/>
      <c r="F2" s="2"/>
      <c r="G2" s="3" t="str">
        <f t="shared" ref="G2:G65" si="0">IF(COUNTIF($A$2:$A$1500,A2&amp;".*")=0,"",COUNTIF($A$2:$A$1500,A2&amp;".*"))</f>
        <v/>
      </c>
      <c r="H2" s="3"/>
      <c r="I2" s="3"/>
      <c r="J2" s="2"/>
      <c r="K2" s="2"/>
      <c r="L2" s="2"/>
      <c r="M2" s="4"/>
      <c r="N2" s="2"/>
      <c r="O2" s="5" t="str">
        <f t="shared" ref="O2:O65" ca="1" si="1">IF(M2="","",INT(M2)-TODAY())</f>
        <v/>
      </c>
      <c r="P2" s="6"/>
      <c r="V2" t="str">
        <f t="shared" ref="V2:V65" si="2">IF(M2="","",M2+Q2/1000000)</f>
        <v/>
      </c>
      <c r="W2" t="str">
        <f t="shared" ref="W2:W65" si="3">IF(U2="","",IF(M2="",9999999+Q2/1000000,M2+Q2/1000000))</f>
        <v/>
      </c>
      <c r="X2" t="str">
        <f t="shared" ref="X2:X65" si="4">IF(U2="","",SUMPRODUCT(($U$2:$U$1500=U2)*($W$2:$W$1500&lt;=W2)))</f>
        <v/>
      </c>
      <c r="Y2" t="str">
        <f t="shared" ref="Y2:Y65" si="5">IF(U2="","",U2&amp;"|"&amp;X2)</f>
        <v/>
      </c>
    </row>
    <row r="3" spans="1:25" ht="14.5" x14ac:dyDescent="0.35">
      <c r="A3" s="3"/>
      <c r="B3" s="2"/>
      <c r="C3" s="2"/>
      <c r="D3" s="4"/>
      <c r="E3" s="2"/>
      <c r="F3" s="2"/>
      <c r="G3" s="3" t="str">
        <f t="shared" si="0"/>
        <v/>
      </c>
      <c r="H3" s="3"/>
      <c r="I3" s="3"/>
      <c r="J3" s="2"/>
      <c r="K3" s="2"/>
      <c r="L3" s="2"/>
      <c r="M3" s="4"/>
      <c r="N3" s="2"/>
      <c r="O3" s="5" t="str">
        <f t="shared" ca="1" si="1"/>
        <v/>
      </c>
      <c r="P3" s="6"/>
      <c r="V3" t="str">
        <f t="shared" si="2"/>
        <v/>
      </c>
      <c r="W3" t="str">
        <f t="shared" si="3"/>
        <v/>
      </c>
      <c r="X3" t="str">
        <f t="shared" si="4"/>
        <v/>
      </c>
      <c r="Y3" t="str">
        <f t="shared" si="5"/>
        <v/>
      </c>
    </row>
    <row r="4" spans="1:25" ht="14.5" x14ac:dyDescent="0.35">
      <c r="A4" s="3"/>
      <c r="B4" s="2"/>
      <c r="C4" s="2"/>
      <c r="D4" s="4"/>
      <c r="E4" s="2"/>
      <c r="F4" s="2"/>
      <c r="G4" s="3" t="str">
        <f t="shared" si="0"/>
        <v/>
      </c>
      <c r="H4" s="3"/>
      <c r="I4" s="3"/>
      <c r="J4" s="2"/>
      <c r="K4" s="2"/>
      <c r="L4" s="2"/>
      <c r="M4" s="4"/>
      <c r="N4" s="2"/>
      <c r="O4" s="5" t="str">
        <f t="shared" ca="1" si="1"/>
        <v/>
      </c>
      <c r="P4" s="6"/>
      <c r="V4" t="str">
        <f t="shared" si="2"/>
        <v/>
      </c>
      <c r="W4" t="str">
        <f t="shared" si="3"/>
        <v/>
      </c>
      <c r="X4" t="str">
        <f t="shared" si="4"/>
        <v/>
      </c>
      <c r="Y4" t="str">
        <f t="shared" si="5"/>
        <v/>
      </c>
    </row>
    <row r="5" spans="1:25" ht="14.5" x14ac:dyDescent="0.35">
      <c r="A5" s="3"/>
      <c r="B5" s="2"/>
      <c r="C5" s="2"/>
      <c r="D5" s="4"/>
      <c r="E5" s="2"/>
      <c r="F5" s="2"/>
      <c r="G5" s="3" t="str">
        <f t="shared" si="0"/>
        <v/>
      </c>
      <c r="H5" s="3"/>
      <c r="I5" s="3"/>
      <c r="J5" s="2"/>
      <c r="K5" s="2"/>
      <c r="L5" s="2"/>
      <c r="M5" s="4"/>
      <c r="N5" s="2"/>
      <c r="O5" s="5" t="str">
        <f t="shared" ca="1" si="1"/>
        <v/>
      </c>
      <c r="P5" s="6"/>
      <c r="V5" t="str">
        <f t="shared" si="2"/>
        <v/>
      </c>
      <c r="W5" t="str">
        <f t="shared" si="3"/>
        <v/>
      </c>
      <c r="X5" t="str">
        <f t="shared" si="4"/>
        <v/>
      </c>
      <c r="Y5" t="str">
        <f t="shared" si="5"/>
        <v/>
      </c>
    </row>
    <row r="6" spans="1:25" ht="14.5" x14ac:dyDescent="0.35">
      <c r="A6" s="3"/>
      <c r="B6" s="2"/>
      <c r="C6" s="2"/>
      <c r="D6" s="4"/>
      <c r="E6" s="2"/>
      <c r="F6" s="2"/>
      <c r="G6" s="3" t="str">
        <f t="shared" si="0"/>
        <v/>
      </c>
      <c r="H6" s="3"/>
      <c r="I6" s="3"/>
      <c r="J6" s="2"/>
      <c r="K6" s="2"/>
      <c r="L6" s="2"/>
      <c r="M6" s="4"/>
      <c r="N6" s="2"/>
      <c r="O6" s="5" t="str">
        <f t="shared" ca="1" si="1"/>
        <v/>
      </c>
      <c r="P6" s="6"/>
      <c r="V6" t="str">
        <f t="shared" si="2"/>
        <v/>
      </c>
      <c r="W6" t="str">
        <f t="shared" si="3"/>
        <v/>
      </c>
      <c r="X6" t="str">
        <f t="shared" si="4"/>
        <v/>
      </c>
      <c r="Y6" t="str">
        <f t="shared" si="5"/>
        <v/>
      </c>
    </row>
    <row r="7" spans="1:25" ht="14.5" x14ac:dyDescent="0.35">
      <c r="A7" s="3"/>
      <c r="B7" s="2"/>
      <c r="C7" s="2"/>
      <c r="D7" s="4"/>
      <c r="E7" s="2"/>
      <c r="F7" s="2"/>
      <c r="G7" s="3" t="str">
        <f t="shared" si="0"/>
        <v/>
      </c>
      <c r="H7" s="3"/>
      <c r="I7" s="3"/>
      <c r="J7" s="2"/>
      <c r="K7" s="2"/>
      <c r="L7" s="2"/>
      <c r="M7" s="4"/>
      <c r="N7" s="2"/>
      <c r="O7" s="5" t="str">
        <f t="shared" ca="1" si="1"/>
        <v/>
      </c>
      <c r="P7" s="6"/>
      <c r="V7" t="str">
        <f t="shared" si="2"/>
        <v/>
      </c>
      <c r="W7" t="str">
        <f t="shared" si="3"/>
        <v/>
      </c>
      <c r="X7" t="str">
        <f t="shared" si="4"/>
        <v/>
      </c>
      <c r="Y7" t="str">
        <f t="shared" si="5"/>
        <v/>
      </c>
    </row>
    <row r="8" spans="1:25" ht="14.5" x14ac:dyDescent="0.35">
      <c r="A8" s="3"/>
      <c r="B8" s="2"/>
      <c r="C8" s="2"/>
      <c r="D8" s="4"/>
      <c r="E8" s="2"/>
      <c r="F8" s="2"/>
      <c r="G8" s="3" t="str">
        <f t="shared" si="0"/>
        <v/>
      </c>
      <c r="H8" s="3"/>
      <c r="I8" s="3"/>
      <c r="J8" s="2"/>
      <c r="K8" s="2"/>
      <c r="L8" s="2"/>
      <c r="M8" s="4"/>
      <c r="N8" s="2"/>
      <c r="O8" s="5" t="str">
        <f t="shared" ca="1" si="1"/>
        <v/>
      </c>
      <c r="P8" s="6"/>
      <c r="V8" t="str">
        <f t="shared" si="2"/>
        <v/>
      </c>
      <c r="W8" t="str">
        <f t="shared" si="3"/>
        <v/>
      </c>
      <c r="X8" t="str">
        <f t="shared" si="4"/>
        <v/>
      </c>
      <c r="Y8" t="str">
        <f t="shared" si="5"/>
        <v/>
      </c>
    </row>
    <row r="9" spans="1:25" ht="14.5" x14ac:dyDescent="0.35">
      <c r="A9" s="3"/>
      <c r="B9" s="2"/>
      <c r="C9" s="2"/>
      <c r="D9" s="4"/>
      <c r="E9" s="2"/>
      <c r="F9" s="2"/>
      <c r="G9" s="3" t="str">
        <f t="shared" si="0"/>
        <v/>
      </c>
      <c r="H9" s="3"/>
      <c r="I9" s="3"/>
      <c r="J9" s="2"/>
      <c r="K9" s="2"/>
      <c r="L9" s="2"/>
      <c r="M9" s="4"/>
      <c r="N9" s="2"/>
      <c r="O9" s="5" t="str">
        <f t="shared" ca="1" si="1"/>
        <v/>
      </c>
      <c r="P9" s="6"/>
      <c r="V9" t="str">
        <f t="shared" si="2"/>
        <v/>
      </c>
      <c r="W9" t="str">
        <f t="shared" si="3"/>
        <v/>
      </c>
      <c r="X9" t="str">
        <f t="shared" si="4"/>
        <v/>
      </c>
      <c r="Y9" t="str">
        <f t="shared" si="5"/>
        <v/>
      </c>
    </row>
    <row r="10" spans="1:25" ht="14.5" x14ac:dyDescent="0.35">
      <c r="A10" s="3"/>
      <c r="B10" s="2"/>
      <c r="C10" s="2"/>
      <c r="D10" s="4"/>
      <c r="E10" s="2"/>
      <c r="F10" s="2"/>
      <c r="G10" s="3" t="str">
        <f t="shared" si="0"/>
        <v/>
      </c>
      <c r="H10" s="3"/>
      <c r="I10" s="3"/>
      <c r="J10" s="2"/>
      <c r="K10" s="2"/>
      <c r="L10" s="2"/>
      <c r="M10" s="4"/>
      <c r="N10" s="2"/>
      <c r="O10" s="5" t="str">
        <f t="shared" ca="1" si="1"/>
        <v/>
      </c>
      <c r="P10" s="6"/>
      <c r="V10" t="str">
        <f t="shared" si="2"/>
        <v/>
      </c>
      <c r="W10" t="str">
        <f t="shared" si="3"/>
        <v/>
      </c>
      <c r="X10" t="str">
        <f t="shared" si="4"/>
        <v/>
      </c>
      <c r="Y10" t="str">
        <f t="shared" si="5"/>
        <v/>
      </c>
    </row>
    <row r="11" spans="1:25" ht="14.5" x14ac:dyDescent="0.35">
      <c r="A11" s="3"/>
      <c r="B11" s="2"/>
      <c r="C11" s="2"/>
      <c r="D11" s="4"/>
      <c r="E11" s="2"/>
      <c r="F11" s="2"/>
      <c r="G11" s="3" t="str">
        <f t="shared" si="0"/>
        <v/>
      </c>
      <c r="H11" s="3"/>
      <c r="I11" s="3"/>
      <c r="J11" s="2"/>
      <c r="K11" s="2"/>
      <c r="L11" s="2"/>
      <c r="M11" s="4"/>
      <c r="N11" s="2"/>
      <c r="O11" s="5" t="str">
        <f t="shared" ca="1" si="1"/>
        <v/>
      </c>
      <c r="P11" s="6"/>
      <c r="V11" t="str">
        <f t="shared" si="2"/>
        <v/>
      </c>
      <c r="W11" t="str">
        <f t="shared" si="3"/>
        <v/>
      </c>
      <c r="X11" t="str">
        <f t="shared" si="4"/>
        <v/>
      </c>
      <c r="Y11" t="str">
        <f t="shared" si="5"/>
        <v/>
      </c>
    </row>
    <row r="12" spans="1:25" ht="14.5" x14ac:dyDescent="0.35">
      <c r="A12" s="3"/>
      <c r="B12" s="2"/>
      <c r="C12" s="2"/>
      <c r="D12" s="4"/>
      <c r="E12" s="2"/>
      <c r="F12" s="2"/>
      <c r="G12" s="3" t="str">
        <f t="shared" si="0"/>
        <v/>
      </c>
      <c r="H12" s="3"/>
      <c r="I12" s="3"/>
      <c r="J12" s="2"/>
      <c r="K12" s="2"/>
      <c r="L12" s="2"/>
      <c r="M12" s="4"/>
      <c r="N12" s="2"/>
      <c r="O12" s="5" t="str">
        <f t="shared" ca="1" si="1"/>
        <v/>
      </c>
      <c r="P12" s="6"/>
      <c r="V12" t="str">
        <f t="shared" si="2"/>
        <v/>
      </c>
      <c r="W12" t="str">
        <f t="shared" si="3"/>
        <v/>
      </c>
      <c r="X12" t="str">
        <f t="shared" si="4"/>
        <v/>
      </c>
      <c r="Y12" t="str">
        <f t="shared" si="5"/>
        <v/>
      </c>
    </row>
    <row r="13" spans="1:25" ht="14.5" x14ac:dyDescent="0.35">
      <c r="A13" s="3"/>
      <c r="B13" s="2"/>
      <c r="C13" s="2"/>
      <c r="D13" s="4"/>
      <c r="E13" s="2"/>
      <c r="F13" s="2"/>
      <c r="G13" s="3" t="str">
        <f t="shared" si="0"/>
        <v/>
      </c>
      <c r="H13" s="3"/>
      <c r="I13" s="3"/>
      <c r="J13" s="2"/>
      <c r="K13" s="2"/>
      <c r="L13" s="2"/>
      <c r="M13" s="4"/>
      <c r="N13" s="2"/>
      <c r="O13" s="5" t="str">
        <f t="shared" ca="1" si="1"/>
        <v/>
      </c>
      <c r="P13" s="6"/>
      <c r="V13" t="str">
        <f t="shared" si="2"/>
        <v/>
      </c>
      <c r="W13" t="str">
        <f t="shared" si="3"/>
        <v/>
      </c>
      <c r="X13" t="str">
        <f t="shared" si="4"/>
        <v/>
      </c>
      <c r="Y13" t="str">
        <f t="shared" si="5"/>
        <v/>
      </c>
    </row>
    <row r="14" spans="1:25" ht="14.5" x14ac:dyDescent="0.35">
      <c r="A14" s="3"/>
      <c r="B14" s="2"/>
      <c r="C14" s="2"/>
      <c r="D14" s="4"/>
      <c r="E14" s="2"/>
      <c r="F14" s="2"/>
      <c r="G14" s="3" t="str">
        <f t="shared" si="0"/>
        <v/>
      </c>
      <c r="H14" s="3"/>
      <c r="I14" s="3"/>
      <c r="J14" s="2"/>
      <c r="K14" s="2"/>
      <c r="L14" s="2"/>
      <c r="M14" s="4"/>
      <c r="N14" s="2"/>
      <c r="O14" s="5" t="str">
        <f t="shared" ca="1" si="1"/>
        <v/>
      </c>
      <c r="P14" s="6"/>
      <c r="V14" t="str">
        <f t="shared" si="2"/>
        <v/>
      </c>
      <c r="W14" t="str">
        <f t="shared" si="3"/>
        <v/>
      </c>
      <c r="X14" t="str">
        <f t="shared" si="4"/>
        <v/>
      </c>
      <c r="Y14" t="str">
        <f t="shared" si="5"/>
        <v/>
      </c>
    </row>
    <row r="15" spans="1:25" ht="14.5" x14ac:dyDescent="0.35">
      <c r="A15" s="3"/>
      <c r="B15" s="2"/>
      <c r="C15" s="2"/>
      <c r="D15" s="4"/>
      <c r="E15" s="2"/>
      <c r="F15" s="2"/>
      <c r="G15" s="3" t="str">
        <f t="shared" si="0"/>
        <v/>
      </c>
      <c r="H15" s="3"/>
      <c r="I15" s="3"/>
      <c r="J15" s="2"/>
      <c r="K15" s="2"/>
      <c r="L15" s="2"/>
      <c r="M15" s="4"/>
      <c r="N15" s="2"/>
      <c r="O15" s="5" t="str">
        <f t="shared" ca="1" si="1"/>
        <v/>
      </c>
      <c r="P15" s="6"/>
      <c r="V15" t="str">
        <f t="shared" si="2"/>
        <v/>
      </c>
      <c r="W15" t="str">
        <f t="shared" si="3"/>
        <v/>
      </c>
      <c r="X15" t="str">
        <f t="shared" si="4"/>
        <v/>
      </c>
      <c r="Y15" t="str">
        <f t="shared" si="5"/>
        <v/>
      </c>
    </row>
    <row r="16" spans="1:25" ht="14.5" x14ac:dyDescent="0.35">
      <c r="A16" s="3"/>
      <c r="B16" s="2"/>
      <c r="C16" s="2"/>
      <c r="D16" s="4"/>
      <c r="E16" s="2"/>
      <c r="F16" s="2"/>
      <c r="G16" s="3" t="str">
        <f t="shared" si="0"/>
        <v/>
      </c>
      <c r="H16" s="3"/>
      <c r="I16" s="3"/>
      <c r="J16" s="2"/>
      <c r="K16" s="2"/>
      <c r="L16" s="2"/>
      <c r="M16" s="4"/>
      <c r="N16" s="2"/>
      <c r="O16" s="5" t="str">
        <f t="shared" ca="1" si="1"/>
        <v/>
      </c>
      <c r="P16" s="6"/>
      <c r="V16" t="str">
        <f t="shared" si="2"/>
        <v/>
      </c>
      <c r="W16" t="str">
        <f t="shared" si="3"/>
        <v/>
      </c>
      <c r="X16" t="str">
        <f t="shared" si="4"/>
        <v/>
      </c>
      <c r="Y16" t="str">
        <f t="shared" si="5"/>
        <v/>
      </c>
    </row>
    <row r="17" spans="1:25" ht="14.5" x14ac:dyDescent="0.35">
      <c r="A17" s="3"/>
      <c r="B17" s="2"/>
      <c r="C17" s="2"/>
      <c r="D17" s="4"/>
      <c r="E17" s="2"/>
      <c r="F17" s="2"/>
      <c r="G17" s="3" t="str">
        <f t="shared" si="0"/>
        <v/>
      </c>
      <c r="H17" s="3"/>
      <c r="I17" s="3"/>
      <c r="J17" s="2"/>
      <c r="K17" s="2"/>
      <c r="L17" s="2"/>
      <c r="M17" s="4"/>
      <c r="N17" s="2"/>
      <c r="O17" s="5" t="str">
        <f t="shared" ca="1" si="1"/>
        <v/>
      </c>
      <c r="P17" s="6"/>
      <c r="V17" t="str">
        <f t="shared" si="2"/>
        <v/>
      </c>
      <c r="W17" t="str">
        <f t="shared" si="3"/>
        <v/>
      </c>
      <c r="X17" t="str">
        <f t="shared" si="4"/>
        <v/>
      </c>
      <c r="Y17" t="str">
        <f t="shared" si="5"/>
        <v/>
      </c>
    </row>
    <row r="18" spans="1:25" ht="14.5" x14ac:dyDescent="0.35">
      <c r="A18" s="3"/>
      <c r="B18" s="2"/>
      <c r="C18" s="2"/>
      <c r="D18" s="4"/>
      <c r="E18" s="2"/>
      <c r="F18" s="2"/>
      <c r="G18" s="3" t="str">
        <f t="shared" si="0"/>
        <v/>
      </c>
      <c r="H18" s="3"/>
      <c r="I18" s="3"/>
      <c r="J18" s="2"/>
      <c r="K18" s="2"/>
      <c r="L18" s="2"/>
      <c r="M18" s="4"/>
      <c r="N18" s="2"/>
      <c r="O18" s="5" t="str">
        <f t="shared" ca="1" si="1"/>
        <v/>
      </c>
      <c r="P18" s="6"/>
      <c r="V18" t="str">
        <f t="shared" si="2"/>
        <v/>
      </c>
      <c r="W18" t="str">
        <f t="shared" si="3"/>
        <v/>
      </c>
      <c r="X18" t="str">
        <f t="shared" si="4"/>
        <v/>
      </c>
      <c r="Y18" t="str">
        <f t="shared" si="5"/>
        <v/>
      </c>
    </row>
    <row r="19" spans="1:25" ht="14.5" x14ac:dyDescent="0.35">
      <c r="A19" s="3"/>
      <c r="B19" s="2"/>
      <c r="C19" s="2"/>
      <c r="D19" s="4"/>
      <c r="E19" s="2"/>
      <c r="F19" s="2"/>
      <c r="G19" s="3" t="str">
        <f t="shared" si="0"/>
        <v/>
      </c>
      <c r="H19" s="3"/>
      <c r="I19" s="3"/>
      <c r="J19" s="2"/>
      <c r="K19" s="2"/>
      <c r="L19" s="2"/>
      <c r="M19" s="4"/>
      <c r="N19" s="2"/>
      <c r="O19" s="5" t="str">
        <f t="shared" ca="1" si="1"/>
        <v/>
      </c>
      <c r="P19" s="6"/>
      <c r="V19" t="str">
        <f t="shared" si="2"/>
        <v/>
      </c>
      <c r="W19" t="str">
        <f t="shared" si="3"/>
        <v/>
      </c>
      <c r="X19" t="str">
        <f t="shared" si="4"/>
        <v/>
      </c>
      <c r="Y19" t="str">
        <f t="shared" si="5"/>
        <v/>
      </c>
    </row>
    <row r="20" spans="1:25" ht="14.5" x14ac:dyDescent="0.35">
      <c r="A20" s="3"/>
      <c r="B20" s="2"/>
      <c r="C20" s="2"/>
      <c r="D20" s="4"/>
      <c r="E20" s="2"/>
      <c r="F20" s="2"/>
      <c r="G20" s="3" t="str">
        <f t="shared" si="0"/>
        <v/>
      </c>
      <c r="H20" s="3"/>
      <c r="I20" s="3"/>
      <c r="J20" s="2"/>
      <c r="K20" s="2"/>
      <c r="L20" s="2"/>
      <c r="M20" s="4"/>
      <c r="N20" s="2"/>
      <c r="O20" s="5" t="str">
        <f t="shared" ca="1" si="1"/>
        <v/>
      </c>
      <c r="P20" s="6"/>
      <c r="V20" t="str">
        <f t="shared" si="2"/>
        <v/>
      </c>
      <c r="W20" t="str">
        <f t="shared" si="3"/>
        <v/>
      </c>
      <c r="X20" t="str">
        <f t="shared" si="4"/>
        <v/>
      </c>
      <c r="Y20" t="str">
        <f t="shared" si="5"/>
        <v/>
      </c>
    </row>
    <row r="21" spans="1:25" ht="14.5" x14ac:dyDescent="0.35">
      <c r="A21" s="3"/>
      <c r="B21" s="2"/>
      <c r="C21" s="2"/>
      <c r="D21" s="4"/>
      <c r="E21" s="2"/>
      <c r="F21" s="2"/>
      <c r="G21" s="3" t="str">
        <f t="shared" si="0"/>
        <v/>
      </c>
      <c r="H21" s="3"/>
      <c r="I21" s="3"/>
      <c r="J21" s="2"/>
      <c r="K21" s="2"/>
      <c r="L21" s="2"/>
      <c r="M21" s="4"/>
      <c r="N21" s="2"/>
      <c r="O21" s="5" t="str">
        <f t="shared" ca="1" si="1"/>
        <v/>
      </c>
      <c r="P21" s="6"/>
      <c r="V21" t="str">
        <f t="shared" si="2"/>
        <v/>
      </c>
      <c r="W21" t="str">
        <f t="shared" si="3"/>
        <v/>
      </c>
      <c r="X21" t="str">
        <f t="shared" si="4"/>
        <v/>
      </c>
      <c r="Y21" t="str">
        <f t="shared" si="5"/>
        <v/>
      </c>
    </row>
    <row r="22" spans="1:25" ht="14.5" x14ac:dyDescent="0.35">
      <c r="A22" s="3"/>
      <c r="B22" s="2"/>
      <c r="C22" s="2"/>
      <c r="D22" s="4"/>
      <c r="E22" s="2"/>
      <c r="F22" s="2"/>
      <c r="G22" s="3" t="str">
        <f t="shared" si="0"/>
        <v/>
      </c>
      <c r="H22" s="3"/>
      <c r="I22" s="3"/>
      <c r="J22" s="2"/>
      <c r="K22" s="2"/>
      <c r="L22" s="2"/>
      <c r="M22" s="4"/>
      <c r="N22" s="2"/>
      <c r="O22" s="5" t="str">
        <f t="shared" ca="1" si="1"/>
        <v/>
      </c>
      <c r="P22" s="6"/>
      <c r="V22" t="str">
        <f t="shared" si="2"/>
        <v/>
      </c>
      <c r="W22" t="str">
        <f t="shared" si="3"/>
        <v/>
      </c>
      <c r="X22" t="str">
        <f t="shared" si="4"/>
        <v/>
      </c>
      <c r="Y22" t="str">
        <f t="shared" si="5"/>
        <v/>
      </c>
    </row>
    <row r="23" spans="1:25" ht="14.5" x14ac:dyDescent="0.35">
      <c r="A23" s="3"/>
      <c r="B23" s="2"/>
      <c r="C23" s="2"/>
      <c r="D23" s="4"/>
      <c r="E23" s="2"/>
      <c r="F23" s="2"/>
      <c r="G23" s="3" t="str">
        <f t="shared" si="0"/>
        <v/>
      </c>
      <c r="H23" s="3"/>
      <c r="I23" s="3"/>
      <c r="J23" s="2"/>
      <c r="K23" s="2"/>
      <c r="L23" s="2"/>
      <c r="M23" s="4"/>
      <c r="N23" s="2"/>
      <c r="O23" s="5" t="str">
        <f t="shared" ca="1" si="1"/>
        <v/>
      </c>
      <c r="P23" s="6"/>
      <c r="V23" t="str">
        <f t="shared" si="2"/>
        <v/>
      </c>
      <c r="W23" t="str">
        <f t="shared" si="3"/>
        <v/>
      </c>
      <c r="X23" t="str">
        <f t="shared" si="4"/>
        <v/>
      </c>
      <c r="Y23" t="str">
        <f t="shared" si="5"/>
        <v/>
      </c>
    </row>
    <row r="24" spans="1:25" ht="14.5" x14ac:dyDescent="0.35">
      <c r="A24" s="3"/>
      <c r="B24" s="2"/>
      <c r="C24" s="2"/>
      <c r="D24" s="4"/>
      <c r="E24" s="2"/>
      <c r="F24" s="2"/>
      <c r="G24" s="3" t="str">
        <f t="shared" si="0"/>
        <v/>
      </c>
      <c r="H24" s="3"/>
      <c r="I24" s="3"/>
      <c r="J24" s="2"/>
      <c r="K24" s="2"/>
      <c r="L24" s="2"/>
      <c r="M24" s="4"/>
      <c r="N24" s="2"/>
      <c r="O24" s="5" t="str">
        <f t="shared" ca="1" si="1"/>
        <v/>
      </c>
      <c r="P24" s="6"/>
      <c r="V24" t="str">
        <f t="shared" si="2"/>
        <v/>
      </c>
      <c r="W24" t="str">
        <f t="shared" si="3"/>
        <v/>
      </c>
      <c r="X24" t="str">
        <f t="shared" si="4"/>
        <v/>
      </c>
      <c r="Y24" t="str">
        <f t="shared" si="5"/>
        <v/>
      </c>
    </row>
    <row r="25" spans="1:25" ht="14.5" x14ac:dyDescent="0.35">
      <c r="A25" s="3"/>
      <c r="B25" s="2"/>
      <c r="C25" s="2"/>
      <c r="D25" s="4"/>
      <c r="E25" s="2"/>
      <c r="F25" s="2"/>
      <c r="G25" s="3" t="str">
        <f t="shared" si="0"/>
        <v/>
      </c>
      <c r="H25" s="3"/>
      <c r="I25" s="3"/>
      <c r="J25" s="2"/>
      <c r="K25" s="2"/>
      <c r="L25" s="2"/>
      <c r="M25" s="4"/>
      <c r="N25" s="2"/>
      <c r="O25" s="5" t="str">
        <f t="shared" ca="1" si="1"/>
        <v/>
      </c>
      <c r="P25" s="6"/>
      <c r="V25" t="str">
        <f t="shared" si="2"/>
        <v/>
      </c>
      <c r="W25" t="str">
        <f t="shared" si="3"/>
        <v/>
      </c>
      <c r="X25" t="str">
        <f t="shared" si="4"/>
        <v/>
      </c>
      <c r="Y25" t="str">
        <f t="shared" si="5"/>
        <v/>
      </c>
    </row>
    <row r="26" spans="1:25" ht="14.5" x14ac:dyDescent="0.35">
      <c r="A26" s="3"/>
      <c r="B26" s="2"/>
      <c r="C26" s="2"/>
      <c r="D26" s="4"/>
      <c r="E26" s="2"/>
      <c r="F26" s="2"/>
      <c r="G26" s="3" t="str">
        <f t="shared" si="0"/>
        <v/>
      </c>
      <c r="H26" s="3"/>
      <c r="I26" s="3"/>
      <c r="J26" s="2"/>
      <c r="K26" s="2"/>
      <c r="L26" s="2"/>
      <c r="M26" s="4"/>
      <c r="N26" s="2"/>
      <c r="O26" s="5" t="str">
        <f t="shared" ca="1" si="1"/>
        <v/>
      </c>
      <c r="P26" s="6"/>
      <c r="V26" t="str">
        <f t="shared" si="2"/>
        <v/>
      </c>
      <c r="W26" t="str">
        <f t="shared" si="3"/>
        <v/>
      </c>
      <c r="X26" t="str">
        <f t="shared" si="4"/>
        <v/>
      </c>
      <c r="Y26" t="str">
        <f t="shared" si="5"/>
        <v/>
      </c>
    </row>
    <row r="27" spans="1:25" ht="14.5" x14ac:dyDescent="0.35">
      <c r="A27" s="3"/>
      <c r="B27" s="2"/>
      <c r="C27" s="2"/>
      <c r="D27" s="4"/>
      <c r="E27" s="2"/>
      <c r="F27" s="2"/>
      <c r="G27" s="3" t="str">
        <f t="shared" si="0"/>
        <v/>
      </c>
      <c r="H27" s="3"/>
      <c r="I27" s="3"/>
      <c r="J27" s="2"/>
      <c r="K27" s="2"/>
      <c r="L27" s="2"/>
      <c r="M27" s="4"/>
      <c r="N27" s="2"/>
      <c r="O27" s="5" t="str">
        <f t="shared" ca="1" si="1"/>
        <v/>
      </c>
      <c r="P27" s="6"/>
      <c r="V27" t="str">
        <f t="shared" si="2"/>
        <v/>
      </c>
      <c r="W27" t="str">
        <f t="shared" si="3"/>
        <v/>
      </c>
      <c r="X27" t="str">
        <f t="shared" si="4"/>
        <v/>
      </c>
      <c r="Y27" t="str">
        <f t="shared" si="5"/>
        <v/>
      </c>
    </row>
    <row r="28" spans="1:25" ht="14.5" x14ac:dyDescent="0.35">
      <c r="A28" s="3"/>
      <c r="B28" s="2"/>
      <c r="C28" s="2"/>
      <c r="D28" s="4"/>
      <c r="E28" s="2"/>
      <c r="F28" s="2"/>
      <c r="G28" s="3" t="str">
        <f t="shared" si="0"/>
        <v/>
      </c>
      <c r="H28" s="3"/>
      <c r="I28" s="3"/>
      <c r="J28" s="2"/>
      <c r="K28" s="2"/>
      <c r="L28" s="2"/>
      <c r="M28" s="4"/>
      <c r="N28" s="2"/>
      <c r="O28" s="5" t="str">
        <f t="shared" ca="1" si="1"/>
        <v/>
      </c>
      <c r="P28" s="6"/>
      <c r="V28" t="str">
        <f t="shared" si="2"/>
        <v/>
      </c>
      <c r="W28" t="str">
        <f t="shared" si="3"/>
        <v/>
      </c>
      <c r="X28" t="str">
        <f t="shared" si="4"/>
        <v/>
      </c>
      <c r="Y28" t="str">
        <f t="shared" si="5"/>
        <v/>
      </c>
    </row>
    <row r="29" spans="1:25" ht="14.5" x14ac:dyDescent="0.35">
      <c r="A29" s="3"/>
      <c r="B29" s="2"/>
      <c r="C29" s="2"/>
      <c r="D29" s="4"/>
      <c r="E29" s="2"/>
      <c r="F29" s="2"/>
      <c r="G29" s="3" t="str">
        <f t="shared" si="0"/>
        <v/>
      </c>
      <c r="H29" s="3"/>
      <c r="I29" s="3"/>
      <c r="J29" s="2"/>
      <c r="K29" s="2"/>
      <c r="L29" s="2"/>
      <c r="M29" s="4"/>
      <c r="N29" s="2"/>
      <c r="O29" s="5" t="str">
        <f t="shared" ca="1" si="1"/>
        <v/>
      </c>
      <c r="P29" s="6"/>
      <c r="V29" t="str">
        <f t="shared" si="2"/>
        <v/>
      </c>
      <c r="W29" t="str">
        <f t="shared" si="3"/>
        <v/>
      </c>
      <c r="X29" t="str">
        <f t="shared" si="4"/>
        <v/>
      </c>
      <c r="Y29" t="str">
        <f t="shared" si="5"/>
        <v/>
      </c>
    </row>
    <row r="30" spans="1:25" ht="14.5" x14ac:dyDescent="0.35">
      <c r="A30" s="3"/>
      <c r="B30" s="2"/>
      <c r="C30" s="2"/>
      <c r="D30" s="4"/>
      <c r="E30" s="2"/>
      <c r="F30" s="2"/>
      <c r="G30" s="3" t="str">
        <f t="shared" si="0"/>
        <v/>
      </c>
      <c r="H30" s="3"/>
      <c r="I30" s="3"/>
      <c r="J30" s="2"/>
      <c r="K30" s="2"/>
      <c r="L30" s="2"/>
      <c r="M30" s="4"/>
      <c r="N30" s="2"/>
      <c r="O30" s="5" t="str">
        <f t="shared" ca="1" si="1"/>
        <v/>
      </c>
      <c r="P30" s="6"/>
      <c r="V30" t="str">
        <f t="shared" si="2"/>
        <v/>
      </c>
      <c r="W30" t="str">
        <f t="shared" si="3"/>
        <v/>
      </c>
      <c r="X30" t="str">
        <f t="shared" si="4"/>
        <v/>
      </c>
      <c r="Y30" t="str">
        <f t="shared" si="5"/>
        <v/>
      </c>
    </row>
    <row r="31" spans="1:25" ht="14.5" x14ac:dyDescent="0.35">
      <c r="A31" s="3"/>
      <c r="B31" s="2"/>
      <c r="C31" s="2"/>
      <c r="D31" s="4"/>
      <c r="E31" s="2"/>
      <c r="F31" s="2"/>
      <c r="G31" s="3" t="str">
        <f t="shared" si="0"/>
        <v/>
      </c>
      <c r="H31" s="3"/>
      <c r="I31" s="3"/>
      <c r="J31" s="2"/>
      <c r="K31" s="2"/>
      <c r="L31" s="2"/>
      <c r="M31" s="4"/>
      <c r="N31" s="2"/>
      <c r="O31" s="5" t="str">
        <f t="shared" ca="1" si="1"/>
        <v/>
      </c>
      <c r="P31" s="6"/>
      <c r="V31" t="str">
        <f t="shared" si="2"/>
        <v/>
      </c>
      <c r="W31" t="str">
        <f t="shared" si="3"/>
        <v/>
      </c>
      <c r="X31" t="str">
        <f t="shared" si="4"/>
        <v/>
      </c>
      <c r="Y31" t="str">
        <f t="shared" si="5"/>
        <v/>
      </c>
    </row>
    <row r="32" spans="1:25" ht="14.5" x14ac:dyDescent="0.35">
      <c r="A32" s="3"/>
      <c r="B32" s="2"/>
      <c r="C32" s="2"/>
      <c r="D32" s="4"/>
      <c r="E32" s="2"/>
      <c r="F32" s="2"/>
      <c r="G32" s="3" t="str">
        <f t="shared" si="0"/>
        <v/>
      </c>
      <c r="H32" s="3"/>
      <c r="I32" s="3"/>
      <c r="J32" s="2"/>
      <c r="K32" s="2"/>
      <c r="L32" s="2"/>
      <c r="M32" s="4"/>
      <c r="N32" s="2"/>
      <c r="O32" s="5" t="str">
        <f t="shared" ca="1" si="1"/>
        <v/>
      </c>
      <c r="P32" s="6"/>
      <c r="V32" t="str">
        <f t="shared" si="2"/>
        <v/>
      </c>
      <c r="W32" t="str">
        <f t="shared" si="3"/>
        <v/>
      </c>
      <c r="X32" t="str">
        <f t="shared" si="4"/>
        <v/>
      </c>
      <c r="Y32" t="str">
        <f t="shared" si="5"/>
        <v/>
      </c>
    </row>
    <row r="33" spans="1:25" ht="14.5" x14ac:dyDescent="0.35">
      <c r="A33" s="3"/>
      <c r="B33" s="2"/>
      <c r="C33" s="2"/>
      <c r="D33" s="4"/>
      <c r="E33" s="2"/>
      <c r="F33" s="2"/>
      <c r="G33" s="3" t="str">
        <f t="shared" si="0"/>
        <v/>
      </c>
      <c r="H33" s="3"/>
      <c r="I33" s="3"/>
      <c r="J33" s="2"/>
      <c r="K33" s="2"/>
      <c r="L33" s="2"/>
      <c r="M33" s="4"/>
      <c r="N33" s="2"/>
      <c r="O33" s="5" t="str">
        <f t="shared" ca="1" si="1"/>
        <v/>
      </c>
      <c r="P33" s="6"/>
      <c r="V33" t="str">
        <f t="shared" si="2"/>
        <v/>
      </c>
      <c r="W33" t="str">
        <f t="shared" si="3"/>
        <v/>
      </c>
      <c r="X33" t="str">
        <f t="shared" si="4"/>
        <v/>
      </c>
      <c r="Y33" t="str">
        <f t="shared" si="5"/>
        <v/>
      </c>
    </row>
    <row r="34" spans="1:25" ht="14.5" x14ac:dyDescent="0.35">
      <c r="A34" s="3"/>
      <c r="B34" s="2"/>
      <c r="C34" s="2"/>
      <c r="D34" s="4"/>
      <c r="E34" s="2"/>
      <c r="F34" s="2"/>
      <c r="G34" s="3" t="str">
        <f t="shared" si="0"/>
        <v/>
      </c>
      <c r="H34" s="3"/>
      <c r="I34" s="3"/>
      <c r="J34" s="2"/>
      <c r="K34" s="2"/>
      <c r="L34" s="2"/>
      <c r="M34" s="4"/>
      <c r="N34" s="2"/>
      <c r="O34" s="5" t="str">
        <f t="shared" ca="1" si="1"/>
        <v/>
      </c>
      <c r="P34" s="6"/>
      <c r="V34" t="str">
        <f t="shared" si="2"/>
        <v/>
      </c>
      <c r="W34" t="str">
        <f t="shared" si="3"/>
        <v/>
      </c>
      <c r="X34" t="str">
        <f t="shared" si="4"/>
        <v/>
      </c>
      <c r="Y34" t="str">
        <f t="shared" si="5"/>
        <v/>
      </c>
    </row>
    <row r="35" spans="1:25" ht="14.5" x14ac:dyDescent="0.35">
      <c r="A35" s="3"/>
      <c r="B35" s="2"/>
      <c r="C35" s="2"/>
      <c r="D35" s="4"/>
      <c r="E35" s="2"/>
      <c r="F35" s="2"/>
      <c r="G35" s="3" t="str">
        <f t="shared" si="0"/>
        <v/>
      </c>
      <c r="H35" s="3"/>
      <c r="I35" s="3"/>
      <c r="J35" s="2"/>
      <c r="K35" s="2"/>
      <c r="L35" s="2"/>
      <c r="M35" s="4"/>
      <c r="N35" s="2"/>
      <c r="O35" s="5" t="str">
        <f t="shared" ca="1" si="1"/>
        <v/>
      </c>
      <c r="P35" s="6"/>
      <c r="V35" t="str">
        <f t="shared" si="2"/>
        <v/>
      </c>
      <c r="W35" t="str">
        <f t="shared" si="3"/>
        <v/>
      </c>
      <c r="X35" t="str">
        <f t="shared" si="4"/>
        <v/>
      </c>
      <c r="Y35" t="str">
        <f t="shared" si="5"/>
        <v/>
      </c>
    </row>
    <row r="36" spans="1:25" ht="14.5" x14ac:dyDescent="0.35">
      <c r="A36" s="3"/>
      <c r="B36" s="2"/>
      <c r="C36" s="2"/>
      <c r="D36" s="4"/>
      <c r="E36" s="2"/>
      <c r="F36" s="2"/>
      <c r="G36" s="3" t="str">
        <f t="shared" si="0"/>
        <v/>
      </c>
      <c r="H36" s="3"/>
      <c r="I36" s="3"/>
      <c r="J36" s="2"/>
      <c r="K36" s="2"/>
      <c r="L36" s="2"/>
      <c r="M36" s="4"/>
      <c r="N36" s="2"/>
      <c r="O36" s="5" t="str">
        <f t="shared" ca="1" si="1"/>
        <v/>
      </c>
      <c r="P36" s="6"/>
      <c r="V36" t="str">
        <f t="shared" si="2"/>
        <v/>
      </c>
      <c r="W36" t="str">
        <f t="shared" si="3"/>
        <v/>
      </c>
      <c r="X36" t="str">
        <f t="shared" si="4"/>
        <v/>
      </c>
      <c r="Y36" t="str">
        <f t="shared" si="5"/>
        <v/>
      </c>
    </row>
    <row r="37" spans="1:25" ht="14.5" x14ac:dyDescent="0.35">
      <c r="A37" s="3"/>
      <c r="B37" s="2"/>
      <c r="C37" s="2"/>
      <c r="D37" s="4"/>
      <c r="E37" s="2"/>
      <c r="F37" s="2"/>
      <c r="G37" s="3" t="str">
        <f t="shared" si="0"/>
        <v/>
      </c>
      <c r="H37" s="3"/>
      <c r="I37" s="3"/>
      <c r="J37" s="2"/>
      <c r="K37" s="2"/>
      <c r="L37" s="2"/>
      <c r="M37" s="4"/>
      <c r="N37" s="2"/>
      <c r="O37" s="5" t="str">
        <f t="shared" ca="1" si="1"/>
        <v/>
      </c>
      <c r="P37" s="6"/>
      <c r="V37" t="str">
        <f t="shared" si="2"/>
        <v/>
      </c>
      <c r="W37" t="str">
        <f t="shared" si="3"/>
        <v/>
      </c>
      <c r="X37" t="str">
        <f t="shared" si="4"/>
        <v/>
      </c>
      <c r="Y37" t="str">
        <f t="shared" si="5"/>
        <v/>
      </c>
    </row>
    <row r="38" spans="1:25" ht="14.5" x14ac:dyDescent="0.35">
      <c r="A38" s="3"/>
      <c r="B38" s="2"/>
      <c r="C38" s="2"/>
      <c r="D38" s="4"/>
      <c r="E38" s="2"/>
      <c r="F38" s="2"/>
      <c r="G38" s="3" t="str">
        <f t="shared" si="0"/>
        <v/>
      </c>
      <c r="H38" s="3"/>
      <c r="I38" s="3"/>
      <c r="J38" s="2"/>
      <c r="K38" s="2"/>
      <c r="L38" s="2"/>
      <c r="M38" s="4"/>
      <c r="N38" s="2"/>
      <c r="O38" s="5" t="str">
        <f t="shared" ca="1" si="1"/>
        <v/>
      </c>
      <c r="P38" s="6"/>
      <c r="V38" t="str">
        <f t="shared" si="2"/>
        <v/>
      </c>
      <c r="W38" t="str">
        <f t="shared" si="3"/>
        <v/>
      </c>
      <c r="X38" t="str">
        <f t="shared" si="4"/>
        <v/>
      </c>
      <c r="Y38" t="str">
        <f t="shared" si="5"/>
        <v/>
      </c>
    </row>
    <row r="39" spans="1:25" ht="14.5" x14ac:dyDescent="0.35">
      <c r="A39" s="3"/>
      <c r="B39" s="2"/>
      <c r="C39" s="2"/>
      <c r="D39" s="4"/>
      <c r="E39" s="2"/>
      <c r="F39" s="2"/>
      <c r="G39" s="3" t="str">
        <f t="shared" si="0"/>
        <v/>
      </c>
      <c r="H39" s="3"/>
      <c r="I39" s="3"/>
      <c r="J39" s="2"/>
      <c r="K39" s="2"/>
      <c r="L39" s="2"/>
      <c r="M39" s="4"/>
      <c r="N39" s="2"/>
      <c r="O39" s="5" t="str">
        <f t="shared" ca="1" si="1"/>
        <v/>
      </c>
      <c r="P39" s="6"/>
      <c r="V39" t="str">
        <f t="shared" si="2"/>
        <v/>
      </c>
      <c r="W39" t="str">
        <f t="shared" si="3"/>
        <v/>
      </c>
      <c r="X39" t="str">
        <f t="shared" si="4"/>
        <v/>
      </c>
      <c r="Y39" t="str">
        <f t="shared" si="5"/>
        <v/>
      </c>
    </row>
    <row r="40" spans="1:25" ht="14.5" x14ac:dyDescent="0.35">
      <c r="A40" s="3"/>
      <c r="B40" s="2"/>
      <c r="C40" s="2"/>
      <c r="D40" s="4"/>
      <c r="E40" s="2"/>
      <c r="F40" s="2"/>
      <c r="G40" s="3" t="str">
        <f t="shared" si="0"/>
        <v/>
      </c>
      <c r="H40" s="3"/>
      <c r="I40" s="3"/>
      <c r="J40" s="2"/>
      <c r="K40" s="2"/>
      <c r="L40" s="2"/>
      <c r="M40" s="4"/>
      <c r="N40" s="2"/>
      <c r="O40" s="5" t="str">
        <f t="shared" ca="1" si="1"/>
        <v/>
      </c>
      <c r="P40" s="6"/>
      <c r="V40" t="str">
        <f t="shared" si="2"/>
        <v/>
      </c>
      <c r="W40" t="str">
        <f t="shared" si="3"/>
        <v/>
      </c>
      <c r="X40" t="str">
        <f t="shared" si="4"/>
        <v/>
      </c>
      <c r="Y40" t="str">
        <f t="shared" si="5"/>
        <v/>
      </c>
    </row>
    <row r="41" spans="1:25" ht="14.5" x14ac:dyDescent="0.35">
      <c r="A41" s="3"/>
      <c r="B41" s="2"/>
      <c r="C41" s="2"/>
      <c r="D41" s="4"/>
      <c r="E41" s="2"/>
      <c r="F41" s="2"/>
      <c r="G41" s="3" t="str">
        <f t="shared" si="0"/>
        <v/>
      </c>
      <c r="H41" s="3"/>
      <c r="I41" s="3"/>
      <c r="J41" s="2"/>
      <c r="K41" s="2"/>
      <c r="L41" s="2"/>
      <c r="M41" s="4"/>
      <c r="N41" s="2"/>
      <c r="O41" s="5" t="str">
        <f t="shared" ca="1" si="1"/>
        <v/>
      </c>
      <c r="P41" s="6"/>
      <c r="V41" t="str">
        <f t="shared" si="2"/>
        <v/>
      </c>
      <c r="W41" t="str">
        <f t="shared" si="3"/>
        <v/>
      </c>
      <c r="X41" t="str">
        <f t="shared" si="4"/>
        <v/>
      </c>
      <c r="Y41" t="str">
        <f t="shared" si="5"/>
        <v/>
      </c>
    </row>
    <row r="42" spans="1:25" ht="14.5" x14ac:dyDescent="0.35">
      <c r="A42" s="3"/>
      <c r="B42" s="2"/>
      <c r="C42" s="2"/>
      <c r="D42" s="4"/>
      <c r="E42" s="2"/>
      <c r="F42" s="2"/>
      <c r="G42" s="3" t="str">
        <f t="shared" si="0"/>
        <v/>
      </c>
      <c r="H42" s="3"/>
      <c r="I42" s="3"/>
      <c r="J42" s="2"/>
      <c r="K42" s="2"/>
      <c r="L42" s="2"/>
      <c r="M42" s="4"/>
      <c r="N42" s="2"/>
      <c r="O42" s="5" t="str">
        <f t="shared" ca="1" si="1"/>
        <v/>
      </c>
      <c r="P42" s="6"/>
      <c r="V42" t="str">
        <f t="shared" si="2"/>
        <v/>
      </c>
      <c r="W42" t="str">
        <f t="shared" si="3"/>
        <v/>
      </c>
      <c r="X42" t="str">
        <f t="shared" si="4"/>
        <v/>
      </c>
      <c r="Y42" t="str">
        <f t="shared" si="5"/>
        <v/>
      </c>
    </row>
    <row r="43" spans="1:25" ht="14.5" x14ac:dyDescent="0.35">
      <c r="A43" s="3"/>
      <c r="B43" s="2"/>
      <c r="C43" s="2"/>
      <c r="D43" s="4"/>
      <c r="E43" s="2"/>
      <c r="F43" s="2"/>
      <c r="G43" s="3" t="str">
        <f t="shared" si="0"/>
        <v/>
      </c>
      <c r="H43" s="3"/>
      <c r="I43" s="3"/>
      <c r="J43" s="2"/>
      <c r="K43" s="2"/>
      <c r="L43" s="2"/>
      <c r="M43" s="4"/>
      <c r="N43" s="2"/>
      <c r="O43" s="5" t="str">
        <f t="shared" ca="1" si="1"/>
        <v/>
      </c>
      <c r="P43" s="6"/>
      <c r="V43" t="str">
        <f t="shared" si="2"/>
        <v/>
      </c>
      <c r="W43" t="str">
        <f t="shared" si="3"/>
        <v/>
      </c>
      <c r="X43" t="str">
        <f t="shared" si="4"/>
        <v/>
      </c>
      <c r="Y43" t="str">
        <f t="shared" si="5"/>
        <v/>
      </c>
    </row>
    <row r="44" spans="1:25" ht="14.5" x14ac:dyDescent="0.35">
      <c r="A44" s="3"/>
      <c r="B44" s="2"/>
      <c r="C44" s="2"/>
      <c r="D44" s="4"/>
      <c r="E44" s="2"/>
      <c r="F44" s="2"/>
      <c r="G44" s="3" t="str">
        <f t="shared" si="0"/>
        <v/>
      </c>
      <c r="H44" s="3"/>
      <c r="I44" s="3"/>
      <c r="J44" s="2"/>
      <c r="K44" s="2"/>
      <c r="L44" s="2"/>
      <c r="M44" s="4"/>
      <c r="N44" s="2"/>
      <c r="O44" s="5" t="str">
        <f t="shared" ca="1" si="1"/>
        <v/>
      </c>
      <c r="P44" s="6"/>
      <c r="V44" t="str">
        <f t="shared" si="2"/>
        <v/>
      </c>
      <c r="W44" t="str">
        <f t="shared" si="3"/>
        <v/>
      </c>
      <c r="X44" t="str">
        <f t="shared" si="4"/>
        <v/>
      </c>
      <c r="Y44" t="str">
        <f t="shared" si="5"/>
        <v/>
      </c>
    </row>
    <row r="45" spans="1:25" ht="14.5" x14ac:dyDescent="0.35">
      <c r="A45" s="3"/>
      <c r="B45" s="2"/>
      <c r="C45" s="2"/>
      <c r="D45" s="4"/>
      <c r="E45" s="2"/>
      <c r="F45" s="2"/>
      <c r="G45" s="3" t="str">
        <f t="shared" si="0"/>
        <v/>
      </c>
      <c r="H45" s="3"/>
      <c r="I45" s="3"/>
      <c r="J45" s="2"/>
      <c r="K45" s="2"/>
      <c r="L45" s="2"/>
      <c r="M45" s="4"/>
      <c r="N45" s="2"/>
      <c r="O45" s="5" t="str">
        <f t="shared" ca="1" si="1"/>
        <v/>
      </c>
      <c r="P45" s="6"/>
      <c r="V45" t="str">
        <f t="shared" si="2"/>
        <v/>
      </c>
      <c r="W45" t="str">
        <f t="shared" si="3"/>
        <v/>
      </c>
      <c r="X45" t="str">
        <f t="shared" si="4"/>
        <v/>
      </c>
      <c r="Y45" t="str">
        <f t="shared" si="5"/>
        <v/>
      </c>
    </row>
    <row r="46" spans="1:25" ht="14.5" x14ac:dyDescent="0.35">
      <c r="A46" s="3"/>
      <c r="B46" s="2"/>
      <c r="C46" s="2"/>
      <c r="D46" s="4"/>
      <c r="E46" s="2"/>
      <c r="F46" s="2"/>
      <c r="G46" s="3" t="str">
        <f t="shared" si="0"/>
        <v/>
      </c>
      <c r="H46" s="3"/>
      <c r="I46" s="3"/>
      <c r="J46" s="2"/>
      <c r="K46" s="2"/>
      <c r="L46" s="2"/>
      <c r="M46" s="4"/>
      <c r="N46" s="2"/>
      <c r="O46" s="5" t="str">
        <f t="shared" ca="1" si="1"/>
        <v/>
      </c>
      <c r="P46" s="6"/>
      <c r="V46" t="str">
        <f t="shared" si="2"/>
        <v/>
      </c>
      <c r="W46" t="str">
        <f t="shared" si="3"/>
        <v/>
      </c>
      <c r="X46" t="str">
        <f t="shared" si="4"/>
        <v/>
      </c>
      <c r="Y46" t="str">
        <f t="shared" si="5"/>
        <v/>
      </c>
    </row>
    <row r="47" spans="1:25" ht="14.5" x14ac:dyDescent="0.35">
      <c r="A47" s="3"/>
      <c r="B47" s="2"/>
      <c r="C47" s="2"/>
      <c r="D47" s="4"/>
      <c r="E47" s="2"/>
      <c r="F47" s="2"/>
      <c r="G47" s="3" t="str">
        <f t="shared" si="0"/>
        <v/>
      </c>
      <c r="H47" s="3"/>
      <c r="I47" s="3"/>
      <c r="J47" s="2"/>
      <c r="K47" s="2"/>
      <c r="L47" s="2"/>
      <c r="M47" s="4"/>
      <c r="N47" s="2"/>
      <c r="O47" s="5" t="str">
        <f t="shared" ca="1" si="1"/>
        <v/>
      </c>
      <c r="P47" s="6"/>
      <c r="V47" t="str">
        <f t="shared" si="2"/>
        <v/>
      </c>
      <c r="W47" t="str">
        <f t="shared" si="3"/>
        <v/>
      </c>
      <c r="X47" t="str">
        <f t="shared" si="4"/>
        <v/>
      </c>
      <c r="Y47" t="str">
        <f t="shared" si="5"/>
        <v/>
      </c>
    </row>
    <row r="48" spans="1:25" ht="14.5" x14ac:dyDescent="0.35">
      <c r="A48" s="3"/>
      <c r="B48" s="2"/>
      <c r="C48" s="2"/>
      <c r="D48" s="4"/>
      <c r="E48" s="2"/>
      <c r="F48" s="2"/>
      <c r="G48" s="3" t="str">
        <f t="shared" si="0"/>
        <v/>
      </c>
      <c r="H48" s="3"/>
      <c r="I48" s="3"/>
      <c r="J48" s="2"/>
      <c r="K48" s="2"/>
      <c r="L48" s="2"/>
      <c r="M48" s="4"/>
      <c r="N48" s="2"/>
      <c r="O48" s="5" t="str">
        <f t="shared" ca="1" si="1"/>
        <v/>
      </c>
      <c r="P48" s="6"/>
      <c r="V48" t="str">
        <f t="shared" si="2"/>
        <v/>
      </c>
      <c r="W48" t="str">
        <f t="shared" si="3"/>
        <v/>
      </c>
      <c r="X48" t="str">
        <f t="shared" si="4"/>
        <v/>
      </c>
      <c r="Y48" t="str">
        <f t="shared" si="5"/>
        <v/>
      </c>
    </row>
    <row r="49" spans="1:25" ht="14.5" x14ac:dyDescent="0.35">
      <c r="A49" s="3"/>
      <c r="B49" s="2"/>
      <c r="C49" s="2"/>
      <c r="D49" s="4"/>
      <c r="E49" s="2"/>
      <c r="F49" s="2"/>
      <c r="G49" s="3" t="str">
        <f t="shared" si="0"/>
        <v/>
      </c>
      <c r="H49" s="3"/>
      <c r="I49" s="3"/>
      <c r="J49" s="2"/>
      <c r="K49" s="2"/>
      <c r="L49" s="2"/>
      <c r="M49" s="4"/>
      <c r="N49" s="2"/>
      <c r="O49" s="5" t="str">
        <f t="shared" ca="1" si="1"/>
        <v/>
      </c>
      <c r="P49" s="6"/>
      <c r="V49" t="str">
        <f t="shared" si="2"/>
        <v/>
      </c>
      <c r="W49" t="str">
        <f t="shared" si="3"/>
        <v/>
      </c>
      <c r="X49" t="str">
        <f t="shared" si="4"/>
        <v/>
      </c>
      <c r="Y49" t="str">
        <f t="shared" si="5"/>
        <v/>
      </c>
    </row>
    <row r="50" spans="1:25" ht="14.5" x14ac:dyDescent="0.35">
      <c r="A50" s="3"/>
      <c r="B50" s="2"/>
      <c r="C50" s="2"/>
      <c r="D50" s="4"/>
      <c r="E50" s="2"/>
      <c r="F50" s="2"/>
      <c r="G50" s="3" t="str">
        <f t="shared" si="0"/>
        <v/>
      </c>
      <c r="H50" s="3"/>
      <c r="I50" s="3"/>
      <c r="J50" s="2"/>
      <c r="K50" s="2"/>
      <c r="L50" s="2"/>
      <c r="M50" s="4"/>
      <c r="N50" s="2"/>
      <c r="O50" s="5" t="str">
        <f t="shared" ca="1" si="1"/>
        <v/>
      </c>
      <c r="P50" s="6"/>
      <c r="V50" t="str">
        <f t="shared" si="2"/>
        <v/>
      </c>
      <c r="W50" t="str">
        <f t="shared" si="3"/>
        <v/>
      </c>
      <c r="X50" t="str">
        <f t="shared" si="4"/>
        <v/>
      </c>
      <c r="Y50" t="str">
        <f t="shared" si="5"/>
        <v/>
      </c>
    </row>
    <row r="51" spans="1:25" ht="14.5" x14ac:dyDescent="0.35">
      <c r="A51" s="3"/>
      <c r="B51" s="2"/>
      <c r="C51" s="2"/>
      <c r="D51" s="4"/>
      <c r="E51" s="2"/>
      <c r="F51" s="2"/>
      <c r="G51" s="3" t="str">
        <f t="shared" si="0"/>
        <v/>
      </c>
      <c r="H51" s="3"/>
      <c r="I51" s="3"/>
      <c r="J51" s="2"/>
      <c r="K51" s="2"/>
      <c r="L51" s="2"/>
      <c r="M51" s="4"/>
      <c r="N51" s="2"/>
      <c r="O51" s="5" t="str">
        <f t="shared" ca="1" si="1"/>
        <v/>
      </c>
      <c r="P51" s="6"/>
      <c r="V51" t="str">
        <f t="shared" si="2"/>
        <v/>
      </c>
      <c r="W51" t="str">
        <f t="shared" si="3"/>
        <v/>
      </c>
      <c r="X51" t="str">
        <f t="shared" si="4"/>
        <v/>
      </c>
      <c r="Y51" t="str">
        <f t="shared" si="5"/>
        <v/>
      </c>
    </row>
    <row r="52" spans="1:25" ht="14.5" x14ac:dyDescent="0.35">
      <c r="A52" s="3"/>
      <c r="B52" s="2"/>
      <c r="C52" s="2"/>
      <c r="D52" s="4"/>
      <c r="E52" s="2"/>
      <c r="F52" s="2"/>
      <c r="G52" s="3" t="str">
        <f t="shared" si="0"/>
        <v/>
      </c>
      <c r="H52" s="3"/>
      <c r="I52" s="3"/>
      <c r="J52" s="2"/>
      <c r="K52" s="2"/>
      <c r="L52" s="2"/>
      <c r="M52" s="4"/>
      <c r="N52" s="2"/>
      <c r="O52" s="5" t="str">
        <f t="shared" ca="1" si="1"/>
        <v/>
      </c>
      <c r="P52" s="6"/>
      <c r="V52" t="str">
        <f t="shared" si="2"/>
        <v/>
      </c>
      <c r="W52" t="str">
        <f t="shared" si="3"/>
        <v/>
      </c>
      <c r="X52" t="str">
        <f t="shared" si="4"/>
        <v/>
      </c>
      <c r="Y52" t="str">
        <f t="shared" si="5"/>
        <v/>
      </c>
    </row>
    <row r="53" spans="1:25" ht="14.5" x14ac:dyDescent="0.35">
      <c r="A53" s="3"/>
      <c r="B53" s="2"/>
      <c r="C53" s="2"/>
      <c r="D53" s="4"/>
      <c r="E53" s="2"/>
      <c r="F53" s="2"/>
      <c r="G53" s="3" t="str">
        <f t="shared" si="0"/>
        <v/>
      </c>
      <c r="H53" s="3"/>
      <c r="I53" s="3"/>
      <c r="J53" s="2"/>
      <c r="K53" s="2"/>
      <c r="L53" s="2"/>
      <c r="M53" s="4"/>
      <c r="N53" s="2"/>
      <c r="O53" s="5" t="str">
        <f t="shared" ca="1" si="1"/>
        <v/>
      </c>
      <c r="P53" s="6"/>
      <c r="V53" t="str">
        <f t="shared" si="2"/>
        <v/>
      </c>
      <c r="W53" t="str">
        <f t="shared" si="3"/>
        <v/>
      </c>
      <c r="X53" t="str">
        <f t="shared" si="4"/>
        <v/>
      </c>
      <c r="Y53" t="str">
        <f t="shared" si="5"/>
        <v/>
      </c>
    </row>
    <row r="54" spans="1:25" ht="14.5" x14ac:dyDescent="0.35">
      <c r="A54" s="3"/>
      <c r="B54" s="2"/>
      <c r="C54" s="2"/>
      <c r="D54" s="4"/>
      <c r="E54" s="2"/>
      <c r="F54" s="2"/>
      <c r="G54" s="3" t="str">
        <f t="shared" si="0"/>
        <v/>
      </c>
      <c r="H54" s="3"/>
      <c r="I54" s="3"/>
      <c r="J54" s="2"/>
      <c r="K54" s="2"/>
      <c r="L54" s="2"/>
      <c r="M54" s="4"/>
      <c r="N54" s="2"/>
      <c r="O54" s="5" t="str">
        <f t="shared" ca="1" si="1"/>
        <v/>
      </c>
      <c r="P54" s="6"/>
      <c r="V54" t="str">
        <f t="shared" si="2"/>
        <v/>
      </c>
      <c r="W54" t="str">
        <f t="shared" si="3"/>
        <v/>
      </c>
      <c r="X54" t="str">
        <f t="shared" si="4"/>
        <v/>
      </c>
      <c r="Y54" t="str">
        <f t="shared" si="5"/>
        <v/>
      </c>
    </row>
    <row r="55" spans="1:25" ht="14.5" x14ac:dyDescent="0.35">
      <c r="A55" s="3"/>
      <c r="B55" s="2"/>
      <c r="C55" s="2"/>
      <c r="D55" s="4"/>
      <c r="E55" s="2"/>
      <c r="F55" s="2"/>
      <c r="G55" s="3" t="str">
        <f t="shared" si="0"/>
        <v/>
      </c>
      <c r="H55" s="3"/>
      <c r="I55" s="3"/>
      <c r="J55" s="2"/>
      <c r="K55" s="2"/>
      <c r="L55" s="2"/>
      <c r="M55" s="4"/>
      <c r="N55" s="2"/>
      <c r="O55" s="5" t="str">
        <f t="shared" ca="1" si="1"/>
        <v/>
      </c>
      <c r="P55" s="6"/>
      <c r="V55" t="str">
        <f t="shared" si="2"/>
        <v/>
      </c>
      <c r="W55" t="str">
        <f t="shared" si="3"/>
        <v/>
      </c>
      <c r="X55" t="str">
        <f t="shared" si="4"/>
        <v/>
      </c>
      <c r="Y55" t="str">
        <f t="shared" si="5"/>
        <v/>
      </c>
    </row>
    <row r="56" spans="1:25" ht="14.5" x14ac:dyDescent="0.35">
      <c r="A56" s="3"/>
      <c r="B56" s="2"/>
      <c r="C56" s="2"/>
      <c r="D56" s="4"/>
      <c r="E56" s="2"/>
      <c r="F56" s="2"/>
      <c r="G56" s="3" t="str">
        <f t="shared" si="0"/>
        <v/>
      </c>
      <c r="H56" s="3"/>
      <c r="I56" s="3"/>
      <c r="J56" s="2"/>
      <c r="K56" s="2"/>
      <c r="L56" s="2"/>
      <c r="M56" s="4"/>
      <c r="N56" s="2"/>
      <c r="O56" s="5" t="str">
        <f t="shared" ca="1" si="1"/>
        <v/>
      </c>
      <c r="P56" s="6"/>
      <c r="V56" t="str">
        <f t="shared" si="2"/>
        <v/>
      </c>
      <c r="W56" t="str">
        <f t="shared" si="3"/>
        <v/>
      </c>
      <c r="X56" t="str">
        <f t="shared" si="4"/>
        <v/>
      </c>
      <c r="Y56" t="str">
        <f t="shared" si="5"/>
        <v/>
      </c>
    </row>
    <row r="57" spans="1:25" ht="14.5" x14ac:dyDescent="0.35">
      <c r="A57" s="3"/>
      <c r="B57" s="2"/>
      <c r="C57" s="2"/>
      <c r="D57" s="4"/>
      <c r="E57" s="2"/>
      <c r="F57" s="2"/>
      <c r="G57" s="3" t="str">
        <f t="shared" si="0"/>
        <v/>
      </c>
      <c r="H57" s="3"/>
      <c r="I57" s="3"/>
      <c r="J57" s="2"/>
      <c r="K57" s="2"/>
      <c r="L57" s="2"/>
      <c r="M57" s="4"/>
      <c r="N57" s="2"/>
      <c r="O57" s="5" t="str">
        <f t="shared" ca="1" si="1"/>
        <v/>
      </c>
      <c r="P57" s="6"/>
      <c r="V57" t="str">
        <f t="shared" si="2"/>
        <v/>
      </c>
      <c r="W57" t="str">
        <f t="shared" si="3"/>
        <v/>
      </c>
      <c r="X57" t="str">
        <f t="shared" si="4"/>
        <v/>
      </c>
      <c r="Y57" t="str">
        <f t="shared" si="5"/>
        <v/>
      </c>
    </row>
    <row r="58" spans="1:25" ht="14.5" x14ac:dyDescent="0.35">
      <c r="A58" s="3"/>
      <c r="B58" s="2"/>
      <c r="C58" s="2"/>
      <c r="D58" s="4"/>
      <c r="E58" s="2"/>
      <c r="F58" s="2"/>
      <c r="G58" s="3" t="str">
        <f t="shared" si="0"/>
        <v/>
      </c>
      <c r="H58" s="3"/>
      <c r="I58" s="3"/>
      <c r="J58" s="2"/>
      <c r="K58" s="2"/>
      <c r="L58" s="2"/>
      <c r="M58" s="4"/>
      <c r="N58" s="2"/>
      <c r="O58" s="5" t="str">
        <f t="shared" ca="1" si="1"/>
        <v/>
      </c>
      <c r="P58" s="6"/>
      <c r="V58" t="str">
        <f t="shared" si="2"/>
        <v/>
      </c>
      <c r="W58" t="str">
        <f t="shared" si="3"/>
        <v/>
      </c>
      <c r="X58" t="str">
        <f t="shared" si="4"/>
        <v/>
      </c>
      <c r="Y58" t="str">
        <f t="shared" si="5"/>
        <v/>
      </c>
    </row>
    <row r="59" spans="1:25" ht="14.5" x14ac:dyDescent="0.35">
      <c r="A59" s="3"/>
      <c r="B59" s="2"/>
      <c r="C59" s="2"/>
      <c r="D59" s="4"/>
      <c r="E59" s="2"/>
      <c r="F59" s="2"/>
      <c r="G59" s="3" t="str">
        <f t="shared" si="0"/>
        <v/>
      </c>
      <c r="H59" s="3"/>
      <c r="I59" s="3"/>
      <c r="J59" s="2"/>
      <c r="K59" s="2"/>
      <c r="L59" s="2"/>
      <c r="M59" s="4"/>
      <c r="N59" s="2"/>
      <c r="O59" s="5" t="str">
        <f t="shared" ca="1" si="1"/>
        <v/>
      </c>
      <c r="P59" s="6"/>
      <c r="V59" t="str">
        <f t="shared" si="2"/>
        <v/>
      </c>
      <c r="W59" t="str">
        <f t="shared" si="3"/>
        <v/>
      </c>
      <c r="X59" t="str">
        <f t="shared" si="4"/>
        <v/>
      </c>
      <c r="Y59" t="str">
        <f t="shared" si="5"/>
        <v/>
      </c>
    </row>
    <row r="60" spans="1:25" ht="14.5" x14ac:dyDescent="0.35">
      <c r="A60" s="3"/>
      <c r="B60" s="2"/>
      <c r="C60" s="2"/>
      <c r="D60" s="4"/>
      <c r="E60" s="2"/>
      <c r="F60" s="2"/>
      <c r="G60" s="3" t="str">
        <f t="shared" si="0"/>
        <v/>
      </c>
      <c r="H60" s="3"/>
      <c r="I60" s="3"/>
      <c r="J60" s="2"/>
      <c r="K60" s="2"/>
      <c r="L60" s="2"/>
      <c r="M60" s="4"/>
      <c r="N60" s="2"/>
      <c r="O60" s="5" t="str">
        <f t="shared" ca="1" si="1"/>
        <v/>
      </c>
      <c r="P60" s="6"/>
      <c r="V60" t="str">
        <f t="shared" si="2"/>
        <v/>
      </c>
      <c r="W60" t="str">
        <f t="shared" si="3"/>
        <v/>
      </c>
      <c r="X60" t="str">
        <f t="shared" si="4"/>
        <v/>
      </c>
      <c r="Y60" t="str">
        <f t="shared" si="5"/>
        <v/>
      </c>
    </row>
    <row r="61" spans="1:25" ht="14.5" x14ac:dyDescent="0.35">
      <c r="A61" s="3"/>
      <c r="B61" s="2"/>
      <c r="C61" s="2"/>
      <c r="D61" s="4"/>
      <c r="E61" s="2"/>
      <c r="F61" s="2"/>
      <c r="G61" s="3" t="str">
        <f t="shared" si="0"/>
        <v/>
      </c>
      <c r="H61" s="3"/>
      <c r="I61" s="3"/>
      <c r="J61" s="2"/>
      <c r="K61" s="2"/>
      <c r="L61" s="2"/>
      <c r="M61" s="4"/>
      <c r="N61" s="2"/>
      <c r="O61" s="5" t="str">
        <f t="shared" ca="1" si="1"/>
        <v/>
      </c>
      <c r="P61" s="6"/>
      <c r="V61" t="str">
        <f t="shared" si="2"/>
        <v/>
      </c>
      <c r="W61" t="str">
        <f t="shared" si="3"/>
        <v/>
      </c>
      <c r="X61" t="str">
        <f t="shared" si="4"/>
        <v/>
      </c>
      <c r="Y61" t="str">
        <f t="shared" si="5"/>
        <v/>
      </c>
    </row>
    <row r="62" spans="1:25" ht="14.5" x14ac:dyDescent="0.35">
      <c r="A62" s="3"/>
      <c r="B62" s="2"/>
      <c r="C62" s="2"/>
      <c r="D62" s="4"/>
      <c r="E62" s="2"/>
      <c r="F62" s="2"/>
      <c r="G62" s="3" t="str">
        <f t="shared" si="0"/>
        <v/>
      </c>
      <c r="H62" s="3"/>
      <c r="I62" s="3"/>
      <c r="J62" s="2"/>
      <c r="K62" s="2"/>
      <c r="L62" s="2"/>
      <c r="M62" s="4"/>
      <c r="N62" s="2"/>
      <c r="O62" s="5" t="str">
        <f t="shared" ca="1" si="1"/>
        <v/>
      </c>
      <c r="P62" s="6"/>
      <c r="V62" t="str">
        <f t="shared" si="2"/>
        <v/>
      </c>
      <c r="W62" t="str">
        <f t="shared" si="3"/>
        <v/>
      </c>
      <c r="X62" t="str">
        <f t="shared" si="4"/>
        <v/>
      </c>
      <c r="Y62" t="str">
        <f t="shared" si="5"/>
        <v/>
      </c>
    </row>
    <row r="63" spans="1:25" ht="14.5" x14ac:dyDescent="0.35">
      <c r="A63" s="3"/>
      <c r="B63" s="2"/>
      <c r="C63" s="2"/>
      <c r="D63" s="4"/>
      <c r="E63" s="2"/>
      <c r="F63" s="2"/>
      <c r="G63" s="3" t="str">
        <f t="shared" si="0"/>
        <v/>
      </c>
      <c r="H63" s="3"/>
      <c r="I63" s="3"/>
      <c r="J63" s="2"/>
      <c r="K63" s="2"/>
      <c r="L63" s="2"/>
      <c r="M63" s="4"/>
      <c r="N63" s="2"/>
      <c r="O63" s="5" t="str">
        <f t="shared" ca="1" si="1"/>
        <v/>
      </c>
      <c r="P63" s="6"/>
      <c r="V63" t="str">
        <f t="shared" si="2"/>
        <v/>
      </c>
      <c r="W63" t="str">
        <f t="shared" si="3"/>
        <v/>
      </c>
      <c r="X63" t="str">
        <f t="shared" si="4"/>
        <v/>
      </c>
      <c r="Y63" t="str">
        <f t="shared" si="5"/>
        <v/>
      </c>
    </row>
    <row r="64" spans="1:25" ht="14.5" x14ac:dyDescent="0.35">
      <c r="A64" s="3"/>
      <c r="B64" s="2"/>
      <c r="C64" s="2"/>
      <c r="D64" s="4"/>
      <c r="E64" s="2"/>
      <c r="F64" s="2"/>
      <c r="G64" s="3" t="str">
        <f t="shared" si="0"/>
        <v/>
      </c>
      <c r="H64" s="3"/>
      <c r="I64" s="3"/>
      <c r="J64" s="2"/>
      <c r="K64" s="2"/>
      <c r="L64" s="2"/>
      <c r="M64" s="4"/>
      <c r="N64" s="2"/>
      <c r="O64" s="5" t="str">
        <f t="shared" ca="1" si="1"/>
        <v/>
      </c>
      <c r="P64" s="6"/>
      <c r="V64" t="str">
        <f t="shared" si="2"/>
        <v/>
      </c>
      <c r="W64" t="str">
        <f t="shared" si="3"/>
        <v/>
      </c>
      <c r="X64" t="str">
        <f t="shared" si="4"/>
        <v/>
      </c>
      <c r="Y64" t="str">
        <f t="shared" si="5"/>
        <v/>
      </c>
    </row>
    <row r="65" spans="1:25" ht="14.5" x14ac:dyDescent="0.35">
      <c r="A65" s="3"/>
      <c r="B65" s="2"/>
      <c r="C65" s="2"/>
      <c r="D65" s="4"/>
      <c r="E65" s="2"/>
      <c r="F65" s="2"/>
      <c r="G65" s="3" t="str">
        <f t="shared" si="0"/>
        <v/>
      </c>
      <c r="H65" s="3"/>
      <c r="I65" s="3"/>
      <c r="J65" s="2"/>
      <c r="K65" s="2"/>
      <c r="L65" s="2"/>
      <c r="M65" s="4"/>
      <c r="N65" s="2"/>
      <c r="O65" s="5" t="str">
        <f t="shared" ca="1" si="1"/>
        <v/>
      </c>
      <c r="P65" s="6"/>
      <c r="V65" t="str">
        <f t="shared" si="2"/>
        <v/>
      </c>
      <c r="W65" t="str">
        <f t="shared" si="3"/>
        <v/>
      </c>
      <c r="X65" t="str">
        <f t="shared" si="4"/>
        <v/>
      </c>
      <c r="Y65" t="str">
        <f t="shared" si="5"/>
        <v/>
      </c>
    </row>
    <row r="66" spans="1:25" ht="14.5" x14ac:dyDescent="0.35">
      <c r="A66" s="3"/>
      <c r="B66" s="2"/>
      <c r="C66" s="2"/>
      <c r="D66" s="4"/>
      <c r="E66" s="2"/>
      <c r="F66" s="2"/>
      <c r="G66" s="3" t="str">
        <f t="shared" ref="G66:G129" si="6">IF(COUNTIF($A$2:$A$1500,A66&amp;".*")=0,"",COUNTIF($A$2:$A$1500,A66&amp;".*"))</f>
        <v/>
      </c>
      <c r="H66" s="3"/>
      <c r="I66" s="3"/>
      <c r="J66" s="2"/>
      <c r="K66" s="2"/>
      <c r="L66" s="2"/>
      <c r="M66" s="4"/>
      <c r="N66" s="2"/>
      <c r="O66" s="5" t="str">
        <f t="shared" ref="O66:O129" ca="1" si="7">IF(M66="","",INT(M66)-TODAY())</f>
        <v/>
      </c>
      <c r="P66" s="6"/>
      <c r="V66" t="str">
        <f t="shared" ref="V66:V129" si="8">IF(M66="","",M66+Q66/1000000)</f>
        <v/>
      </c>
      <c r="W66" t="str">
        <f t="shared" ref="W66:W129" si="9">IF(U66="","",IF(M66="",9999999+Q66/1000000,M66+Q66/1000000))</f>
        <v/>
      </c>
      <c r="X66" t="str">
        <f t="shared" ref="X66:X129" si="10">IF(U66="","",SUMPRODUCT(($U$2:$U$1500=U66)*($W$2:$W$1500&lt;=W66)))</f>
        <v/>
      </c>
      <c r="Y66" t="str">
        <f t="shared" ref="Y66:Y129" si="11">IF(U66="","",U66&amp;"|"&amp;X66)</f>
        <v/>
      </c>
    </row>
    <row r="67" spans="1:25" ht="14.5" x14ac:dyDescent="0.35">
      <c r="A67" s="3"/>
      <c r="B67" s="2"/>
      <c r="C67" s="2"/>
      <c r="D67" s="4"/>
      <c r="E67" s="2"/>
      <c r="F67" s="2"/>
      <c r="G67" s="3" t="str">
        <f t="shared" si="6"/>
        <v/>
      </c>
      <c r="H67" s="3"/>
      <c r="I67" s="3"/>
      <c r="J67" s="2"/>
      <c r="K67" s="2"/>
      <c r="L67" s="2"/>
      <c r="M67" s="4"/>
      <c r="N67" s="2"/>
      <c r="O67" s="5" t="str">
        <f t="shared" ca="1" si="7"/>
        <v/>
      </c>
      <c r="P67" s="6"/>
      <c r="V67" t="str">
        <f t="shared" si="8"/>
        <v/>
      </c>
      <c r="W67" t="str">
        <f t="shared" si="9"/>
        <v/>
      </c>
      <c r="X67" t="str">
        <f t="shared" si="10"/>
        <v/>
      </c>
      <c r="Y67" t="str">
        <f t="shared" si="11"/>
        <v/>
      </c>
    </row>
    <row r="68" spans="1:25" ht="14.5" x14ac:dyDescent="0.35">
      <c r="A68" s="3"/>
      <c r="B68" s="2"/>
      <c r="C68" s="2"/>
      <c r="D68" s="4"/>
      <c r="E68" s="2"/>
      <c r="F68" s="2"/>
      <c r="G68" s="3" t="str">
        <f t="shared" si="6"/>
        <v/>
      </c>
      <c r="H68" s="3"/>
      <c r="I68" s="3"/>
      <c r="J68" s="2"/>
      <c r="K68" s="2"/>
      <c r="L68" s="2"/>
      <c r="M68" s="4"/>
      <c r="N68" s="2"/>
      <c r="O68" s="5" t="str">
        <f t="shared" ca="1" si="7"/>
        <v/>
      </c>
      <c r="P68" s="6"/>
      <c r="V68" t="str">
        <f t="shared" si="8"/>
        <v/>
      </c>
      <c r="W68" t="str">
        <f t="shared" si="9"/>
        <v/>
      </c>
      <c r="X68" t="str">
        <f t="shared" si="10"/>
        <v/>
      </c>
      <c r="Y68" t="str">
        <f t="shared" si="11"/>
        <v/>
      </c>
    </row>
    <row r="69" spans="1:25" ht="14.5" x14ac:dyDescent="0.35">
      <c r="A69" s="3"/>
      <c r="B69" s="2"/>
      <c r="C69" s="2"/>
      <c r="D69" s="4"/>
      <c r="E69" s="2"/>
      <c r="F69" s="2"/>
      <c r="G69" s="3" t="str">
        <f t="shared" si="6"/>
        <v/>
      </c>
      <c r="H69" s="3"/>
      <c r="I69" s="3"/>
      <c r="J69" s="2"/>
      <c r="K69" s="2"/>
      <c r="L69" s="2"/>
      <c r="M69" s="4"/>
      <c r="N69" s="2"/>
      <c r="O69" s="5" t="str">
        <f t="shared" ca="1" si="7"/>
        <v/>
      </c>
      <c r="P69" s="6"/>
      <c r="V69" t="str">
        <f t="shared" si="8"/>
        <v/>
      </c>
      <c r="W69" t="str">
        <f t="shared" si="9"/>
        <v/>
      </c>
      <c r="X69" t="str">
        <f t="shared" si="10"/>
        <v/>
      </c>
      <c r="Y69" t="str">
        <f t="shared" si="11"/>
        <v/>
      </c>
    </row>
    <row r="70" spans="1:25" ht="14.5" x14ac:dyDescent="0.35">
      <c r="A70" s="3"/>
      <c r="B70" s="2"/>
      <c r="C70" s="2"/>
      <c r="D70" s="4"/>
      <c r="E70" s="2"/>
      <c r="F70" s="2"/>
      <c r="G70" s="3" t="str">
        <f t="shared" si="6"/>
        <v/>
      </c>
      <c r="H70" s="3"/>
      <c r="I70" s="3"/>
      <c r="J70" s="2"/>
      <c r="K70" s="2"/>
      <c r="L70" s="2"/>
      <c r="M70" s="4"/>
      <c r="N70" s="2"/>
      <c r="O70" s="5" t="str">
        <f t="shared" ca="1" si="7"/>
        <v/>
      </c>
      <c r="P70" s="6"/>
      <c r="V70" t="str">
        <f t="shared" si="8"/>
        <v/>
      </c>
      <c r="W70" t="str">
        <f t="shared" si="9"/>
        <v/>
      </c>
      <c r="X70" t="str">
        <f t="shared" si="10"/>
        <v/>
      </c>
      <c r="Y70" t="str">
        <f t="shared" si="11"/>
        <v/>
      </c>
    </row>
    <row r="71" spans="1:25" ht="14.5" x14ac:dyDescent="0.35">
      <c r="A71" s="3"/>
      <c r="B71" s="2"/>
      <c r="C71" s="2"/>
      <c r="D71" s="4"/>
      <c r="E71" s="2"/>
      <c r="F71" s="2"/>
      <c r="G71" s="3" t="str">
        <f t="shared" si="6"/>
        <v/>
      </c>
      <c r="H71" s="3"/>
      <c r="I71" s="3"/>
      <c r="J71" s="2"/>
      <c r="K71" s="2"/>
      <c r="L71" s="2"/>
      <c r="M71" s="4"/>
      <c r="N71" s="2"/>
      <c r="O71" s="5" t="str">
        <f t="shared" ca="1" si="7"/>
        <v/>
      </c>
      <c r="P71" s="6"/>
      <c r="V71" t="str">
        <f t="shared" si="8"/>
        <v/>
      </c>
      <c r="W71" t="str">
        <f t="shared" si="9"/>
        <v/>
      </c>
      <c r="X71" t="str">
        <f t="shared" si="10"/>
        <v/>
      </c>
      <c r="Y71" t="str">
        <f t="shared" si="11"/>
        <v/>
      </c>
    </row>
    <row r="72" spans="1:25" ht="14.5" x14ac:dyDescent="0.35">
      <c r="A72" s="3"/>
      <c r="B72" s="2"/>
      <c r="C72" s="2"/>
      <c r="D72" s="4"/>
      <c r="E72" s="2"/>
      <c r="F72" s="2"/>
      <c r="G72" s="3" t="str">
        <f t="shared" si="6"/>
        <v/>
      </c>
      <c r="H72" s="3"/>
      <c r="I72" s="3"/>
      <c r="J72" s="2"/>
      <c r="K72" s="2"/>
      <c r="L72" s="2"/>
      <c r="M72" s="4"/>
      <c r="N72" s="2"/>
      <c r="O72" s="5" t="str">
        <f t="shared" ca="1" si="7"/>
        <v/>
      </c>
      <c r="P72" s="6"/>
      <c r="V72" t="str">
        <f t="shared" si="8"/>
        <v/>
      </c>
      <c r="W72" t="str">
        <f t="shared" si="9"/>
        <v/>
      </c>
      <c r="X72" t="str">
        <f t="shared" si="10"/>
        <v/>
      </c>
      <c r="Y72" t="str">
        <f t="shared" si="11"/>
        <v/>
      </c>
    </row>
    <row r="73" spans="1:25" ht="14.5" x14ac:dyDescent="0.35">
      <c r="A73" s="3"/>
      <c r="B73" s="2"/>
      <c r="C73" s="2"/>
      <c r="D73" s="4"/>
      <c r="E73" s="2"/>
      <c r="F73" s="2"/>
      <c r="G73" s="3" t="str">
        <f t="shared" si="6"/>
        <v/>
      </c>
      <c r="H73" s="3"/>
      <c r="I73" s="3"/>
      <c r="J73" s="2"/>
      <c r="K73" s="2"/>
      <c r="L73" s="2"/>
      <c r="M73" s="4"/>
      <c r="N73" s="2"/>
      <c r="O73" s="5" t="str">
        <f t="shared" ca="1" si="7"/>
        <v/>
      </c>
      <c r="P73" s="6"/>
      <c r="V73" t="str">
        <f t="shared" si="8"/>
        <v/>
      </c>
      <c r="W73" t="str">
        <f t="shared" si="9"/>
        <v/>
      </c>
      <c r="X73" t="str">
        <f t="shared" si="10"/>
        <v/>
      </c>
      <c r="Y73" t="str">
        <f t="shared" si="11"/>
        <v/>
      </c>
    </row>
    <row r="74" spans="1:25" ht="14.5" x14ac:dyDescent="0.35">
      <c r="A74" s="3"/>
      <c r="B74" s="2"/>
      <c r="C74" s="2"/>
      <c r="D74" s="4"/>
      <c r="E74" s="2"/>
      <c r="F74" s="2"/>
      <c r="G74" s="3" t="str">
        <f t="shared" si="6"/>
        <v/>
      </c>
      <c r="H74" s="3"/>
      <c r="I74" s="3"/>
      <c r="J74" s="2"/>
      <c r="K74" s="2"/>
      <c r="L74" s="2"/>
      <c r="M74" s="4"/>
      <c r="N74" s="2"/>
      <c r="O74" s="5" t="str">
        <f t="shared" ca="1" si="7"/>
        <v/>
      </c>
      <c r="P74" s="6"/>
      <c r="V74" t="str">
        <f t="shared" si="8"/>
        <v/>
      </c>
      <c r="W74" t="str">
        <f t="shared" si="9"/>
        <v/>
      </c>
      <c r="X74" t="str">
        <f t="shared" si="10"/>
        <v/>
      </c>
      <c r="Y74" t="str">
        <f t="shared" si="11"/>
        <v/>
      </c>
    </row>
    <row r="75" spans="1:25" ht="14.5" x14ac:dyDescent="0.35">
      <c r="A75" s="3"/>
      <c r="B75" s="2"/>
      <c r="C75" s="2"/>
      <c r="D75" s="4"/>
      <c r="E75" s="2"/>
      <c r="F75" s="2"/>
      <c r="G75" s="3" t="str">
        <f t="shared" si="6"/>
        <v/>
      </c>
      <c r="H75" s="3"/>
      <c r="I75" s="3"/>
      <c r="J75" s="2"/>
      <c r="K75" s="2"/>
      <c r="L75" s="2"/>
      <c r="M75" s="4"/>
      <c r="N75" s="2"/>
      <c r="O75" s="5" t="str">
        <f t="shared" ca="1" si="7"/>
        <v/>
      </c>
      <c r="P75" s="6"/>
      <c r="V75" t="str">
        <f t="shared" si="8"/>
        <v/>
      </c>
      <c r="W75" t="str">
        <f t="shared" si="9"/>
        <v/>
      </c>
      <c r="X75" t="str">
        <f t="shared" si="10"/>
        <v/>
      </c>
      <c r="Y75" t="str">
        <f t="shared" si="11"/>
        <v/>
      </c>
    </row>
    <row r="76" spans="1:25" ht="14.5" x14ac:dyDescent="0.35">
      <c r="A76" s="3"/>
      <c r="B76" s="2"/>
      <c r="C76" s="2"/>
      <c r="D76" s="4"/>
      <c r="E76" s="2"/>
      <c r="F76" s="2"/>
      <c r="G76" s="3" t="str">
        <f t="shared" si="6"/>
        <v/>
      </c>
      <c r="H76" s="3"/>
      <c r="I76" s="3"/>
      <c r="J76" s="2"/>
      <c r="K76" s="2"/>
      <c r="L76" s="2"/>
      <c r="M76" s="4"/>
      <c r="N76" s="2"/>
      <c r="O76" s="5" t="str">
        <f t="shared" ca="1" si="7"/>
        <v/>
      </c>
      <c r="P76" s="6"/>
      <c r="V76" t="str">
        <f t="shared" si="8"/>
        <v/>
      </c>
      <c r="W76" t="str">
        <f t="shared" si="9"/>
        <v/>
      </c>
      <c r="X76" t="str">
        <f t="shared" si="10"/>
        <v/>
      </c>
      <c r="Y76" t="str">
        <f t="shared" si="11"/>
        <v/>
      </c>
    </row>
    <row r="77" spans="1:25" ht="14.5" x14ac:dyDescent="0.35">
      <c r="A77" s="3"/>
      <c r="B77" s="2"/>
      <c r="C77" s="2"/>
      <c r="D77" s="4"/>
      <c r="E77" s="2"/>
      <c r="F77" s="2"/>
      <c r="G77" s="3" t="str">
        <f t="shared" si="6"/>
        <v/>
      </c>
      <c r="H77" s="3"/>
      <c r="I77" s="3"/>
      <c r="J77" s="2"/>
      <c r="K77" s="2"/>
      <c r="L77" s="2"/>
      <c r="M77" s="4"/>
      <c r="N77" s="2"/>
      <c r="O77" s="5" t="str">
        <f t="shared" ca="1" si="7"/>
        <v/>
      </c>
      <c r="P77" s="6"/>
      <c r="V77" t="str">
        <f t="shared" si="8"/>
        <v/>
      </c>
      <c r="W77" t="str">
        <f t="shared" si="9"/>
        <v/>
      </c>
      <c r="X77" t="str">
        <f t="shared" si="10"/>
        <v/>
      </c>
      <c r="Y77" t="str">
        <f t="shared" si="11"/>
        <v/>
      </c>
    </row>
    <row r="78" spans="1:25" ht="14.5" x14ac:dyDescent="0.35">
      <c r="A78" s="3"/>
      <c r="B78" s="2"/>
      <c r="C78" s="2"/>
      <c r="D78" s="4"/>
      <c r="E78" s="2"/>
      <c r="F78" s="2"/>
      <c r="G78" s="3" t="str">
        <f t="shared" si="6"/>
        <v/>
      </c>
      <c r="H78" s="3"/>
      <c r="I78" s="3"/>
      <c r="J78" s="2"/>
      <c r="K78" s="2"/>
      <c r="L78" s="2"/>
      <c r="M78" s="4"/>
      <c r="N78" s="2"/>
      <c r="O78" s="5" t="str">
        <f t="shared" ca="1" si="7"/>
        <v/>
      </c>
      <c r="P78" s="6"/>
      <c r="V78" t="str">
        <f t="shared" si="8"/>
        <v/>
      </c>
      <c r="W78" t="str">
        <f t="shared" si="9"/>
        <v/>
      </c>
      <c r="X78" t="str">
        <f t="shared" si="10"/>
        <v/>
      </c>
      <c r="Y78" t="str">
        <f t="shared" si="11"/>
        <v/>
      </c>
    </row>
    <row r="79" spans="1:25" ht="14.5" x14ac:dyDescent="0.35">
      <c r="A79" s="3"/>
      <c r="B79" s="2"/>
      <c r="C79" s="2"/>
      <c r="D79" s="4"/>
      <c r="E79" s="2"/>
      <c r="F79" s="2"/>
      <c r="G79" s="3" t="str">
        <f t="shared" si="6"/>
        <v/>
      </c>
      <c r="H79" s="3"/>
      <c r="I79" s="3"/>
      <c r="J79" s="2"/>
      <c r="K79" s="2"/>
      <c r="L79" s="2"/>
      <c r="M79" s="4"/>
      <c r="N79" s="2"/>
      <c r="O79" s="5" t="str">
        <f t="shared" ca="1" si="7"/>
        <v/>
      </c>
      <c r="P79" s="6"/>
      <c r="V79" t="str">
        <f t="shared" si="8"/>
        <v/>
      </c>
      <c r="W79" t="str">
        <f t="shared" si="9"/>
        <v/>
      </c>
      <c r="X79" t="str">
        <f t="shared" si="10"/>
        <v/>
      </c>
      <c r="Y79" t="str">
        <f t="shared" si="11"/>
        <v/>
      </c>
    </row>
    <row r="80" spans="1:25" ht="14.5" x14ac:dyDescent="0.35">
      <c r="A80" s="3"/>
      <c r="B80" s="2"/>
      <c r="C80" s="2"/>
      <c r="D80" s="4"/>
      <c r="E80" s="2"/>
      <c r="F80" s="2"/>
      <c r="G80" s="3" t="str">
        <f t="shared" si="6"/>
        <v/>
      </c>
      <c r="H80" s="3"/>
      <c r="I80" s="3"/>
      <c r="J80" s="2"/>
      <c r="K80" s="2"/>
      <c r="L80" s="2"/>
      <c r="M80" s="4"/>
      <c r="N80" s="2"/>
      <c r="O80" s="5" t="str">
        <f t="shared" ca="1" si="7"/>
        <v/>
      </c>
      <c r="P80" s="6"/>
      <c r="V80" t="str">
        <f t="shared" si="8"/>
        <v/>
      </c>
      <c r="W80" t="str">
        <f t="shared" si="9"/>
        <v/>
      </c>
      <c r="X80" t="str">
        <f t="shared" si="10"/>
        <v/>
      </c>
      <c r="Y80" t="str">
        <f t="shared" si="11"/>
        <v/>
      </c>
    </row>
    <row r="81" spans="1:25" ht="14.5" x14ac:dyDescent="0.35">
      <c r="A81" s="3"/>
      <c r="B81" s="2"/>
      <c r="C81" s="2"/>
      <c r="D81" s="4"/>
      <c r="E81" s="2"/>
      <c r="F81" s="2"/>
      <c r="G81" s="3" t="str">
        <f t="shared" si="6"/>
        <v/>
      </c>
      <c r="H81" s="3"/>
      <c r="I81" s="3"/>
      <c r="J81" s="2"/>
      <c r="K81" s="2"/>
      <c r="L81" s="2"/>
      <c r="M81" s="4"/>
      <c r="N81" s="2"/>
      <c r="O81" s="5" t="str">
        <f t="shared" ca="1" si="7"/>
        <v/>
      </c>
      <c r="P81" s="6"/>
      <c r="V81" t="str">
        <f t="shared" si="8"/>
        <v/>
      </c>
      <c r="W81" t="str">
        <f t="shared" si="9"/>
        <v/>
      </c>
      <c r="X81" t="str">
        <f t="shared" si="10"/>
        <v/>
      </c>
      <c r="Y81" t="str">
        <f t="shared" si="11"/>
        <v/>
      </c>
    </row>
    <row r="82" spans="1:25" ht="14.5" x14ac:dyDescent="0.35">
      <c r="A82" s="3"/>
      <c r="B82" s="2"/>
      <c r="C82" s="2"/>
      <c r="D82" s="4"/>
      <c r="E82" s="2"/>
      <c r="F82" s="2"/>
      <c r="G82" s="3" t="str">
        <f t="shared" si="6"/>
        <v/>
      </c>
      <c r="H82" s="3"/>
      <c r="I82" s="3"/>
      <c r="J82" s="2"/>
      <c r="K82" s="2"/>
      <c r="L82" s="2"/>
      <c r="M82" s="4"/>
      <c r="N82" s="2"/>
      <c r="O82" s="5" t="str">
        <f t="shared" ca="1" si="7"/>
        <v/>
      </c>
      <c r="P82" s="6"/>
      <c r="V82" t="str">
        <f t="shared" si="8"/>
        <v/>
      </c>
      <c r="W82" t="str">
        <f t="shared" si="9"/>
        <v/>
      </c>
      <c r="X82" t="str">
        <f t="shared" si="10"/>
        <v/>
      </c>
      <c r="Y82" t="str">
        <f t="shared" si="11"/>
        <v/>
      </c>
    </row>
    <row r="83" spans="1:25" ht="14.5" x14ac:dyDescent="0.35">
      <c r="A83" s="3"/>
      <c r="B83" s="2"/>
      <c r="C83" s="2"/>
      <c r="D83" s="4"/>
      <c r="E83" s="2"/>
      <c r="F83" s="2"/>
      <c r="G83" s="3" t="str">
        <f t="shared" si="6"/>
        <v/>
      </c>
      <c r="H83" s="3"/>
      <c r="I83" s="3"/>
      <c r="J83" s="2"/>
      <c r="K83" s="2"/>
      <c r="L83" s="2"/>
      <c r="M83" s="4"/>
      <c r="N83" s="2"/>
      <c r="O83" s="5" t="str">
        <f t="shared" ca="1" si="7"/>
        <v/>
      </c>
      <c r="P83" s="6"/>
      <c r="V83" t="str">
        <f t="shared" si="8"/>
        <v/>
      </c>
      <c r="W83" t="str">
        <f t="shared" si="9"/>
        <v/>
      </c>
      <c r="X83" t="str">
        <f t="shared" si="10"/>
        <v/>
      </c>
      <c r="Y83" t="str">
        <f t="shared" si="11"/>
        <v/>
      </c>
    </row>
    <row r="84" spans="1:25" ht="14.5" x14ac:dyDescent="0.35">
      <c r="A84" s="3"/>
      <c r="B84" s="2"/>
      <c r="C84" s="2"/>
      <c r="D84" s="4"/>
      <c r="E84" s="2"/>
      <c r="F84" s="2"/>
      <c r="G84" s="3" t="str">
        <f t="shared" si="6"/>
        <v/>
      </c>
      <c r="H84" s="3"/>
      <c r="I84" s="3"/>
      <c r="J84" s="2"/>
      <c r="K84" s="2"/>
      <c r="L84" s="2"/>
      <c r="M84" s="4"/>
      <c r="N84" s="2"/>
      <c r="O84" s="5" t="str">
        <f t="shared" ca="1" si="7"/>
        <v/>
      </c>
      <c r="P84" s="6"/>
      <c r="V84" t="str">
        <f t="shared" si="8"/>
        <v/>
      </c>
      <c r="W84" t="str">
        <f t="shared" si="9"/>
        <v/>
      </c>
      <c r="X84" t="str">
        <f t="shared" si="10"/>
        <v/>
      </c>
      <c r="Y84" t="str">
        <f t="shared" si="11"/>
        <v/>
      </c>
    </row>
    <row r="85" spans="1:25" ht="14.5" x14ac:dyDescent="0.35">
      <c r="A85" s="3"/>
      <c r="B85" s="2"/>
      <c r="C85" s="2"/>
      <c r="D85" s="4"/>
      <c r="E85" s="2"/>
      <c r="F85" s="2"/>
      <c r="G85" s="3" t="str">
        <f t="shared" si="6"/>
        <v/>
      </c>
      <c r="H85" s="3"/>
      <c r="I85" s="3"/>
      <c r="J85" s="2"/>
      <c r="K85" s="2"/>
      <c r="L85" s="2"/>
      <c r="M85" s="4"/>
      <c r="N85" s="2"/>
      <c r="O85" s="5" t="str">
        <f t="shared" ca="1" si="7"/>
        <v/>
      </c>
      <c r="P85" s="6"/>
      <c r="V85" t="str">
        <f t="shared" si="8"/>
        <v/>
      </c>
      <c r="W85" t="str">
        <f t="shared" si="9"/>
        <v/>
      </c>
      <c r="X85" t="str">
        <f t="shared" si="10"/>
        <v/>
      </c>
      <c r="Y85" t="str">
        <f t="shared" si="11"/>
        <v/>
      </c>
    </row>
    <row r="86" spans="1:25" ht="14.5" x14ac:dyDescent="0.35">
      <c r="A86" s="3"/>
      <c r="B86" s="2"/>
      <c r="C86" s="2"/>
      <c r="D86" s="4"/>
      <c r="E86" s="2"/>
      <c r="F86" s="2"/>
      <c r="G86" s="3" t="str">
        <f t="shared" si="6"/>
        <v/>
      </c>
      <c r="H86" s="3"/>
      <c r="I86" s="3"/>
      <c r="J86" s="2"/>
      <c r="K86" s="2"/>
      <c r="L86" s="2"/>
      <c r="M86" s="4"/>
      <c r="N86" s="2"/>
      <c r="O86" s="5" t="str">
        <f t="shared" ca="1" si="7"/>
        <v/>
      </c>
      <c r="P86" s="6"/>
      <c r="V86" t="str">
        <f t="shared" si="8"/>
        <v/>
      </c>
      <c r="W86" t="str">
        <f t="shared" si="9"/>
        <v/>
      </c>
      <c r="X86" t="str">
        <f t="shared" si="10"/>
        <v/>
      </c>
      <c r="Y86" t="str">
        <f t="shared" si="11"/>
        <v/>
      </c>
    </row>
    <row r="87" spans="1:25" ht="14.5" x14ac:dyDescent="0.35">
      <c r="A87" s="3"/>
      <c r="B87" s="2"/>
      <c r="C87" s="2"/>
      <c r="D87" s="4"/>
      <c r="E87" s="2"/>
      <c r="F87" s="2"/>
      <c r="G87" s="3" t="str">
        <f t="shared" si="6"/>
        <v/>
      </c>
      <c r="H87" s="3"/>
      <c r="I87" s="3"/>
      <c r="J87" s="2"/>
      <c r="K87" s="2"/>
      <c r="L87" s="2"/>
      <c r="M87" s="4"/>
      <c r="N87" s="2"/>
      <c r="O87" s="5" t="str">
        <f t="shared" ca="1" si="7"/>
        <v/>
      </c>
      <c r="P87" s="6"/>
      <c r="V87" t="str">
        <f t="shared" si="8"/>
        <v/>
      </c>
      <c r="W87" t="str">
        <f t="shared" si="9"/>
        <v/>
      </c>
      <c r="X87" t="str">
        <f t="shared" si="10"/>
        <v/>
      </c>
      <c r="Y87" t="str">
        <f t="shared" si="11"/>
        <v/>
      </c>
    </row>
    <row r="88" spans="1:25" ht="14.5" x14ac:dyDescent="0.35">
      <c r="A88" s="3"/>
      <c r="B88" s="2"/>
      <c r="C88" s="2"/>
      <c r="D88" s="4"/>
      <c r="E88" s="2"/>
      <c r="F88" s="2"/>
      <c r="G88" s="3" t="str">
        <f t="shared" si="6"/>
        <v/>
      </c>
      <c r="H88" s="3"/>
      <c r="I88" s="3"/>
      <c r="J88" s="2"/>
      <c r="K88" s="2"/>
      <c r="L88" s="2"/>
      <c r="M88" s="4"/>
      <c r="N88" s="2"/>
      <c r="O88" s="5" t="str">
        <f t="shared" ca="1" si="7"/>
        <v/>
      </c>
      <c r="P88" s="6"/>
      <c r="V88" t="str">
        <f t="shared" si="8"/>
        <v/>
      </c>
      <c r="W88" t="str">
        <f t="shared" si="9"/>
        <v/>
      </c>
      <c r="X88" t="str">
        <f t="shared" si="10"/>
        <v/>
      </c>
      <c r="Y88" t="str">
        <f t="shared" si="11"/>
        <v/>
      </c>
    </row>
    <row r="89" spans="1:25" ht="14.5" x14ac:dyDescent="0.35">
      <c r="A89" s="3"/>
      <c r="B89" s="2"/>
      <c r="C89" s="2"/>
      <c r="D89" s="4"/>
      <c r="E89" s="2"/>
      <c r="F89" s="2"/>
      <c r="G89" s="3" t="str">
        <f t="shared" si="6"/>
        <v/>
      </c>
      <c r="H89" s="3"/>
      <c r="I89" s="3"/>
      <c r="J89" s="2"/>
      <c r="K89" s="2"/>
      <c r="L89" s="2"/>
      <c r="M89" s="4"/>
      <c r="N89" s="2"/>
      <c r="O89" s="5" t="str">
        <f t="shared" ca="1" si="7"/>
        <v/>
      </c>
      <c r="P89" s="6"/>
      <c r="V89" t="str">
        <f t="shared" si="8"/>
        <v/>
      </c>
      <c r="W89" t="str">
        <f t="shared" si="9"/>
        <v/>
      </c>
      <c r="X89" t="str">
        <f t="shared" si="10"/>
        <v/>
      </c>
      <c r="Y89" t="str">
        <f t="shared" si="11"/>
        <v/>
      </c>
    </row>
    <row r="90" spans="1:25" ht="14.5" x14ac:dyDescent="0.35">
      <c r="A90" s="3"/>
      <c r="B90" s="2"/>
      <c r="C90" s="2"/>
      <c r="D90" s="4"/>
      <c r="E90" s="2"/>
      <c r="F90" s="2"/>
      <c r="G90" s="3" t="str">
        <f t="shared" si="6"/>
        <v/>
      </c>
      <c r="H90" s="3"/>
      <c r="I90" s="3"/>
      <c r="J90" s="2"/>
      <c r="K90" s="2"/>
      <c r="L90" s="2"/>
      <c r="M90" s="4"/>
      <c r="N90" s="2"/>
      <c r="O90" s="5" t="str">
        <f t="shared" ca="1" si="7"/>
        <v/>
      </c>
      <c r="P90" s="6"/>
      <c r="V90" t="str">
        <f t="shared" si="8"/>
        <v/>
      </c>
      <c r="W90" t="str">
        <f t="shared" si="9"/>
        <v/>
      </c>
      <c r="X90" t="str">
        <f t="shared" si="10"/>
        <v/>
      </c>
      <c r="Y90" t="str">
        <f t="shared" si="11"/>
        <v/>
      </c>
    </row>
    <row r="91" spans="1:25" ht="14.5" x14ac:dyDescent="0.35">
      <c r="A91" s="3"/>
      <c r="B91" s="2"/>
      <c r="C91" s="2"/>
      <c r="D91" s="4"/>
      <c r="E91" s="2"/>
      <c r="F91" s="2"/>
      <c r="G91" s="3" t="str">
        <f t="shared" si="6"/>
        <v/>
      </c>
      <c r="H91" s="3"/>
      <c r="I91" s="3"/>
      <c r="J91" s="2"/>
      <c r="K91" s="2"/>
      <c r="L91" s="2"/>
      <c r="M91" s="4"/>
      <c r="N91" s="2"/>
      <c r="O91" s="5" t="str">
        <f t="shared" ca="1" si="7"/>
        <v/>
      </c>
      <c r="P91" s="6"/>
      <c r="V91" t="str">
        <f t="shared" si="8"/>
        <v/>
      </c>
      <c r="W91" t="str">
        <f t="shared" si="9"/>
        <v/>
      </c>
      <c r="X91" t="str">
        <f t="shared" si="10"/>
        <v/>
      </c>
      <c r="Y91" t="str">
        <f t="shared" si="11"/>
        <v/>
      </c>
    </row>
    <row r="92" spans="1:25" ht="14.5" x14ac:dyDescent="0.35">
      <c r="A92" s="3"/>
      <c r="B92" s="2"/>
      <c r="C92" s="2"/>
      <c r="D92" s="4"/>
      <c r="E92" s="2"/>
      <c r="F92" s="2"/>
      <c r="G92" s="3" t="str">
        <f t="shared" si="6"/>
        <v/>
      </c>
      <c r="H92" s="3"/>
      <c r="I92" s="3"/>
      <c r="J92" s="2"/>
      <c r="K92" s="2"/>
      <c r="L92" s="2"/>
      <c r="M92" s="4"/>
      <c r="N92" s="2"/>
      <c r="O92" s="5" t="str">
        <f t="shared" ca="1" si="7"/>
        <v/>
      </c>
      <c r="P92" s="6"/>
      <c r="V92" t="str">
        <f t="shared" si="8"/>
        <v/>
      </c>
      <c r="W92" t="str">
        <f t="shared" si="9"/>
        <v/>
      </c>
      <c r="X92" t="str">
        <f t="shared" si="10"/>
        <v/>
      </c>
      <c r="Y92" t="str">
        <f t="shared" si="11"/>
        <v/>
      </c>
    </row>
    <row r="93" spans="1:25" ht="14.5" x14ac:dyDescent="0.35">
      <c r="A93" s="3"/>
      <c r="B93" s="2"/>
      <c r="C93" s="2"/>
      <c r="D93" s="4"/>
      <c r="E93" s="2"/>
      <c r="F93" s="2"/>
      <c r="G93" s="3" t="str">
        <f t="shared" si="6"/>
        <v/>
      </c>
      <c r="H93" s="3"/>
      <c r="I93" s="3"/>
      <c r="J93" s="2"/>
      <c r="K93" s="2"/>
      <c r="L93" s="2"/>
      <c r="M93" s="4"/>
      <c r="N93" s="2"/>
      <c r="O93" s="5" t="str">
        <f t="shared" ca="1" si="7"/>
        <v/>
      </c>
      <c r="P93" s="6"/>
      <c r="V93" t="str">
        <f t="shared" si="8"/>
        <v/>
      </c>
      <c r="W93" t="str">
        <f t="shared" si="9"/>
        <v/>
      </c>
      <c r="X93" t="str">
        <f t="shared" si="10"/>
        <v/>
      </c>
      <c r="Y93" t="str">
        <f t="shared" si="11"/>
        <v/>
      </c>
    </row>
    <row r="94" spans="1:25" ht="14.5" x14ac:dyDescent="0.35">
      <c r="A94" s="3"/>
      <c r="B94" s="2"/>
      <c r="C94" s="2"/>
      <c r="D94" s="4"/>
      <c r="E94" s="2"/>
      <c r="F94" s="2"/>
      <c r="G94" s="3" t="str">
        <f t="shared" si="6"/>
        <v/>
      </c>
      <c r="H94" s="3"/>
      <c r="I94" s="3"/>
      <c r="J94" s="2"/>
      <c r="K94" s="2"/>
      <c r="L94" s="2"/>
      <c r="M94" s="4"/>
      <c r="N94" s="2"/>
      <c r="O94" s="5" t="str">
        <f t="shared" ca="1" si="7"/>
        <v/>
      </c>
      <c r="P94" s="6"/>
      <c r="V94" t="str">
        <f t="shared" si="8"/>
        <v/>
      </c>
      <c r="W94" t="str">
        <f t="shared" si="9"/>
        <v/>
      </c>
      <c r="X94" t="str">
        <f t="shared" si="10"/>
        <v/>
      </c>
      <c r="Y94" t="str">
        <f t="shared" si="11"/>
        <v/>
      </c>
    </row>
    <row r="95" spans="1:25" ht="14.5" x14ac:dyDescent="0.35">
      <c r="A95" s="3"/>
      <c r="B95" s="2"/>
      <c r="C95" s="2"/>
      <c r="D95" s="4"/>
      <c r="E95" s="2"/>
      <c r="F95" s="2"/>
      <c r="G95" s="3" t="str">
        <f t="shared" si="6"/>
        <v/>
      </c>
      <c r="H95" s="3"/>
      <c r="I95" s="3"/>
      <c r="J95" s="2"/>
      <c r="K95" s="2"/>
      <c r="L95" s="2"/>
      <c r="M95" s="4"/>
      <c r="N95" s="2"/>
      <c r="O95" s="5" t="str">
        <f t="shared" ca="1" si="7"/>
        <v/>
      </c>
      <c r="P95" s="6"/>
      <c r="V95" t="str">
        <f t="shared" si="8"/>
        <v/>
      </c>
      <c r="W95" t="str">
        <f t="shared" si="9"/>
        <v/>
      </c>
      <c r="X95" t="str">
        <f t="shared" si="10"/>
        <v/>
      </c>
      <c r="Y95" t="str">
        <f t="shared" si="11"/>
        <v/>
      </c>
    </row>
    <row r="96" spans="1:25" ht="14.5" x14ac:dyDescent="0.35">
      <c r="A96" s="3"/>
      <c r="B96" s="2"/>
      <c r="C96" s="2"/>
      <c r="D96" s="4"/>
      <c r="E96" s="2"/>
      <c r="F96" s="2"/>
      <c r="G96" s="3" t="str">
        <f t="shared" si="6"/>
        <v/>
      </c>
      <c r="H96" s="3"/>
      <c r="I96" s="3"/>
      <c r="J96" s="2"/>
      <c r="K96" s="2"/>
      <c r="L96" s="2"/>
      <c r="M96" s="4"/>
      <c r="N96" s="2"/>
      <c r="O96" s="5" t="str">
        <f t="shared" ca="1" si="7"/>
        <v/>
      </c>
      <c r="P96" s="6"/>
      <c r="V96" t="str">
        <f t="shared" si="8"/>
        <v/>
      </c>
      <c r="W96" t="str">
        <f t="shared" si="9"/>
        <v/>
      </c>
      <c r="X96" t="str">
        <f t="shared" si="10"/>
        <v/>
      </c>
      <c r="Y96" t="str">
        <f t="shared" si="11"/>
        <v/>
      </c>
    </row>
    <row r="97" spans="1:25" ht="14.5" x14ac:dyDescent="0.35">
      <c r="A97" s="3"/>
      <c r="B97" s="2"/>
      <c r="C97" s="2"/>
      <c r="D97" s="4"/>
      <c r="E97" s="2"/>
      <c r="F97" s="2"/>
      <c r="G97" s="3" t="str">
        <f t="shared" si="6"/>
        <v/>
      </c>
      <c r="H97" s="3"/>
      <c r="I97" s="3"/>
      <c r="J97" s="2"/>
      <c r="K97" s="2"/>
      <c r="L97" s="2"/>
      <c r="M97" s="4"/>
      <c r="N97" s="2"/>
      <c r="O97" s="5" t="str">
        <f t="shared" ca="1" si="7"/>
        <v/>
      </c>
      <c r="P97" s="6"/>
      <c r="V97" t="str">
        <f t="shared" si="8"/>
        <v/>
      </c>
      <c r="W97" t="str">
        <f t="shared" si="9"/>
        <v/>
      </c>
      <c r="X97" t="str">
        <f t="shared" si="10"/>
        <v/>
      </c>
      <c r="Y97" t="str">
        <f t="shared" si="11"/>
        <v/>
      </c>
    </row>
    <row r="98" spans="1:25" ht="14.5" x14ac:dyDescent="0.35">
      <c r="A98" s="3"/>
      <c r="B98" s="2"/>
      <c r="C98" s="2"/>
      <c r="D98" s="4"/>
      <c r="E98" s="2"/>
      <c r="F98" s="2"/>
      <c r="G98" s="3" t="str">
        <f t="shared" si="6"/>
        <v/>
      </c>
      <c r="H98" s="3"/>
      <c r="I98" s="3"/>
      <c r="J98" s="2"/>
      <c r="K98" s="2"/>
      <c r="L98" s="2"/>
      <c r="M98" s="4"/>
      <c r="N98" s="2"/>
      <c r="O98" s="5" t="str">
        <f t="shared" ca="1" si="7"/>
        <v/>
      </c>
      <c r="P98" s="6"/>
      <c r="V98" t="str">
        <f t="shared" si="8"/>
        <v/>
      </c>
      <c r="W98" t="str">
        <f t="shared" si="9"/>
        <v/>
      </c>
      <c r="X98" t="str">
        <f t="shared" si="10"/>
        <v/>
      </c>
      <c r="Y98" t="str">
        <f t="shared" si="11"/>
        <v/>
      </c>
    </row>
    <row r="99" spans="1:25" ht="14.5" x14ac:dyDescent="0.35">
      <c r="A99" s="3"/>
      <c r="B99" s="2"/>
      <c r="C99" s="2"/>
      <c r="D99" s="4"/>
      <c r="E99" s="2"/>
      <c r="F99" s="2"/>
      <c r="G99" s="3" t="str">
        <f t="shared" si="6"/>
        <v/>
      </c>
      <c r="H99" s="3"/>
      <c r="I99" s="3"/>
      <c r="J99" s="2"/>
      <c r="K99" s="2"/>
      <c r="L99" s="2"/>
      <c r="M99" s="4"/>
      <c r="N99" s="2"/>
      <c r="O99" s="5" t="str">
        <f t="shared" ca="1" si="7"/>
        <v/>
      </c>
      <c r="P99" s="6"/>
      <c r="V99" t="str">
        <f t="shared" si="8"/>
        <v/>
      </c>
      <c r="W99" t="str">
        <f t="shared" si="9"/>
        <v/>
      </c>
      <c r="X99" t="str">
        <f t="shared" si="10"/>
        <v/>
      </c>
      <c r="Y99" t="str">
        <f t="shared" si="11"/>
        <v/>
      </c>
    </row>
    <row r="100" spans="1:25" ht="14.5" x14ac:dyDescent="0.35">
      <c r="A100" s="3"/>
      <c r="B100" s="2"/>
      <c r="C100" s="2"/>
      <c r="D100" s="4"/>
      <c r="E100" s="2"/>
      <c r="F100" s="2"/>
      <c r="G100" s="3" t="str">
        <f t="shared" si="6"/>
        <v/>
      </c>
      <c r="H100" s="3"/>
      <c r="I100" s="3"/>
      <c r="J100" s="2"/>
      <c r="K100" s="2"/>
      <c r="L100" s="2"/>
      <c r="M100" s="4"/>
      <c r="N100" s="2"/>
      <c r="O100" s="5" t="str">
        <f t="shared" ca="1" si="7"/>
        <v/>
      </c>
      <c r="P100" s="6"/>
      <c r="V100" t="str">
        <f t="shared" si="8"/>
        <v/>
      </c>
      <c r="W100" t="str">
        <f t="shared" si="9"/>
        <v/>
      </c>
      <c r="X100" t="str">
        <f t="shared" si="10"/>
        <v/>
      </c>
      <c r="Y100" t="str">
        <f t="shared" si="11"/>
        <v/>
      </c>
    </row>
    <row r="101" spans="1:25" ht="14.5" x14ac:dyDescent="0.35">
      <c r="A101" s="3"/>
      <c r="B101" s="2"/>
      <c r="C101" s="2"/>
      <c r="D101" s="4"/>
      <c r="E101" s="2"/>
      <c r="F101" s="2"/>
      <c r="G101" s="3" t="str">
        <f t="shared" si="6"/>
        <v/>
      </c>
      <c r="H101" s="3"/>
      <c r="I101" s="3"/>
      <c r="J101" s="2"/>
      <c r="K101" s="2"/>
      <c r="L101" s="2"/>
      <c r="M101" s="4"/>
      <c r="N101" s="2"/>
      <c r="O101" s="5" t="str">
        <f t="shared" ca="1" si="7"/>
        <v/>
      </c>
      <c r="P101" s="6"/>
      <c r="V101" t="str">
        <f t="shared" si="8"/>
        <v/>
      </c>
      <c r="W101" t="str">
        <f t="shared" si="9"/>
        <v/>
      </c>
      <c r="X101" t="str">
        <f t="shared" si="10"/>
        <v/>
      </c>
      <c r="Y101" t="str">
        <f t="shared" si="11"/>
        <v/>
      </c>
    </row>
    <row r="102" spans="1:25" ht="14.5" x14ac:dyDescent="0.35">
      <c r="A102" s="3"/>
      <c r="B102" s="2"/>
      <c r="C102" s="2"/>
      <c r="D102" s="4"/>
      <c r="E102" s="2"/>
      <c r="F102" s="2"/>
      <c r="G102" s="3" t="str">
        <f t="shared" si="6"/>
        <v/>
      </c>
      <c r="H102" s="3"/>
      <c r="I102" s="3"/>
      <c r="J102" s="2"/>
      <c r="K102" s="2"/>
      <c r="L102" s="2"/>
      <c r="M102" s="4"/>
      <c r="N102" s="2"/>
      <c r="O102" s="5" t="str">
        <f t="shared" ca="1" si="7"/>
        <v/>
      </c>
      <c r="P102" s="6"/>
      <c r="V102" t="str">
        <f t="shared" si="8"/>
        <v/>
      </c>
      <c r="W102" t="str">
        <f t="shared" si="9"/>
        <v/>
      </c>
      <c r="X102" t="str">
        <f t="shared" si="10"/>
        <v/>
      </c>
      <c r="Y102" t="str">
        <f t="shared" si="11"/>
        <v/>
      </c>
    </row>
    <row r="103" spans="1:25" ht="14.5" x14ac:dyDescent="0.35">
      <c r="A103" s="3"/>
      <c r="B103" s="2"/>
      <c r="C103" s="2"/>
      <c r="D103" s="4"/>
      <c r="E103" s="2"/>
      <c r="F103" s="2"/>
      <c r="G103" s="3" t="str">
        <f t="shared" si="6"/>
        <v/>
      </c>
      <c r="H103" s="3"/>
      <c r="I103" s="3"/>
      <c r="J103" s="2"/>
      <c r="K103" s="2"/>
      <c r="L103" s="2"/>
      <c r="M103" s="4"/>
      <c r="N103" s="2"/>
      <c r="O103" s="5" t="str">
        <f t="shared" ca="1" si="7"/>
        <v/>
      </c>
      <c r="P103" s="6"/>
      <c r="V103" t="str">
        <f t="shared" si="8"/>
        <v/>
      </c>
      <c r="W103" t="str">
        <f t="shared" si="9"/>
        <v/>
      </c>
      <c r="X103" t="str">
        <f t="shared" si="10"/>
        <v/>
      </c>
      <c r="Y103" t="str">
        <f t="shared" si="11"/>
        <v/>
      </c>
    </row>
    <row r="104" spans="1:25" ht="14.5" x14ac:dyDescent="0.35">
      <c r="A104" s="3"/>
      <c r="B104" s="2"/>
      <c r="C104" s="2"/>
      <c r="D104" s="4"/>
      <c r="E104" s="2"/>
      <c r="F104" s="2"/>
      <c r="G104" s="3" t="str">
        <f t="shared" si="6"/>
        <v/>
      </c>
      <c r="H104" s="3"/>
      <c r="I104" s="3"/>
      <c r="J104" s="2"/>
      <c r="K104" s="2"/>
      <c r="L104" s="2"/>
      <c r="M104" s="4"/>
      <c r="N104" s="2"/>
      <c r="O104" s="5" t="str">
        <f t="shared" ca="1" si="7"/>
        <v/>
      </c>
      <c r="P104" s="6"/>
      <c r="V104" t="str">
        <f t="shared" si="8"/>
        <v/>
      </c>
      <c r="W104" t="str">
        <f t="shared" si="9"/>
        <v/>
      </c>
      <c r="X104" t="str">
        <f t="shared" si="10"/>
        <v/>
      </c>
      <c r="Y104" t="str">
        <f t="shared" si="11"/>
        <v/>
      </c>
    </row>
    <row r="105" spans="1:25" ht="14.5" x14ac:dyDescent="0.35">
      <c r="A105" s="3"/>
      <c r="B105" s="2"/>
      <c r="C105" s="2"/>
      <c r="D105" s="4"/>
      <c r="E105" s="2"/>
      <c r="F105" s="2"/>
      <c r="G105" s="3" t="str">
        <f t="shared" si="6"/>
        <v/>
      </c>
      <c r="H105" s="3"/>
      <c r="I105" s="3"/>
      <c r="J105" s="2"/>
      <c r="K105" s="2"/>
      <c r="L105" s="2"/>
      <c r="M105" s="4"/>
      <c r="N105" s="2"/>
      <c r="O105" s="5" t="str">
        <f t="shared" ca="1" si="7"/>
        <v/>
      </c>
      <c r="P105" s="6"/>
      <c r="V105" t="str">
        <f t="shared" si="8"/>
        <v/>
      </c>
      <c r="W105" t="str">
        <f t="shared" si="9"/>
        <v/>
      </c>
      <c r="X105" t="str">
        <f t="shared" si="10"/>
        <v/>
      </c>
      <c r="Y105" t="str">
        <f t="shared" si="11"/>
        <v/>
      </c>
    </row>
    <row r="106" spans="1:25" ht="14.5" x14ac:dyDescent="0.35">
      <c r="A106" s="3"/>
      <c r="B106" s="2"/>
      <c r="C106" s="2"/>
      <c r="D106" s="4"/>
      <c r="E106" s="2"/>
      <c r="F106" s="2"/>
      <c r="G106" s="3" t="str">
        <f t="shared" si="6"/>
        <v/>
      </c>
      <c r="H106" s="3"/>
      <c r="I106" s="3"/>
      <c r="J106" s="2"/>
      <c r="K106" s="2"/>
      <c r="L106" s="2"/>
      <c r="M106" s="4"/>
      <c r="N106" s="2"/>
      <c r="O106" s="5" t="str">
        <f t="shared" ca="1" si="7"/>
        <v/>
      </c>
      <c r="P106" s="6"/>
      <c r="V106" t="str">
        <f t="shared" si="8"/>
        <v/>
      </c>
      <c r="W106" t="str">
        <f t="shared" si="9"/>
        <v/>
      </c>
      <c r="X106" t="str">
        <f t="shared" si="10"/>
        <v/>
      </c>
      <c r="Y106" t="str">
        <f t="shared" si="11"/>
        <v/>
      </c>
    </row>
    <row r="107" spans="1:25" ht="14.5" x14ac:dyDescent="0.35">
      <c r="A107" s="3"/>
      <c r="B107" s="2"/>
      <c r="C107" s="2"/>
      <c r="D107" s="4"/>
      <c r="E107" s="2"/>
      <c r="F107" s="2"/>
      <c r="G107" s="3" t="str">
        <f t="shared" si="6"/>
        <v/>
      </c>
      <c r="H107" s="3"/>
      <c r="I107" s="3"/>
      <c r="J107" s="2"/>
      <c r="K107" s="2"/>
      <c r="L107" s="2"/>
      <c r="M107" s="4"/>
      <c r="N107" s="2"/>
      <c r="O107" s="5" t="str">
        <f t="shared" ca="1" si="7"/>
        <v/>
      </c>
      <c r="P107" s="6"/>
      <c r="V107" t="str">
        <f t="shared" si="8"/>
        <v/>
      </c>
      <c r="W107" t="str">
        <f t="shared" si="9"/>
        <v/>
      </c>
      <c r="X107" t="str">
        <f t="shared" si="10"/>
        <v/>
      </c>
      <c r="Y107" t="str">
        <f t="shared" si="11"/>
        <v/>
      </c>
    </row>
    <row r="108" spans="1:25" ht="14.5" x14ac:dyDescent="0.35">
      <c r="A108" s="3"/>
      <c r="B108" s="2"/>
      <c r="C108" s="2"/>
      <c r="D108" s="4"/>
      <c r="E108" s="2"/>
      <c r="F108" s="2"/>
      <c r="G108" s="3" t="str">
        <f t="shared" si="6"/>
        <v/>
      </c>
      <c r="H108" s="3"/>
      <c r="I108" s="3"/>
      <c r="J108" s="2"/>
      <c r="K108" s="2"/>
      <c r="L108" s="2"/>
      <c r="M108" s="4"/>
      <c r="N108" s="2"/>
      <c r="O108" s="5" t="str">
        <f t="shared" ca="1" si="7"/>
        <v/>
      </c>
      <c r="P108" s="6"/>
      <c r="V108" t="str">
        <f t="shared" si="8"/>
        <v/>
      </c>
      <c r="W108" t="str">
        <f t="shared" si="9"/>
        <v/>
      </c>
      <c r="X108" t="str">
        <f t="shared" si="10"/>
        <v/>
      </c>
      <c r="Y108" t="str">
        <f t="shared" si="11"/>
        <v/>
      </c>
    </row>
    <row r="109" spans="1:25" ht="14.5" x14ac:dyDescent="0.35">
      <c r="A109" s="3"/>
      <c r="B109" s="2"/>
      <c r="C109" s="2"/>
      <c r="D109" s="4"/>
      <c r="E109" s="2"/>
      <c r="F109" s="2"/>
      <c r="G109" s="3" t="str">
        <f t="shared" si="6"/>
        <v/>
      </c>
      <c r="H109" s="3"/>
      <c r="I109" s="3"/>
      <c r="J109" s="2"/>
      <c r="K109" s="2"/>
      <c r="L109" s="2"/>
      <c r="M109" s="4"/>
      <c r="N109" s="2"/>
      <c r="O109" s="5" t="str">
        <f t="shared" ca="1" si="7"/>
        <v/>
      </c>
      <c r="P109" s="6"/>
      <c r="V109" t="str">
        <f t="shared" si="8"/>
        <v/>
      </c>
      <c r="W109" t="str">
        <f t="shared" si="9"/>
        <v/>
      </c>
      <c r="X109" t="str">
        <f t="shared" si="10"/>
        <v/>
      </c>
      <c r="Y109" t="str">
        <f t="shared" si="11"/>
        <v/>
      </c>
    </row>
    <row r="110" spans="1:25" ht="14.5" x14ac:dyDescent="0.35">
      <c r="A110" s="3"/>
      <c r="B110" s="2"/>
      <c r="C110" s="2"/>
      <c r="D110" s="4"/>
      <c r="E110" s="2"/>
      <c r="F110" s="2"/>
      <c r="G110" s="3" t="str">
        <f t="shared" si="6"/>
        <v/>
      </c>
      <c r="H110" s="3"/>
      <c r="I110" s="3"/>
      <c r="J110" s="2"/>
      <c r="K110" s="2"/>
      <c r="L110" s="2"/>
      <c r="M110" s="4"/>
      <c r="N110" s="2"/>
      <c r="O110" s="5" t="str">
        <f t="shared" ca="1" si="7"/>
        <v/>
      </c>
      <c r="P110" s="6"/>
      <c r="V110" t="str">
        <f t="shared" si="8"/>
        <v/>
      </c>
      <c r="W110" t="str">
        <f t="shared" si="9"/>
        <v/>
      </c>
      <c r="X110" t="str">
        <f t="shared" si="10"/>
        <v/>
      </c>
      <c r="Y110" t="str">
        <f t="shared" si="11"/>
        <v/>
      </c>
    </row>
    <row r="111" spans="1:25" ht="14.5" x14ac:dyDescent="0.35">
      <c r="A111" s="3"/>
      <c r="B111" s="2"/>
      <c r="C111" s="2"/>
      <c r="D111" s="4"/>
      <c r="E111" s="2"/>
      <c r="F111" s="2"/>
      <c r="G111" s="3" t="str">
        <f t="shared" si="6"/>
        <v/>
      </c>
      <c r="H111" s="3"/>
      <c r="I111" s="3"/>
      <c r="J111" s="2"/>
      <c r="K111" s="2"/>
      <c r="L111" s="2"/>
      <c r="M111" s="4"/>
      <c r="N111" s="2"/>
      <c r="O111" s="5" t="str">
        <f t="shared" ca="1" si="7"/>
        <v/>
      </c>
      <c r="P111" s="6"/>
      <c r="V111" t="str">
        <f t="shared" si="8"/>
        <v/>
      </c>
      <c r="W111" t="str">
        <f t="shared" si="9"/>
        <v/>
      </c>
      <c r="X111" t="str">
        <f t="shared" si="10"/>
        <v/>
      </c>
      <c r="Y111" t="str">
        <f t="shared" si="11"/>
        <v/>
      </c>
    </row>
    <row r="112" spans="1:25" ht="14.5" x14ac:dyDescent="0.35">
      <c r="A112" s="3"/>
      <c r="B112" s="2"/>
      <c r="C112" s="2"/>
      <c r="D112" s="4"/>
      <c r="E112" s="2"/>
      <c r="F112" s="2"/>
      <c r="G112" s="3" t="str">
        <f t="shared" si="6"/>
        <v/>
      </c>
      <c r="H112" s="3"/>
      <c r="I112" s="3"/>
      <c r="J112" s="2"/>
      <c r="K112" s="2"/>
      <c r="L112" s="2"/>
      <c r="M112" s="4"/>
      <c r="N112" s="2"/>
      <c r="O112" s="5" t="str">
        <f t="shared" ca="1" si="7"/>
        <v/>
      </c>
      <c r="P112" s="6"/>
      <c r="V112" t="str">
        <f t="shared" si="8"/>
        <v/>
      </c>
      <c r="W112" t="str">
        <f t="shared" si="9"/>
        <v/>
      </c>
      <c r="X112" t="str">
        <f t="shared" si="10"/>
        <v/>
      </c>
      <c r="Y112" t="str">
        <f t="shared" si="11"/>
        <v/>
      </c>
    </row>
    <row r="113" spans="1:25" ht="14.5" x14ac:dyDescent="0.35">
      <c r="A113" s="3"/>
      <c r="B113" s="2"/>
      <c r="C113" s="2"/>
      <c r="D113" s="4"/>
      <c r="E113" s="2"/>
      <c r="F113" s="2"/>
      <c r="G113" s="3" t="str">
        <f t="shared" si="6"/>
        <v/>
      </c>
      <c r="H113" s="3"/>
      <c r="I113" s="3"/>
      <c r="J113" s="2"/>
      <c r="K113" s="2"/>
      <c r="L113" s="2"/>
      <c r="M113" s="4"/>
      <c r="N113" s="2"/>
      <c r="O113" s="5" t="str">
        <f t="shared" ca="1" si="7"/>
        <v/>
      </c>
      <c r="P113" s="6"/>
      <c r="V113" t="str">
        <f t="shared" si="8"/>
        <v/>
      </c>
      <c r="W113" t="str">
        <f t="shared" si="9"/>
        <v/>
      </c>
      <c r="X113" t="str">
        <f t="shared" si="10"/>
        <v/>
      </c>
      <c r="Y113" t="str">
        <f t="shared" si="11"/>
        <v/>
      </c>
    </row>
    <row r="114" spans="1:25" ht="14.5" x14ac:dyDescent="0.35">
      <c r="A114" s="3"/>
      <c r="B114" s="2"/>
      <c r="C114" s="2"/>
      <c r="D114" s="4"/>
      <c r="E114" s="2"/>
      <c r="F114" s="2"/>
      <c r="G114" s="3" t="str">
        <f t="shared" si="6"/>
        <v/>
      </c>
      <c r="H114" s="3"/>
      <c r="I114" s="3"/>
      <c r="J114" s="2"/>
      <c r="K114" s="2"/>
      <c r="L114" s="2"/>
      <c r="M114" s="4"/>
      <c r="N114" s="2"/>
      <c r="O114" s="5" t="str">
        <f t="shared" ca="1" si="7"/>
        <v/>
      </c>
      <c r="P114" s="6"/>
      <c r="V114" t="str">
        <f t="shared" si="8"/>
        <v/>
      </c>
      <c r="W114" t="str">
        <f t="shared" si="9"/>
        <v/>
      </c>
      <c r="X114" t="str">
        <f t="shared" si="10"/>
        <v/>
      </c>
      <c r="Y114" t="str">
        <f t="shared" si="11"/>
        <v/>
      </c>
    </row>
    <row r="115" spans="1:25" ht="14.5" x14ac:dyDescent="0.35">
      <c r="A115" s="3"/>
      <c r="B115" s="2"/>
      <c r="C115" s="2"/>
      <c r="D115" s="4"/>
      <c r="E115" s="2"/>
      <c r="F115" s="2"/>
      <c r="G115" s="3" t="str">
        <f t="shared" si="6"/>
        <v/>
      </c>
      <c r="H115" s="3"/>
      <c r="I115" s="3"/>
      <c r="J115" s="2"/>
      <c r="K115" s="2"/>
      <c r="L115" s="2"/>
      <c r="M115" s="4"/>
      <c r="N115" s="2"/>
      <c r="O115" s="5" t="str">
        <f t="shared" ca="1" si="7"/>
        <v/>
      </c>
      <c r="P115" s="6"/>
      <c r="V115" t="str">
        <f t="shared" si="8"/>
        <v/>
      </c>
      <c r="W115" t="str">
        <f t="shared" si="9"/>
        <v/>
      </c>
      <c r="X115" t="str">
        <f t="shared" si="10"/>
        <v/>
      </c>
      <c r="Y115" t="str">
        <f t="shared" si="11"/>
        <v/>
      </c>
    </row>
    <row r="116" spans="1:25" ht="14.5" x14ac:dyDescent="0.35">
      <c r="A116" s="3"/>
      <c r="B116" s="2"/>
      <c r="C116" s="2"/>
      <c r="D116" s="4"/>
      <c r="E116" s="2"/>
      <c r="F116" s="2"/>
      <c r="G116" s="3" t="str">
        <f t="shared" si="6"/>
        <v/>
      </c>
      <c r="H116" s="3"/>
      <c r="I116" s="3"/>
      <c r="J116" s="2"/>
      <c r="K116" s="2"/>
      <c r="L116" s="2"/>
      <c r="M116" s="4"/>
      <c r="N116" s="2"/>
      <c r="O116" s="5" t="str">
        <f t="shared" ca="1" si="7"/>
        <v/>
      </c>
      <c r="P116" s="6"/>
      <c r="V116" t="str">
        <f t="shared" si="8"/>
        <v/>
      </c>
      <c r="W116" t="str">
        <f t="shared" si="9"/>
        <v/>
      </c>
      <c r="X116" t="str">
        <f t="shared" si="10"/>
        <v/>
      </c>
      <c r="Y116" t="str">
        <f t="shared" si="11"/>
        <v/>
      </c>
    </row>
    <row r="117" spans="1:25" ht="14.5" x14ac:dyDescent="0.35">
      <c r="A117" s="3"/>
      <c r="B117" s="2"/>
      <c r="C117" s="2"/>
      <c r="D117" s="4"/>
      <c r="E117" s="2"/>
      <c r="F117" s="2"/>
      <c r="G117" s="3" t="str">
        <f t="shared" si="6"/>
        <v/>
      </c>
      <c r="H117" s="3"/>
      <c r="I117" s="3"/>
      <c r="J117" s="2"/>
      <c r="K117" s="2"/>
      <c r="L117" s="2"/>
      <c r="M117" s="4"/>
      <c r="N117" s="2"/>
      <c r="O117" s="5" t="str">
        <f t="shared" ca="1" si="7"/>
        <v/>
      </c>
      <c r="P117" s="6"/>
      <c r="V117" t="str">
        <f t="shared" si="8"/>
        <v/>
      </c>
      <c r="W117" t="str">
        <f t="shared" si="9"/>
        <v/>
      </c>
      <c r="X117" t="str">
        <f t="shared" si="10"/>
        <v/>
      </c>
      <c r="Y117" t="str">
        <f t="shared" si="11"/>
        <v/>
      </c>
    </row>
    <row r="118" spans="1:25" ht="14.5" x14ac:dyDescent="0.35">
      <c r="A118" s="3"/>
      <c r="B118" s="2"/>
      <c r="C118" s="2"/>
      <c r="D118" s="4"/>
      <c r="E118" s="2"/>
      <c r="F118" s="2"/>
      <c r="G118" s="3" t="str">
        <f t="shared" si="6"/>
        <v/>
      </c>
      <c r="H118" s="3"/>
      <c r="I118" s="3"/>
      <c r="J118" s="2"/>
      <c r="K118" s="2"/>
      <c r="L118" s="2"/>
      <c r="M118" s="4"/>
      <c r="N118" s="2"/>
      <c r="O118" s="5" t="str">
        <f t="shared" ca="1" si="7"/>
        <v/>
      </c>
      <c r="P118" s="6"/>
      <c r="V118" t="str">
        <f t="shared" si="8"/>
        <v/>
      </c>
      <c r="W118" t="str">
        <f t="shared" si="9"/>
        <v/>
      </c>
      <c r="X118" t="str">
        <f t="shared" si="10"/>
        <v/>
      </c>
      <c r="Y118" t="str">
        <f t="shared" si="11"/>
        <v/>
      </c>
    </row>
    <row r="119" spans="1:25" ht="14.5" x14ac:dyDescent="0.35">
      <c r="A119" s="3"/>
      <c r="B119" s="2"/>
      <c r="C119" s="2"/>
      <c r="D119" s="4"/>
      <c r="E119" s="2"/>
      <c r="F119" s="2"/>
      <c r="G119" s="3" t="str">
        <f t="shared" si="6"/>
        <v/>
      </c>
      <c r="H119" s="3"/>
      <c r="I119" s="3"/>
      <c r="J119" s="2"/>
      <c r="K119" s="2"/>
      <c r="L119" s="2"/>
      <c r="M119" s="4"/>
      <c r="N119" s="2"/>
      <c r="O119" s="5" t="str">
        <f t="shared" ca="1" si="7"/>
        <v/>
      </c>
      <c r="P119" s="6"/>
      <c r="V119" t="str">
        <f t="shared" si="8"/>
        <v/>
      </c>
      <c r="W119" t="str">
        <f t="shared" si="9"/>
        <v/>
      </c>
      <c r="X119" t="str">
        <f t="shared" si="10"/>
        <v/>
      </c>
      <c r="Y119" t="str">
        <f t="shared" si="11"/>
        <v/>
      </c>
    </row>
    <row r="120" spans="1:25" ht="14.5" x14ac:dyDescent="0.35">
      <c r="A120" s="3"/>
      <c r="B120" s="2"/>
      <c r="C120" s="2"/>
      <c r="D120" s="4"/>
      <c r="E120" s="2"/>
      <c r="F120" s="2"/>
      <c r="G120" s="3" t="str">
        <f t="shared" si="6"/>
        <v/>
      </c>
      <c r="H120" s="3"/>
      <c r="I120" s="3"/>
      <c r="J120" s="2"/>
      <c r="K120" s="2"/>
      <c r="L120" s="2"/>
      <c r="M120" s="4"/>
      <c r="N120" s="2"/>
      <c r="O120" s="5" t="str">
        <f t="shared" ca="1" si="7"/>
        <v/>
      </c>
      <c r="P120" s="6"/>
      <c r="V120" t="str">
        <f t="shared" si="8"/>
        <v/>
      </c>
      <c r="W120" t="str">
        <f t="shared" si="9"/>
        <v/>
      </c>
      <c r="X120" t="str">
        <f t="shared" si="10"/>
        <v/>
      </c>
      <c r="Y120" t="str">
        <f t="shared" si="11"/>
        <v/>
      </c>
    </row>
    <row r="121" spans="1:25" ht="14.5" x14ac:dyDescent="0.35">
      <c r="A121" s="3"/>
      <c r="B121" s="2"/>
      <c r="C121" s="2"/>
      <c r="D121" s="4"/>
      <c r="E121" s="2"/>
      <c r="F121" s="2"/>
      <c r="G121" s="3" t="str">
        <f t="shared" si="6"/>
        <v/>
      </c>
      <c r="H121" s="3"/>
      <c r="I121" s="3"/>
      <c r="J121" s="2"/>
      <c r="K121" s="2"/>
      <c r="L121" s="2"/>
      <c r="M121" s="4"/>
      <c r="N121" s="2"/>
      <c r="O121" s="5" t="str">
        <f t="shared" ca="1" si="7"/>
        <v/>
      </c>
      <c r="P121" s="6"/>
      <c r="V121" t="str">
        <f t="shared" si="8"/>
        <v/>
      </c>
      <c r="W121" t="str">
        <f t="shared" si="9"/>
        <v/>
      </c>
      <c r="X121" t="str">
        <f t="shared" si="10"/>
        <v/>
      </c>
      <c r="Y121" t="str">
        <f t="shared" si="11"/>
        <v/>
      </c>
    </row>
    <row r="122" spans="1:25" ht="14.5" x14ac:dyDescent="0.35">
      <c r="A122" s="3"/>
      <c r="B122" s="2"/>
      <c r="C122" s="2"/>
      <c r="D122" s="4"/>
      <c r="E122" s="2"/>
      <c r="F122" s="2"/>
      <c r="G122" s="3" t="str">
        <f t="shared" si="6"/>
        <v/>
      </c>
      <c r="H122" s="3"/>
      <c r="I122" s="3"/>
      <c r="J122" s="2"/>
      <c r="K122" s="2"/>
      <c r="L122" s="2"/>
      <c r="M122" s="4"/>
      <c r="N122" s="2"/>
      <c r="O122" s="5" t="str">
        <f t="shared" ca="1" si="7"/>
        <v/>
      </c>
      <c r="P122" s="6"/>
      <c r="V122" t="str">
        <f t="shared" si="8"/>
        <v/>
      </c>
      <c r="W122" t="str">
        <f t="shared" si="9"/>
        <v/>
      </c>
      <c r="X122" t="str">
        <f t="shared" si="10"/>
        <v/>
      </c>
      <c r="Y122" t="str">
        <f t="shared" si="11"/>
        <v/>
      </c>
    </row>
    <row r="123" spans="1:25" ht="14.5" x14ac:dyDescent="0.35">
      <c r="A123" s="3"/>
      <c r="B123" s="2"/>
      <c r="C123" s="2"/>
      <c r="D123" s="4"/>
      <c r="E123" s="2"/>
      <c r="F123" s="2"/>
      <c r="G123" s="3" t="str">
        <f t="shared" si="6"/>
        <v/>
      </c>
      <c r="H123" s="3"/>
      <c r="I123" s="3"/>
      <c r="J123" s="2"/>
      <c r="K123" s="2"/>
      <c r="L123" s="2"/>
      <c r="M123" s="4"/>
      <c r="N123" s="2"/>
      <c r="O123" s="5" t="str">
        <f t="shared" ca="1" si="7"/>
        <v/>
      </c>
      <c r="P123" s="6"/>
      <c r="V123" t="str">
        <f t="shared" si="8"/>
        <v/>
      </c>
      <c r="W123" t="str">
        <f t="shared" si="9"/>
        <v/>
      </c>
      <c r="X123" t="str">
        <f t="shared" si="10"/>
        <v/>
      </c>
      <c r="Y123" t="str">
        <f t="shared" si="11"/>
        <v/>
      </c>
    </row>
    <row r="124" spans="1:25" ht="14.5" x14ac:dyDescent="0.35">
      <c r="A124" s="3"/>
      <c r="B124" s="2"/>
      <c r="C124" s="2"/>
      <c r="D124" s="4"/>
      <c r="E124" s="2"/>
      <c r="F124" s="2"/>
      <c r="G124" s="3" t="str">
        <f t="shared" si="6"/>
        <v/>
      </c>
      <c r="H124" s="3"/>
      <c r="I124" s="3"/>
      <c r="J124" s="2"/>
      <c r="K124" s="2"/>
      <c r="L124" s="2"/>
      <c r="M124" s="4"/>
      <c r="N124" s="2"/>
      <c r="O124" s="5" t="str">
        <f t="shared" ca="1" si="7"/>
        <v/>
      </c>
      <c r="P124" s="6"/>
      <c r="V124" t="str">
        <f t="shared" si="8"/>
        <v/>
      </c>
      <c r="W124" t="str">
        <f t="shared" si="9"/>
        <v/>
      </c>
      <c r="X124" t="str">
        <f t="shared" si="10"/>
        <v/>
      </c>
      <c r="Y124" t="str">
        <f t="shared" si="11"/>
        <v/>
      </c>
    </row>
    <row r="125" spans="1:25" ht="14.5" x14ac:dyDescent="0.35">
      <c r="A125" s="3"/>
      <c r="B125" s="2"/>
      <c r="C125" s="2"/>
      <c r="D125" s="4"/>
      <c r="E125" s="2"/>
      <c r="F125" s="2"/>
      <c r="G125" s="3" t="str">
        <f t="shared" si="6"/>
        <v/>
      </c>
      <c r="H125" s="3"/>
      <c r="I125" s="3"/>
      <c r="J125" s="2"/>
      <c r="K125" s="2"/>
      <c r="L125" s="2"/>
      <c r="M125" s="4"/>
      <c r="N125" s="2"/>
      <c r="O125" s="5" t="str">
        <f t="shared" ca="1" si="7"/>
        <v/>
      </c>
      <c r="P125" s="6"/>
      <c r="V125" t="str">
        <f t="shared" si="8"/>
        <v/>
      </c>
      <c r="W125" t="str">
        <f t="shared" si="9"/>
        <v/>
      </c>
      <c r="X125" t="str">
        <f t="shared" si="10"/>
        <v/>
      </c>
      <c r="Y125" t="str">
        <f t="shared" si="11"/>
        <v/>
      </c>
    </row>
    <row r="126" spans="1:25" ht="14.5" x14ac:dyDescent="0.35">
      <c r="A126" s="3"/>
      <c r="B126" s="2"/>
      <c r="C126" s="2"/>
      <c r="D126" s="4"/>
      <c r="E126" s="2"/>
      <c r="F126" s="2"/>
      <c r="G126" s="3" t="str">
        <f t="shared" si="6"/>
        <v/>
      </c>
      <c r="H126" s="3"/>
      <c r="I126" s="3"/>
      <c r="J126" s="2"/>
      <c r="K126" s="2"/>
      <c r="L126" s="2"/>
      <c r="M126" s="4"/>
      <c r="N126" s="2"/>
      <c r="O126" s="5" t="str">
        <f t="shared" ca="1" si="7"/>
        <v/>
      </c>
      <c r="P126" s="6"/>
      <c r="V126" t="str">
        <f t="shared" si="8"/>
        <v/>
      </c>
      <c r="W126" t="str">
        <f t="shared" si="9"/>
        <v/>
      </c>
      <c r="X126" t="str">
        <f t="shared" si="10"/>
        <v/>
      </c>
      <c r="Y126" t="str">
        <f t="shared" si="11"/>
        <v/>
      </c>
    </row>
    <row r="127" spans="1:25" ht="14.5" x14ac:dyDescent="0.35">
      <c r="A127" s="3"/>
      <c r="B127" s="2"/>
      <c r="C127" s="2"/>
      <c r="D127" s="4"/>
      <c r="E127" s="2"/>
      <c r="F127" s="2"/>
      <c r="G127" s="3" t="str">
        <f t="shared" si="6"/>
        <v/>
      </c>
      <c r="H127" s="3"/>
      <c r="I127" s="3"/>
      <c r="J127" s="2"/>
      <c r="K127" s="2"/>
      <c r="L127" s="2"/>
      <c r="M127" s="4"/>
      <c r="N127" s="2"/>
      <c r="O127" s="5" t="str">
        <f t="shared" ca="1" si="7"/>
        <v/>
      </c>
      <c r="P127" s="6"/>
      <c r="V127" t="str">
        <f t="shared" si="8"/>
        <v/>
      </c>
      <c r="W127" t="str">
        <f t="shared" si="9"/>
        <v/>
      </c>
      <c r="X127" t="str">
        <f t="shared" si="10"/>
        <v/>
      </c>
      <c r="Y127" t="str">
        <f t="shared" si="11"/>
        <v/>
      </c>
    </row>
    <row r="128" spans="1:25" ht="14.5" x14ac:dyDescent="0.35">
      <c r="A128" s="3"/>
      <c r="B128" s="2"/>
      <c r="C128" s="2"/>
      <c r="D128" s="4"/>
      <c r="E128" s="2"/>
      <c r="F128" s="2"/>
      <c r="G128" s="3" t="str">
        <f t="shared" si="6"/>
        <v/>
      </c>
      <c r="H128" s="3"/>
      <c r="I128" s="3"/>
      <c r="J128" s="2"/>
      <c r="K128" s="2"/>
      <c r="L128" s="2"/>
      <c r="M128" s="4"/>
      <c r="N128" s="2"/>
      <c r="O128" s="5" t="str">
        <f t="shared" ca="1" si="7"/>
        <v/>
      </c>
      <c r="P128" s="6"/>
      <c r="V128" t="str">
        <f t="shared" si="8"/>
        <v/>
      </c>
      <c r="W128" t="str">
        <f t="shared" si="9"/>
        <v/>
      </c>
      <c r="X128" t="str">
        <f t="shared" si="10"/>
        <v/>
      </c>
      <c r="Y128" t="str">
        <f t="shared" si="11"/>
        <v/>
      </c>
    </row>
    <row r="129" spans="1:25" ht="14.5" x14ac:dyDescent="0.35">
      <c r="A129" s="3"/>
      <c r="B129" s="2"/>
      <c r="C129" s="2"/>
      <c r="D129" s="4"/>
      <c r="E129" s="2"/>
      <c r="F129" s="2"/>
      <c r="G129" s="3" t="str">
        <f t="shared" si="6"/>
        <v/>
      </c>
      <c r="H129" s="3"/>
      <c r="I129" s="3"/>
      <c r="J129" s="2"/>
      <c r="K129" s="2"/>
      <c r="L129" s="2"/>
      <c r="M129" s="4"/>
      <c r="N129" s="2"/>
      <c r="O129" s="5" t="str">
        <f t="shared" ca="1" si="7"/>
        <v/>
      </c>
      <c r="P129" s="6"/>
      <c r="V129" t="str">
        <f t="shared" si="8"/>
        <v/>
      </c>
      <c r="W129" t="str">
        <f t="shared" si="9"/>
        <v/>
      </c>
      <c r="X129" t="str">
        <f t="shared" si="10"/>
        <v/>
      </c>
      <c r="Y129" t="str">
        <f t="shared" si="11"/>
        <v/>
      </c>
    </row>
    <row r="130" spans="1:25" ht="14.5" x14ac:dyDescent="0.35">
      <c r="A130" s="3"/>
      <c r="B130" s="2"/>
      <c r="C130" s="2"/>
      <c r="D130" s="4"/>
      <c r="E130" s="2"/>
      <c r="F130" s="2"/>
      <c r="G130" s="3" t="str">
        <f t="shared" ref="G130:G193" si="12">IF(COUNTIF($A$2:$A$1500,A130&amp;".*")=0,"",COUNTIF($A$2:$A$1500,A130&amp;".*"))</f>
        <v/>
      </c>
      <c r="H130" s="3"/>
      <c r="I130" s="3"/>
      <c r="J130" s="2"/>
      <c r="K130" s="2"/>
      <c r="L130" s="2"/>
      <c r="M130" s="4"/>
      <c r="N130" s="2"/>
      <c r="O130" s="5" t="str">
        <f t="shared" ref="O130:O193" ca="1" si="13">IF(M130="","",INT(M130)-TODAY())</f>
        <v/>
      </c>
      <c r="P130" s="6"/>
      <c r="V130" t="str">
        <f t="shared" ref="V130:V193" si="14">IF(M130="","",M130+Q130/1000000)</f>
        <v/>
      </c>
      <c r="W130" t="str">
        <f t="shared" ref="W130:W193" si="15">IF(U130="","",IF(M130="",9999999+Q130/1000000,M130+Q130/1000000))</f>
        <v/>
      </c>
      <c r="X130" t="str">
        <f t="shared" ref="X130:X193" si="16">IF(U130="","",SUMPRODUCT(($U$2:$U$1500=U130)*($W$2:$W$1500&lt;=W130)))</f>
        <v/>
      </c>
      <c r="Y130" t="str">
        <f t="shared" ref="Y130:Y193" si="17">IF(U130="","",U130&amp;"|"&amp;X130)</f>
        <v/>
      </c>
    </row>
    <row r="131" spans="1:25" ht="14.5" x14ac:dyDescent="0.35">
      <c r="A131" s="3"/>
      <c r="B131" s="2"/>
      <c r="C131" s="2"/>
      <c r="D131" s="4"/>
      <c r="E131" s="2"/>
      <c r="F131" s="2"/>
      <c r="G131" s="3" t="str">
        <f t="shared" si="12"/>
        <v/>
      </c>
      <c r="H131" s="3"/>
      <c r="I131" s="3"/>
      <c r="J131" s="2"/>
      <c r="K131" s="2"/>
      <c r="L131" s="2"/>
      <c r="M131" s="4"/>
      <c r="N131" s="2"/>
      <c r="O131" s="5" t="str">
        <f t="shared" ca="1" si="13"/>
        <v/>
      </c>
      <c r="P131" s="6"/>
      <c r="V131" t="str">
        <f t="shared" si="14"/>
        <v/>
      </c>
      <c r="W131" t="str">
        <f t="shared" si="15"/>
        <v/>
      </c>
      <c r="X131" t="str">
        <f t="shared" si="16"/>
        <v/>
      </c>
      <c r="Y131" t="str">
        <f t="shared" si="17"/>
        <v/>
      </c>
    </row>
    <row r="132" spans="1:25" ht="14.5" x14ac:dyDescent="0.35">
      <c r="A132" s="3"/>
      <c r="B132" s="2"/>
      <c r="C132" s="2"/>
      <c r="D132" s="4"/>
      <c r="E132" s="2"/>
      <c r="F132" s="2"/>
      <c r="G132" s="3" t="str">
        <f t="shared" si="12"/>
        <v/>
      </c>
      <c r="H132" s="3"/>
      <c r="I132" s="3"/>
      <c r="J132" s="2"/>
      <c r="K132" s="2"/>
      <c r="L132" s="2"/>
      <c r="M132" s="4"/>
      <c r="N132" s="2"/>
      <c r="O132" s="5" t="str">
        <f t="shared" ca="1" si="13"/>
        <v/>
      </c>
      <c r="P132" s="6"/>
      <c r="V132" t="str">
        <f t="shared" si="14"/>
        <v/>
      </c>
      <c r="W132" t="str">
        <f t="shared" si="15"/>
        <v/>
      </c>
      <c r="X132" t="str">
        <f t="shared" si="16"/>
        <v/>
      </c>
      <c r="Y132" t="str">
        <f t="shared" si="17"/>
        <v/>
      </c>
    </row>
    <row r="133" spans="1:25" ht="14.5" x14ac:dyDescent="0.35">
      <c r="A133" s="3"/>
      <c r="B133" s="2"/>
      <c r="C133" s="2"/>
      <c r="D133" s="4"/>
      <c r="E133" s="2"/>
      <c r="F133" s="2"/>
      <c r="G133" s="3" t="str">
        <f t="shared" si="12"/>
        <v/>
      </c>
      <c r="H133" s="3"/>
      <c r="I133" s="3"/>
      <c r="J133" s="2"/>
      <c r="K133" s="2"/>
      <c r="L133" s="2"/>
      <c r="M133" s="4"/>
      <c r="N133" s="2"/>
      <c r="O133" s="5" t="str">
        <f t="shared" ca="1" si="13"/>
        <v/>
      </c>
      <c r="P133" s="6"/>
      <c r="V133" t="str">
        <f t="shared" si="14"/>
        <v/>
      </c>
      <c r="W133" t="str">
        <f t="shared" si="15"/>
        <v/>
      </c>
      <c r="X133" t="str">
        <f t="shared" si="16"/>
        <v/>
      </c>
      <c r="Y133" t="str">
        <f t="shared" si="17"/>
        <v/>
      </c>
    </row>
    <row r="134" spans="1:25" ht="14.5" x14ac:dyDescent="0.35">
      <c r="A134" s="3"/>
      <c r="B134" s="2"/>
      <c r="C134" s="2"/>
      <c r="D134" s="4"/>
      <c r="E134" s="2"/>
      <c r="F134" s="2"/>
      <c r="G134" s="3" t="str">
        <f t="shared" si="12"/>
        <v/>
      </c>
      <c r="H134" s="3"/>
      <c r="I134" s="3"/>
      <c r="J134" s="2"/>
      <c r="K134" s="2"/>
      <c r="L134" s="2"/>
      <c r="M134" s="4"/>
      <c r="N134" s="2"/>
      <c r="O134" s="5" t="str">
        <f t="shared" ca="1" si="13"/>
        <v/>
      </c>
      <c r="P134" s="6"/>
      <c r="V134" t="str">
        <f t="shared" si="14"/>
        <v/>
      </c>
      <c r="W134" t="str">
        <f t="shared" si="15"/>
        <v/>
      </c>
      <c r="X134" t="str">
        <f t="shared" si="16"/>
        <v/>
      </c>
      <c r="Y134" t="str">
        <f t="shared" si="17"/>
        <v/>
      </c>
    </row>
    <row r="135" spans="1:25" ht="14.5" x14ac:dyDescent="0.35">
      <c r="A135" s="3"/>
      <c r="B135" s="2"/>
      <c r="C135" s="2"/>
      <c r="D135" s="4"/>
      <c r="E135" s="2"/>
      <c r="F135" s="2"/>
      <c r="G135" s="3" t="str">
        <f t="shared" si="12"/>
        <v/>
      </c>
      <c r="H135" s="3"/>
      <c r="I135" s="3"/>
      <c r="J135" s="2"/>
      <c r="K135" s="2"/>
      <c r="L135" s="2"/>
      <c r="M135" s="4"/>
      <c r="N135" s="2"/>
      <c r="O135" s="5" t="str">
        <f t="shared" ca="1" si="13"/>
        <v/>
      </c>
      <c r="P135" s="6"/>
      <c r="V135" t="str">
        <f t="shared" si="14"/>
        <v/>
      </c>
      <c r="W135" t="str">
        <f t="shared" si="15"/>
        <v/>
      </c>
      <c r="X135" t="str">
        <f t="shared" si="16"/>
        <v/>
      </c>
      <c r="Y135" t="str">
        <f t="shared" si="17"/>
        <v/>
      </c>
    </row>
    <row r="136" spans="1:25" ht="14.5" x14ac:dyDescent="0.35">
      <c r="A136" s="3"/>
      <c r="B136" s="2"/>
      <c r="C136" s="2"/>
      <c r="D136" s="4"/>
      <c r="E136" s="2"/>
      <c r="F136" s="2"/>
      <c r="G136" s="3" t="str">
        <f t="shared" si="12"/>
        <v/>
      </c>
      <c r="H136" s="3"/>
      <c r="I136" s="3"/>
      <c r="J136" s="2"/>
      <c r="K136" s="2"/>
      <c r="L136" s="2"/>
      <c r="M136" s="4"/>
      <c r="N136" s="2"/>
      <c r="O136" s="5" t="str">
        <f t="shared" ca="1" si="13"/>
        <v/>
      </c>
      <c r="P136" s="6"/>
      <c r="V136" t="str">
        <f t="shared" si="14"/>
        <v/>
      </c>
      <c r="W136" t="str">
        <f t="shared" si="15"/>
        <v/>
      </c>
      <c r="X136" t="str">
        <f t="shared" si="16"/>
        <v/>
      </c>
      <c r="Y136" t="str">
        <f t="shared" si="17"/>
        <v/>
      </c>
    </row>
    <row r="137" spans="1:25" ht="14.5" x14ac:dyDescent="0.35">
      <c r="A137" s="3"/>
      <c r="B137" s="2"/>
      <c r="C137" s="2"/>
      <c r="D137" s="4"/>
      <c r="E137" s="2"/>
      <c r="F137" s="2"/>
      <c r="G137" s="3" t="str">
        <f t="shared" si="12"/>
        <v/>
      </c>
      <c r="H137" s="3"/>
      <c r="I137" s="3"/>
      <c r="J137" s="2"/>
      <c r="K137" s="2"/>
      <c r="L137" s="2"/>
      <c r="M137" s="4"/>
      <c r="N137" s="2"/>
      <c r="O137" s="5" t="str">
        <f t="shared" ca="1" si="13"/>
        <v/>
      </c>
      <c r="P137" s="6"/>
      <c r="V137" t="str">
        <f t="shared" si="14"/>
        <v/>
      </c>
      <c r="W137" t="str">
        <f t="shared" si="15"/>
        <v/>
      </c>
      <c r="X137" t="str">
        <f t="shared" si="16"/>
        <v/>
      </c>
      <c r="Y137" t="str">
        <f t="shared" si="17"/>
        <v/>
      </c>
    </row>
    <row r="138" spans="1:25" ht="14.5" x14ac:dyDescent="0.35">
      <c r="A138" s="3"/>
      <c r="B138" s="2"/>
      <c r="C138" s="2"/>
      <c r="D138" s="4"/>
      <c r="E138" s="2"/>
      <c r="F138" s="2"/>
      <c r="G138" s="3" t="str">
        <f t="shared" si="12"/>
        <v/>
      </c>
      <c r="H138" s="3"/>
      <c r="I138" s="3"/>
      <c r="J138" s="2"/>
      <c r="K138" s="2"/>
      <c r="L138" s="2"/>
      <c r="M138" s="4"/>
      <c r="N138" s="2"/>
      <c r="O138" s="5" t="str">
        <f t="shared" ca="1" si="13"/>
        <v/>
      </c>
      <c r="P138" s="6"/>
      <c r="V138" t="str">
        <f t="shared" si="14"/>
        <v/>
      </c>
      <c r="W138" t="str">
        <f t="shared" si="15"/>
        <v/>
      </c>
      <c r="X138" t="str">
        <f t="shared" si="16"/>
        <v/>
      </c>
      <c r="Y138" t="str">
        <f t="shared" si="17"/>
        <v/>
      </c>
    </row>
    <row r="139" spans="1:25" ht="14.5" x14ac:dyDescent="0.35">
      <c r="A139" s="3"/>
      <c r="B139" s="2"/>
      <c r="C139" s="2"/>
      <c r="D139" s="4"/>
      <c r="E139" s="2"/>
      <c r="F139" s="2"/>
      <c r="G139" s="3" t="str">
        <f t="shared" si="12"/>
        <v/>
      </c>
      <c r="H139" s="3"/>
      <c r="I139" s="3"/>
      <c r="J139" s="2"/>
      <c r="K139" s="2"/>
      <c r="L139" s="2"/>
      <c r="M139" s="4"/>
      <c r="N139" s="2"/>
      <c r="O139" s="5" t="str">
        <f t="shared" ca="1" si="13"/>
        <v/>
      </c>
      <c r="P139" s="6"/>
      <c r="V139" t="str">
        <f t="shared" si="14"/>
        <v/>
      </c>
      <c r="W139" t="str">
        <f t="shared" si="15"/>
        <v/>
      </c>
      <c r="X139" t="str">
        <f t="shared" si="16"/>
        <v/>
      </c>
      <c r="Y139" t="str">
        <f t="shared" si="17"/>
        <v/>
      </c>
    </row>
    <row r="140" spans="1:25" ht="14.5" x14ac:dyDescent="0.35">
      <c r="A140" s="3"/>
      <c r="B140" s="2"/>
      <c r="C140" s="2"/>
      <c r="D140" s="4"/>
      <c r="E140" s="2"/>
      <c r="F140" s="2"/>
      <c r="G140" s="3" t="str">
        <f t="shared" si="12"/>
        <v/>
      </c>
      <c r="H140" s="3"/>
      <c r="I140" s="3"/>
      <c r="J140" s="2"/>
      <c r="K140" s="2"/>
      <c r="L140" s="2"/>
      <c r="M140" s="4"/>
      <c r="N140" s="2"/>
      <c r="O140" s="5" t="str">
        <f t="shared" ca="1" si="13"/>
        <v/>
      </c>
      <c r="P140" s="6"/>
      <c r="V140" t="str">
        <f t="shared" si="14"/>
        <v/>
      </c>
      <c r="W140" t="str">
        <f t="shared" si="15"/>
        <v/>
      </c>
      <c r="X140" t="str">
        <f t="shared" si="16"/>
        <v/>
      </c>
      <c r="Y140" t="str">
        <f t="shared" si="17"/>
        <v/>
      </c>
    </row>
    <row r="141" spans="1:25" ht="14.5" x14ac:dyDescent="0.35">
      <c r="A141" s="3"/>
      <c r="B141" s="2"/>
      <c r="C141" s="2"/>
      <c r="D141" s="4"/>
      <c r="E141" s="2"/>
      <c r="F141" s="2"/>
      <c r="G141" s="3" t="str">
        <f t="shared" si="12"/>
        <v/>
      </c>
      <c r="H141" s="3"/>
      <c r="I141" s="3"/>
      <c r="J141" s="2"/>
      <c r="K141" s="2"/>
      <c r="L141" s="2"/>
      <c r="M141" s="4"/>
      <c r="N141" s="2"/>
      <c r="O141" s="5" t="str">
        <f t="shared" ca="1" si="13"/>
        <v/>
      </c>
      <c r="P141" s="6"/>
      <c r="V141" t="str">
        <f t="shared" si="14"/>
        <v/>
      </c>
      <c r="W141" t="str">
        <f t="shared" si="15"/>
        <v/>
      </c>
      <c r="X141" t="str">
        <f t="shared" si="16"/>
        <v/>
      </c>
      <c r="Y141" t="str">
        <f t="shared" si="17"/>
        <v/>
      </c>
    </row>
    <row r="142" spans="1:25" ht="14.5" x14ac:dyDescent="0.35">
      <c r="A142" s="3"/>
      <c r="B142" s="2"/>
      <c r="C142" s="2"/>
      <c r="D142" s="4"/>
      <c r="E142" s="2"/>
      <c r="F142" s="2"/>
      <c r="G142" s="3" t="str">
        <f t="shared" si="12"/>
        <v/>
      </c>
      <c r="H142" s="3"/>
      <c r="I142" s="3"/>
      <c r="J142" s="2"/>
      <c r="K142" s="2"/>
      <c r="L142" s="2"/>
      <c r="M142" s="4"/>
      <c r="N142" s="2"/>
      <c r="O142" s="5" t="str">
        <f t="shared" ca="1" si="13"/>
        <v/>
      </c>
      <c r="P142" s="6"/>
      <c r="V142" t="str">
        <f t="shared" si="14"/>
        <v/>
      </c>
      <c r="W142" t="str">
        <f t="shared" si="15"/>
        <v/>
      </c>
      <c r="X142" t="str">
        <f t="shared" si="16"/>
        <v/>
      </c>
      <c r="Y142" t="str">
        <f t="shared" si="17"/>
        <v/>
      </c>
    </row>
    <row r="143" spans="1:25" ht="14.5" x14ac:dyDescent="0.35">
      <c r="A143" s="3"/>
      <c r="B143" s="2"/>
      <c r="C143" s="2"/>
      <c r="D143" s="4"/>
      <c r="E143" s="2"/>
      <c r="F143" s="2"/>
      <c r="G143" s="3" t="str">
        <f t="shared" si="12"/>
        <v/>
      </c>
      <c r="H143" s="3"/>
      <c r="I143" s="3"/>
      <c r="J143" s="2"/>
      <c r="K143" s="2"/>
      <c r="L143" s="2"/>
      <c r="M143" s="4"/>
      <c r="N143" s="2"/>
      <c r="O143" s="5" t="str">
        <f t="shared" ca="1" si="13"/>
        <v/>
      </c>
      <c r="P143" s="6"/>
      <c r="V143" t="str">
        <f t="shared" si="14"/>
        <v/>
      </c>
      <c r="W143" t="str">
        <f t="shared" si="15"/>
        <v/>
      </c>
      <c r="X143" t="str">
        <f t="shared" si="16"/>
        <v/>
      </c>
      <c r="Y143" t="str">
        <f t="shared" si="17"/>
        <v/>
      </c>
    </row>
    <row r="144" spans="1:25" ht="14.5" x14ac:dyDescent="0.35">
      <c r="A144" s="3"/>
      <c r="B144" s="2"/>
      <c r="C144" s="2"/>
      <c r="D144" s="4"/>
      <c r="E144" s="2"/>
      <c r="F144" s="2"/>
      <c r="G144" s="3" t="str">
        <f t="shared" si="12"/>
        <v/>
      </c>
      <c r="H144" s="3"/>
      <c r="I144" s="3"/>
      <c r="J144" s="2"/>
      <c r="K144" s="2"/>
      <c r="L144" s="2"/>
      <c r="M144" s="4"/>
      <c r="N144" s="2"/>
      <c r="O144" s="5" t="str">
        <f t="shared" ca="1" si="13"/>
        <v/>
      </c>
      <c r="P144" s="6"/>
      <c r="V144" t="str">
        <f t="shared" si="14"/>
        <v/>
      </c>
      <c r="W144" t="str">
        <f t="shared" si="15"/>
        <v/>
      </c>
      <c r="X144" t="str">
        <f t="shared" si="16"/>
        <v/>
      </c>
      <c r="Y144" t="str">
        <f t="shared" si="17"/>
        <v/>
      </c>
    </row>
    <row r="145" spans="1:25" ht="14.5" x14ac:dyDescent="0.35">
      <c r="A145" s="3"/>
      <c r="B145" s="2"/>
      <c r="C145" s="2"/>
      <c r="D145" s="4"/>
      <c r="E145" s="2"/>
      <c r="F145" s="2"/>
      <c r="G145" s="3" t="str">
        <f t="shared" si="12"/>
        <v/>
      </c>
      <c r="H145" s="3"/>
      <c r="I145" s="3"/>
      <c r="J145" s="2"/>
      <c r="K145" s="2"/>
      <c r="L145" s="2"/>
      <c r="M145" s="4"/>
      <c r="N145" s="2"/>
      <c r="O145" s="5" t="str">
        <f t="shared" ca="1" si="13"/>
        <v/>
      </c>
      <c r="P145" s="6"/>
      <c r="V145" t="str">
        <f t="shared" si="14"/>
        <v/>
      </c>
      <c r="W145" t="str">
        <f t="shared" si="15"/>
        <v/>
      </c>
      <c r="X145" t="str">
        <f t="shared" si="16"/>
        <v/>
      </c>
      <c r="Y145" t="str">
        <f t="shared" si="17"/>
        <v/>
      </c>
    </row>
    <row r="146" spans="1:25" ht="14.5" x14ac:dyDescent="0.35">
      <c r="A146" s="3"/>
      <c r="B146" s="2"/>
      <c r="C146" s="2"/>
      <c r="D146" s="4"/>
      <c r="E146" s="2"/>
      <c r="F146" s="2"/>
      <c r="G146" s="3" t="str">
        <f t="shared" si="12"/>
        <v/>
      </c>
      <c r="H146" s="3"/>
      <c r="I146" s="3"/>
      <c r="J146" s="2"/>
      <c r="K146" s="2"/>
      <c r="L146" s="2"/>
      <c r="M146" s="4"/>
      <c r="N146" s="2"/>
      <c r="O146" s="5" t="str">
        <f t="shared" ca="1" si="13"/>
        <v/>
      </c>
      <c r="P146" s="6"/>
      <c r="V146" t="str">
        <f t="shared" si="14"/>
        <v/>
      </c>
      <c r="W146" t="str">
        <f t="shared" si="15"/>
        <v/>
      </c>
      <c r="X146" t="str">
        <f t="shared" si="16"/>
        <v/>
      </c>
      <c r="Y146" t="str">
        <f t="shared" si="17"/>
        <v/>
      </c>
    </row>
    <row r="147" spans="1:25" ht="14.5" x14ac:dyDescent="0.35">
      <c r="A147" s="3"/>
      <c r="B147" s="2"/>
      <c r="C147" s="2"/>
      <c r="D147" s="4"/>
      <c r="E147" s="2"/>
      <c r="F147" s="2"/>
      <c r="G147" s="3" t="str">
        <f t="shared" si="12"/>
        <v/>
      </c>
      <c r="H147" s="3"/>
      <c r="I147" s="3"/>
      <c r="J147" s="2"/>
      <c r="K147" s="2"/>
      <c r="L147" s="2"/>
      <c r="M147" s="4"/>
      <c r="N147" s="2"/>
      <c r="O147" s="5" t="str">
        <f t="shared" ca="1" si="13"/>
        <v/>
      </c>
      <c r="P147" s="6"/>
      <c r="V147" t="str">
        <f t="shared" si="14"/>
        <v/>
      </c>
      <c r="W147" t="str">
        <f t="shared" si="15"/>
        <v/>
      </c>
      <c r="X147" t="str">
        <f t="shared" si="16"/>
        <v/>
      </c>
      <c r="Y147" t="str">
        <f t="shared" si="17"/>
        <v/>
      </c>
    </row>
    <row r="148" spans="1:25" ht="14.5" x14ac:dyDescent="0.35">
      <c r="A148" s="3"/>
      <c r="B148" s="2"/>
      <c r="C148" s="2"/>
      <c r="D148" s="4"/>
      <c r="E148" s="2"/>
      <c r="F148" s="2"/>
      <c r="G148" s="3" t="str">
        <f t="shared" si="12"/>
        <v/>
      </c>
      <c r="H148" s="3"/>
      <c r="I148" s="3"/>
      <c r="J148" s="2"/>
      <c r="K148" s="2"/>
      <c r="L148" s="2"/>
      <c r="M148" s="4"/>
      <c r="N148" s="2"/>
      <c r="O148" s="5" t="str">
        <f t="shared" ca="1" si="13"/>
        <v/>
      </c>
      <c r="P148" s="6"/>
      <c r="V148" t="str">
        <f t="shared" si="14"/>
        <v/>
      </c>
      <c r="W148" t="str">
        <f t="shared" si="15"/>
        <v/>
      </c>
      <c r="X148" t="str">
        <f t="shared" si="16"/>
        <v/>
      </c>
      <c r="Y148" t="str">
        <f t="shared" si="17"/>
        <v/>
      </c>
    </row>
    <row r="149" spans="1:25" ht="14.5" x14ac:dyDescent="0.35">
      <c r="A149" s="3"/>
      <c r="B149" s="2"/>
      <c r="C149" s="2"/>
      <c r="D149" s="4"/>
      <c r="E149" s="2"/>
      <c r="F149" s="2"/>
      <c r="G149" s="3" t="str">
        <f t="shared" si="12"/>
        <v/>
      </c>
      <c r="H149" s="3"/>
      <c r="I149" s="3"/>
      <c r="J149" s="2"/>
      <c r="K149" s="2"/>
      <c r="L149" s="2"/>
      <c r="M149" s="4"/>
      <c r="N149" s="2"/>
      <c r="O149" s="5" t="str">
        <f t="shared" ca="1" si="13"/>
        <v/>
      </c>
      <c r="P149" s="6"/>
      <c r="V149" t="str">
        <f t="shared" si="14"/>
        <v/>
      </c>
      <c r="W149" t="str">
        <f t="shared" si="15"/>
        <v/>
      </c>
      <c r="X149" t="str">
        <f t="shared" si="16"/>
        <v/>
      </c>
      <c r="Y149" t="str">
        <f t="shared" si="17"/>
        <v/>
      </c>
    </row>
    <row r="150" spans="1:25" ht="14.5" x14ac:dyDescent="0.35">
      <c r="A150" s="3"/>
      <c r="B150" s="2"/>
      <c r="C150" s="2"/>
      <c r="D150" s="4"/>
      <c r="E150" s="2"/>
      <c r="F150" s="2"/>
      <c r="G150" s="3" t="str">
        <f t="shared" si="12"/>
        <v/>
      </c>
      <c r="H150" s="3"/>
      <c r="I150" s="3"/>
      <c r="J150" s="2"/>
      <c r="K150" s="2"/>
      <c r="L150" s="2"/>
      <c r="M150" s="4"/>
      <c r="N150" s="2"/>
      <c r="O150" s="5" t="str">
        <f t="shared" ca="1" si="13"/>
        <v/>
      </c>
      <c r="P150" s="6"/>
      <c r="V150" t="str">
        <f t="shared" si="14"/>
        <v/>
      </c>
      <c r="W150" t="str">
        <f t="shared" si="15"/>
        <v/>
      </c>
      <c r="X150" t="str">
        <f t="shared" si="16"/>
        <v/>
      </c>
      <c r="Y150" t="str">
        <f t="shared" si="17"/>
        <v/>
      </c>
    </row>
    <row r="151" spans="1:25" ht="14.5" x14ac:dyDescent="0.35">
      <c r="A151" s="3"/>
      <c r="B151" s="2"/>
      <c r="C151" s="2"/>
      <c r="D151" s="4"/>
      <c r="E151" s="2"/>
      <c r="F151" s="2"/>
      <c r="G151" s="3" t="str">
        <f t="shared" si="12"/>
        <v/>
      </c>
      <c r="H151" s="3"/>
      <c r="I151" s="3"/>
      <c r="J151" s="2"/>
      <c r="K151" s="2"/>
      <c r="L151" s="2"/>
      <c r="M151" s="4"/>
      <c r="N151" s="2"/>
      <c r="O151" s="5" t="str">
        <f t="shared" ca="1" si="13"/>
        <v/>
      </c>
      <c r="P151" s="6"/>
      <c r="V151" t="str">
        <f t="shared" si="14"/>
        <v/>
      </c>
      <c r="W151" t="str">
        <f t="shared" si="15"/>
        <v/>
      </c>
      <c r="X151" t="str">
        <f t="shared" si="16"/>
        <v/>
      </c>
      <c r="Y151" t="str">
        <f t="shared" si="17"/>
        <v/>
      </c>
    </row>
    <row r="152" spans="1:25" ht="14.5" x14ac:dyDescent="0.35">
      <c r="A152" s="3"/>
      <c r="B152" s="2"/>
      <c r="C152" s="2"/>
      <c r="D152" s="4"/>
      <c r="E152" s="2"/>
      <c r="F152" s="2"/>
      <c r="G152" s="3" t="str">
        <f t="shared" si="12"/>
        <v/>
      </c>
      <c r="H152" s="3"/>
      <c r="I152" s="3"/>
      <c r="J152" s="2"/>
      <c r="K152" s="2"/>
      <c r="L152" s="2"/>
      <c r="M152" s="4"/>
      <c r="N152" s="2"/>
      <c r="O152" s="5" t="str">
        <f t="shared" ca="1" si="13"/>
        <v/>
      </c>
      <c r="P152" s="6"/>
      <c r="V152" t="str">
        <f t="shared" si="14"/>
        <v/>
      </c>
      <c r="W152" t="str">
        <f t="shared" si="15"/>
        <v/>
      </c>
      <c r="X152" t="str">
        <f t="shared" si="16"/>
        <v/>
      </c>
      <c r="Y152" t="str">
        <f t="shared" si="17"/>
        <v/>
      </c>
    </row>
    <row r="153" spans="1:25" ht="14.5" x14ac:dyDescent="0.35">
      <c r="A153" s="3"/>
      <c r="B153" s="2"/>
      <c r="C153" s="2"/>
      <c r="D153" s="4"/>
      <c r="E153" s="2"/>
      <c r="F153" s="2"/>
      <c r="G153" s="3" t="str">
        <f t="shared" si="12"/>
        <v/>
      </c>
      <c r="H153" s="3"/>
      <c r="I153" s="3"/>
      <c r="J153" s="2"/>
      <c r="K153" s="2"/>
      <c r="L153" s="2"/>
      <c r="M153" s="4"/>
      <c r="N153" s="2"/>
      <c r="O153" s="5" t="str">
        <f t="shared" ca="1" si="13"/>
        <v/>
      </c>
      <c r="P153" s="6"/>
      <c r="V153" t="str">
        <f t="shared" si="14"/>
        <v/>
      </c>
      <c r="W153" t="str">
        <f t="shared" si="15"/>
        <v/>
      </c>
      <c r="X153" t="str">
        <f t="shared" si="16"/>
        <v/>
      </c>
      <c r="Y153" t="str">
        <f t="shared" si="17"/>
        <v/>
      </c>
    </row>
    <row r="154" spans="1:25" ht="14.5" x14ac:dyDescent="0.35">
      <c r="A154" s="3"/>
      <c r="B154" s="2"/>
      <c r="C154" s="2"/>
      <c r="D154" s="4"/>
      <c r="E154" s="2"/>
      <c r="F154" s="2"/>
      <c r="G154" s="3" t="str">
        <f t="shared" si="12"/>
        <v/>
      </c>
      <c r="H154" s="3"/>
      <c r="I154" s="3"/>
      <c r="J154" s="2"/>
      <c r="K154" s="2"/>
      <c r="L154" s="2"/>
      <c r="M154" s="4"/>
      <c r="N154" s="2"/>
      <c r="O154" s="5" t="str">
        <f t="shared" ca="1" si="13"/>
        <v/>
      </c>
      <c r="P154" s="6"/>
      <c r="V154" t="str">
        <f t="shared" si="14"/>
        <v/>
      </c>
      <c r="W154" t="str">
        <f t="shared" si="15"/>
        <v/>
      </c>
      <c r="X154" t="str">
        <f t="shared" si="16"/>
        <v/>
      </c>
      <c r="Y154" t="str">
        <f t="shared" si="17"/>
        <v/>
      </c>
    </row>
    <row r="155" spans="1:25" ht="14.5" x14ac:dyDescent="0.35">
      <c r="A155" s="3"/>
      <c r="B155" s="2"/>
      <c r="C155" s="2"/>
      <c r="D155" s="4"/>
      <c r="E155" s="2"/>
      <c r="F155" s="2"/>
      <c r="G155" s="3" t="str">
        <f t="shared" si="12"/>
        <v/>
      </c>
      <c r="H155" s="3"/>
      <c r="I155" s="3"/>
      <c r="J155" s="2"/>
      <c r="K155" s="2"/>
      <c r="L155" s="2"/>
      <c r="M155" s="4"/>
      <c r="N155" s="2"/>
      <c r="O155" s="5" t="str">
        <f t="shared" ca="1" si="13"/>
        <v/>
      </c>
      <c r="P155" s="6"/>
      <c r="V155" t="str">
        <f t="shared" si="14"/>
        <v/>
      </c>
      <c r="W155" t="str">
        <f t="shared" si="15"/>
        <v/>
      </c>
      <c r="X155" t="str">
        <f t="shared" si="16"/>
        <v/>
      </c>
      <c r="Y155" t="str">
        <f t="shared" si="17"/>
        <v/>
      </c>
    </row>
    <row r="156" spans="1:25" ht="14.5" x14ac:dyDescent="0.35">
      <c r="A156" s="3"/>
      <c r="B156" s="2"/>
      <c r="C156" s="2"/>
      <c r="D156" s="4"/>
      <c r="E156" s="2"/>
      <c r="F156" s="2"/>
      <c r="G156" s="3" t="str">
        <f t="shared" si="12"/>
        <v/>
      </c>
      <c r="H156" s="3"/>
      <c r="I156" s="3"/>
      <c r="J156" s="2"/>
      <c r="K156" s="2"/>
      <c r="L156" s="2"/>
      <c r="M156" s="4"/>
      <c r="N156" s="2"/>
      <c r="O156" s="5" t="str">
        <f t="shared" ca="1" si="13"/>
        <v/>
      </c>
      <c r="P156" s="6"/>
      <c r="V156" t="str">
        <f t="shared" si="14"/>
        <v/>
      </c>
      <c r="W156" t="str">
        <f t="shared" si="15"/>
        <v/>
      </c>
      <c r="X156" t="str">
        <f t="shared" si="16"/>
        <v/>
      </c>
      <c r="Y156" t="str">
        <f t="shared" si="17"/>
        <v/>
      </c>
    </row>
    <row r="157" spans="1:25" ht="14.5" x14ac:dyDescent="0.35">
      <c r="A157" s="3"/>
      <c r="B157" s="2"/>
      <c r="C157" s="2"/>
      <c r="D157" s="4"/>
      <c r="E157" s="2"/>
      <c r="F157" s="2"/>
      <c r="G157" s="3" t="str">
        <f t="shared" si="12"/>
        <v/>
      </c>
      <c r="H157" s="3"/>
      <c r="I157" s="3"/>
      <c r="J157" s="2"/>
      <c r="K157" s="2"/>
      <c r="L157" s="2"/>
      <c r="M157" s="4"/>
      <c r="N157" s="2"/>
      <c r="O157" s="5" t="str">
        <f t="shared" ca="1" si="13"/>
        <v/>
      </c>
      <c r="P157" s="6"/>
      <c r="V157" t="str">
        <f t="shared" si="14"/>
        <v/>
      </c>
      <c r="W157" t="str">
        <f t="shared" si="15"/>
        <v/>
      </c>
      <c r="X157" t="str">
        <f t="shared" si="16"/>
        <v/>
      </c>
      <c r="Y157" t="str">
        <f t="shared" si="17"/>
        <v/>
      </c>
    </row>
    <row r="158" spans="1:25" ht="14.5" x14ac:dyDescent="0.35">
      <c r="A158" s="3"/>
      <c r="B158" s="2"/>
      <c r="C158" s="2"/>
      <c r="D158" s="4"/>
      <c r="E158" s="2"/>
      <c r="F158" s="2"/>
      <c r="G158" s="3" t="str">
        <f t="shared" si="12"/>
        <v/>
      </c>
      <c r="H158" s="3"/>
      <c r="I158" s="3"/>
      <c r="J158" s="2"/>
      <c r="K158" s="2"/>
      <c r="L158" s="2"/>
      <c r="M158" s="4"/>
      <c r="N158" s="2"/>
      <c r="O158" s="5" t="str">
        <f t="shared" ca="1" si="13"/>
        <v/>
      </c>
      <c r="P158" s="6"/>
      <c r="V158" t="str">
        <f t="shared" si="14"/>
        <v/>
      </c>
      <c r="W158" t="str">
        <f t="shared" si="15"/>
        <v/>
      </c>
      <c r="X158" t="str">
        <f t="shared" si="16"/>
        <v/>
      </c>
      <c r="Y158" t="str">
        <f t="shared" si="17"/>
        <v/>
      </c>
    </row>
    <row r="159" spans="1:25" ht="14.5" x14ac:dyDescent="0.35">
      <c r="A159" s="3"/>
      <c r="B159" s="2"/>
      <c r="C159" s="2"/>
      <c r="D159" s="4"/>
      <c r="E159" s="2"/>
      <c r="F159" s="2"/>
      <c r="G159" s="3" t="str">
        <f t="shared" si="12"/>
        <v/>
      </c>
      <c r="H159" s="3"/>
      <c r="I159" s="3"/>
      <c r="J159" s="2"/>
      <c r="K159" s="2"/>
      <c r="L159" s="2"/>
      <c r="M159" s="4"/>
      <c r="N159" s="2"/>
      <c r="O159" s="5" t="str">
        <f t="shared" ca="1" si="13"/>
        <v/>
      </c>
      <c r="P159" s="6"/>
      <c r="V159" t="str">
        <f t="shared" si="14"/>
        <v/>
      </c>
      <c r="W159" t="str">
        <f t="shared" si="15"/>
        <v/>
      </c>
      <c r="X159" t="str">
        <f t="shared" si="16"/>
        <v/>
      </c>
      <c r="Y159" t="str">
        <f t="shared" si="17"/>
        <v/>
      </c>
    </row>
    <row r="160" spans="1:25" ht="14.5" x14ac:dyDescent="0.35">
      <c r="A160" s="3"/>
      <c r="B160" s="2"/>
      <c r="C160" s="2"/>
      <c r="D160" s="4"/>
      <c r="E160" s="2"/>
      <c r="F160" s="2"/>
      <c r="G160" s="3" t="str">
        <f t="shared" si="12"/>
        <v/>
      </c>
      <c r="H160" s="3"/>
      <c r="I160" s="3"/>
      <c r="J160" s="2"/>
      <c r="K160" s="2"/>
      <c r="L160" s="2"/>
      <c r="M160" s="4"/>
      <c r="N160" s="2"/>
      <c r="O160" s="5" t="str">
        <f t="shared" ca="1" si="13"/>
        <v/>
      </c>
      <c r="P160" s="6"/>
      <c r="V160" t="str">
        <f t="shared" si="14"/>
        <v/>
      </c>
      <c r="W160" t="str">
        <f t="shared" si="15"/>
        <v/>
      </c>
      <c r="X160" t="str">
        <f t="shared" si="16"/>
        <v/>
      </c>
      <c r="Y160" t="str">
        <f t="shared" si="17"/>
        <v/>
      </c>
    </row>
    <row r="161" spans="1:25" ht="14.5" x14ac:dyDescent="0.35">
      <c r="A161" s="3"/>
      <c r="B161" s="2"/>
      <c r="C161" s="2"/>
      <c r="D161" s="4"/>
      <c r="E161" s="2"/>
      <c r="F161" s="2"/>
      <c r="G161" s="3" t="str">
        <f t="shared" si="12"/>
        <v/>
      </c>
      <c r="H161" s="3"/>
      <c r="I161" s="3"/>
      <c r="J161" s="2"/>
      <c r="K161" s="2"/>
      <c r="L161" s="2"/>
      <c r="M161" s="4"/>
      <c r="N161" s="2"/>
      <c r="O161" s="5" t="str">
        <f t="shared" ca="1" si="13"/>
        <v/>
      </c>
      <c r="P161" s="6"/>
      <c r="V161" t="str">
        <f t="shared" si="14"/>
        <v/>
      </c>
      <c r="W161" t="str">
        <f t="shared" si="15"/>
        <v/>
      </c>
      <c r="X161" t="str">
        <f t="shared" si="16"/>
        <v/>
      </c>
      <c r="Y161" t="str">
        <f t="shared" si="17"/>
        <v/>
      </c>
    </row>
    <row r="162" spans="1:25" ht="14.5" x14ac:dyDescent="0.35">
      <c r="A162" s="3"/>
      <c r="B162" s="2"/>
      <c r="C162" s="2"/>
      <c r="D162" s="4"/>
      <c r="E162" s="2"/>
      <c r="F162" s="2"/>
      <c r="G162" s="3" t="str">
        <f t="shared" si="12"/>
        <v/>
      </c>
      <c r="H162" s="3"/>
      <c r="I162" s="3"/>
      <c r="J162" s="2"/>
      <c r="K162" s="2"/>
      <c r="L162" s="2"/>
      <c r="M162" s="4"/>
      <c r="N162" s="2"/>
      <c r="O162" s="5" t="str">
        <f t="shared" ca="1" si="13"/>
        <v/>
      </c>
      <c r="P162" s="6"/>
      <c r="V162" t="str">
        <f t="shared" si="14"/>
        <v/>
      </c>
      <c r="W162" t="str">
        <f t="shared" si="15"/>
        <v/>
      </c>
      <c r="X162" t="str">
        <f t="shared" si="16"/>
        <v/>
      </c>
      <c r="Y162" t="str">
        <f t="shared" si="17"/>
        <v/>
      </c>
    </row>
    <row r="163" spans="1:25" ht="14.5" x14ac:dyDescent="0.35">
      <c r="A163" s="3"/>
      <c r="B163" s="2"/>
      <c r="C163" s="2"/>
      <c r="D163" s="4"/>
      <c r="E163" s="2"/>
      <c r="F163" s="2"/>
      <c r="G163" s="3" t="str">
        <f t="shared" si="12"/>
        <v/>
      </c>
      <c r="H163" s="3"/>
      <c r="I163" s="3"/>
      <c r="J163" s="2"/>
      <c r="K163" s="2"/>
      <c r="L163" s="2"/>
      <c r="M163" s="4"/>
      <c r="N163" s="2"/>
      <c r="O163" s="5" t="str">
        <f t="shared" ca="1" si="13"/>
        <v/>
      </c>
      <c r="P163" s="6"/>
      <c r="V163" t="str">
        <f t="shared" si="14"/>
        <v/>
      </c>
      <c r="W163" t="str">
        <f t="shared" si="15"/>
        <v/>
      </c>
      <c r="X163" t="str">
        <f t="shared" si="16"/>
        <v/>
      </c>
      <c r="Y163" t="str">
        <f t="shared" si="17"/>
        <v/>
      </c>
    </row>
    <row r="164" spans="1:25" ht="14.5" x14ac:dyDescent="0.35">
      <c r="A164" s="3"/>
      <c r="B164" s="2"/>
      <c r="C164" s="2"/>
      <c r="D164" s="4"/>
      <c r="E164" s="2"/>
      <c r="F164" s="2"/>
      <c r="G164" s="3" t="str">
        <f t="shared" si="12"/>
        <v/>
      </c>
      <c r="H164" s="3"/>
      <c r="I164" s="3"/>
      <c r="J164" s="2"/>
      <c r="K164" s="2"/>
      <c r="L164" s="2"/>
      <c r="M164" s="4"/>
      <c r="N164" s="2"/>
      <c r="O164" s="5" t="str">
        <f t="shared" ca="1" si="13"/>
        <v/>
      </c>
      <c r="P164" s="6"/>
      <c r="V164" t="str">
        <f t="shared" si="14"/>
        <v/>
      </c>
      <c r="W164" t="str">
        <f t="shared" si="15"/>
        <v/>
      </c>
      <c r="X164" t="str">
        <f t="shared" si="16"/>
        <v/>
      </c>
      <c r="Y164" t="str">
        <f t="shared" si="17"/>
        <v/>
      </c>
    </row>
    <row r="165" spans="1:25" ht="14.5" x14ac:dyDescent="0.35">
      <c r="A165" s="3"/>
      <c r="B165" s="2"/>
      <c r="C165" s="2"/>
      <c r="D165" s="4"/>
      <c r="E165" s="2"/>
      <c r="F165" s="2"/>
      <c r="G165" s="3" t="str">
        <f t="shared" si="12"/>
        <v/>
      </c>
      <c r="H165" s="3"/>
      <c r="I165" s="3"/>
      <c r="J165" s="2"/>
      <c r="K165" s="2"/>
      <c r="L165" s="2"/>
      <c r="M165" s="4"/>
      <c r="N165" s="2"/>
      <c r="O165" s="5" t="str">
        <f t="shared" ca="1" si="13"/>
        <v/>
      </c>
      <c r="P165" s="6"/>
      <c r="V165" t="str">
        <f t="shared" si="14"/>
        <v/>
      </c>
      <c r="W165" t="str">
        <f t="shared" si="15"/>
        <v/>
      </c>
      <c r="X165" t="str">
        <f t="shared" si="16"/>
        <v/>
      </c>
      <c r="Y165" t="str">
        <f t="shared" si="17"/>
        <v/>
      </c>
    </row>
    <row r="166" spans="1:25" ht="14.5" x14ac:dyDescent="0.35">
      <c r="A166" s="3"/>
      <c r="B166" s="2"/>
      <c r="C166" s="2"/>
      <c r="D166" s="4"/>
      <c r="E166" s="2"/>
      <c r="F166" s="2"/>
      <c r="G166" s="3" t="str">
        <f t="shared" si="12"/>
        <v/>
      </c>
      <c r="H166" s="3"/>
      <c r="I166" s="3"/>
      <c r="J166" s="2"/>
      <c r="K166" s="2"/>
      <c r="L166" s="2"/>
      <c r="M166" s="4"/>
      <c r="N166" s="2"/>
      <c r="O166" s="5" t="str">
        <f t="shared" ca="1" si="13"/>
        <v/>
      </c>
      <c r="P166" s="6"/>
      <c r="V166" t="str">
        <f t="shared" si="14"/>
        <v/>
      </c>
      <c r="W166" t="str">
        <f t="shared" si="15"/>
        <v/>
      </c>
      <c r="X166" t="str">
        <f t="shared" si="16"/>
        <v/>
      </c>
      <c r="Y166" t="str">
        <f t="shared" si="17"/>
        <v/>
      </c>
    </row>
    <row r="167" spans="1:25" ht="14.5" x14ac:dyDescent="0.35">
      <c r="A167" s="3"/>
      <c r="B167" s="2"/>
      <c r="C167" s="2"/>
      <c r="D167" s="4"/>
      <c r="E167" s="2"/>
      <c r="F167" s="2"/>
      <c r="G167" s="3" t="str">
        <f t="shared" si="12"/>
        <v/>
      </c>
      <c r="H167" s="3"/>
      <c r="I167" s="3"/>
      <c r="J167" s="2"/>
      <c r="K167" s="2"/>
      <c r="L167" s="2"/>
      <c r="M167" s="4"/>
      <c r="N167" s="2"/>
      <c r="O167" s="5" t="str">
        <f t="shared" ca="1" si="13"/>
        <v/>
      </c>
      <c r="P167" s="6"/>
      <c r="V167" t="str">
        <f t="shared" si="14"/>
        <v/>
      </c>
      <c r="W167" t="str">
        <f t="shared" si="15"/>
        <v/>
      </c>
      <c r="X167" t="str">
        <f t="shared" si="16"/>
        <v/>
      </c>
      <c r="Y167" t="str">
        <f t="shared" si="17"/>
        <v/>
      </c>
    </row>
    <row r="168" spans="1:25" ht="14.5" x14ac:dyDescent="0.35">
      <c r="A168" s="3"/>
      <c r="B168" s="2"/>
      <c r="C168" s="2"/>
      <c r="D168" s="4"/>
      <c r="E168" s="2"/>
      <c r="F168" s="2"/>
      <c r="G168" s="3" t="str">
        <f t="shared" si="12"/>
        <v/>
      </c>
      <c r="H168" s="3"/>
      <c r="I168" s="3"/>
      <c r="J168" s="2"/>
      <c r="K168" s="2"/>
      <c r="L168" s="2"/>
      <c r="M168" s="4"/>
      <c r="N168" s="2"/>
      <c r="O168" s="5" t="str">
        <f t="shared" ca="1" si="13"/>
        <v/>
      </c>
      <c r="P168" s="6"/>
      <c r="V168" t="str">
        <f t="shared" si="14"/>
        <v/>
      </c>
      <c r="W168" t="str">
        <f t="shared" si="15"/>
        <v/>
      </c>
      <c r="X168" t="str">
        <f t="shared" si="16"/>
        <v/>
      </c>
      <c r="Y168" t="str">
        <f t="shared" si="17"/>
        <v/>
      </c>
    </row>
    <row r="169" spans="1:25" ht="14.5" x14ac:dyDescent="0.35">
      <c r="A169" s="3"/>
      <c r="B169" s="2"/>
      <c r="C169" s="2"/>
      <c r="D169" s="4"/>
      <c r="E169" s="2"/>
      <c r="F169" s="2"/>
      <c r="G169" s="3" t="str">
        <f t="shared" si="12"/>
        <v/>
      </c>
      <c r="H169" s="3"/>
      <c r="I169" s="3"/>
      <c r="J169" s="2"/>
      <c r="K169" s="2"/>
      <c r="L169" s="2"/>
      <c r="M169" s="4"/>
      <c r="N169" s="2"/>
      <c r="O169" s="5" t="str">
        <f t="shared" ca="1" si="13"/>
        <v/>
      </c>
      <c r="P169" s="6"/>
      <c r="V169" t="str">
        <f t="shared" si="14"/>
        <v/>
      </c>
      <c r="W169" t="str">
        <f t="shared" si="15"/>
        <v/>
      </c>
      <c r="X169" t="str">
        <f t="shared" si="16"/>
        <v/>
      </c>
      <c r="Y169" t="str">
        <f t="shared" si="17"/>
        <v/>
      </c>
    </row>
    <row r="170" spans="1:25" ht="14.5" x14ac:dyDescent="0.35">
      <c r="A170" s="3"/>
      <c r="B170" s="2"/>
      <c r="C170" s="2"/>
      <c r="D170" s="4"/>
      <c r="E170" s="2"/>
      <c r="F170" s="2"/>
      <c r="G170" s="3" t="str">
        <f t="shared" si="12"/>
        <v/>
      </c>
      <c r="H170" s="3"/>
      <c r="I170" s="3"/>
      <c r="J170" s="2"/>
      <c r="K170" s="2"/>
      <c r="L170" s="2"/>
      <c r="M170" s="4"/>
      <c r="N170" s="2"/>
      <c r="O170" s="5" t="str">
        <f t="shared" ca="1" si="13"/>
        <v/>
      </c>
      <c r="P170" s="6"/>
      <c r="V170" t="str">
        <f t="shared" si="14"/>
        <v/>
      </c>
      <c r="W170" t="str">
        <f t="shared" si="15"/>
        <v/>
      </c>
      <c r="X170" t="str">
        <f t="shared" si="16"/>
        <v/>
      </c>
      <c r="Y170" t="str">
        <f t="shared" si="17"/>
        <v/>
      </c>
    </row>
    <row r="171" spans="1:25" ht="14.5" x14ac:dyDescent="0.35">
      <c r="A171" s="3"/>
      <c r="B171" s="2"/>
      <c r="C171" s="2"/>
      <c r="D171" s="4"/>
      <c r="E171" s="2"/>
      <c r="F171" s="2"/>
      <c r="G171" s="3" t="str">
        <f t="shared" si="12"/>
        <v/>
      </c>
      <c r="H171" s="3"/>
      <c r="I171" s="3"/>
      <c r="J171" s="2"/>
      <c r="K171" s="2"/>
      <c r="L171" s="2"/>
      <c r="M171" s="4"/>
      <c r="N171" s="2"/>
      <c r="O171" s="5" t="str">
        <f t="shared" ca="1" si="13"/>
        <v/>
      </c>
      <c r="P171" s="6"/>
      <c r="V171" t="str">
        <f t="shared" si="14"/>
        <v/>
      </c>
      <c r="W171" t="str">
        <f t="shared" si="15"/>
        <v/>
      </c>
      <c r="X171" t="str">
        <f t="shared" si="16"/>
        <v/>
      </c>
      <c r="Y171" t="str">
        <f t="shared" si="17"/>
        <v/>
      </c>
    </row>
    <row r="172" spans="1:25" ht="14.5" x14ac:dyDescent="0.35">
      <c r="A172" s="3"/>
      <c r="B172" s="2"/>
      <c r="C172" s="2"/>
      <c r="D172" s="4"/>
      <c r="E172" s="2"/>
      <c r="F172" s="2"/>
      <c r="G172" s="3" t="str">
        <f t="shared" si="12"/>
        <v/>
      </c>
      <c r="H172" s="3"/>
      <c r="I172" s="3"/>
      <c r="J172" s="2"/>
      <c r="K172" s="2"/>
      <c r="L172" s="2"/>
      <c r="M172" s="4"/>
      <c r="N172" s="2"/>
      <c r="O172" s="5" t="str">
        <f t="shared" ca="1" si="13"/>
        <v/>
      </c>
      <c r="P172" s="6"/>
      <c r="V172" t="str">
        <f t="shared" si="14"/>
        <v/>
      </c>
      <c r="W172" t="str">
        <f t="shared" si="15"/>
        <v/>
      </c>
      <c r="X172" t="str">
        <f t="shared" si="16"/>
        <v/>
      </c>
      <c r="Y172" t="str">
        <f t="shared" si="17"/>
        <v/>
      </c>
    </row>
    <row r="173" spans="1:25" ht="14.5" x14ac:dyDescent="0.35">
      <c r="A173" s="3"/>
      <c r="B173" s="2"/>
      <c r="C173" s="2"/>
      <c r="D173" s="4"/>
      <c r="E173" s="2"/>
      <c r="F173" s="2"/>
      <c r="G173" s="3" t="str">
        <f t="shared" si="12"/>
        <v/>
      </c>
      <c r="H173" s="3"/>
      <c r="I173" s="3"/>
      <c r="J173" s="2"/>
      <c r="K173" s="2"/>
      <c r="L173" s="2"/>
      <c r="M173" s="4"/>
      <c r="N173" s="2"/>
      <c r="O173" s="5" t="str">
        <f t="shared" ca="1" si="13"/>
        <v/>
      </c>
      <c r="P173" s="6"/>
      <c r="V173" t="str">
        <f t="shared" si="14"/>
        <v/>
      </c>
      <c r="W173" t="str">
        <f t="shared" si="15"/>
        <v/>
      </c>
      <c r="X173" t="str">
        <f t="shared" si="16"/>
        <v/>
      </c>
      <c r="Y173" t="str">
        <f t="shared" si="17"/>
        <v/>
      </c>
    </row>
    <row r="174" spans="1:25" ht="14.5" x14ac:dyDescent="0.35">
      <c r="A174" s="3"/>
      <c r="B174" s="2"/>
      <c r="C174" s="2"/>
      <c r="D174" s="4"/>
      <c r="E174" s="2"/>
      <c r="F174" s="2"/>
      <c r="G174" s="3" t="str">
        <f t="shared" si="12"/>
        <v/>
      </c>
      <c r="H174" s="3"/>
      <c r="I174" s="3"/>
      <c r="J174" s="2"/>
      <c r="K174" s="2"/>
      <c r="L174" s="2"/>
      <c r="M174" s="4"/>
      <c r="N174" s="2"/>
      <c r="O174" s="5" t="str">
        <f t="shared" ca="1" si="13"/>
        <v/>
      </c>
      <c r="P174" s="6"/>
      <c r="V174" t="str">
        <f t="shared" si="14"/>
        <v/>
      </c>
      <c r="W174" t="str">
        <f t="shared" si="15"/>
        <v/>
      </c>
      <c r="X174" t="str">
        <f t="shared" si="16"/>
        <v/>
      </c>
      <c r="Y174" t="str">
        <f t="shared" si="17"/>
        <v/>
      </c>
    </row>
    <row r="175" spans="1:25" ht="14.5" x14ac:dyDescent="0.35">
      <c r="A175" s="3"/>
      <c r="B175" s="2"/>
      <c r="C175" s="2"/>
      <c r="D175" s="4"/>
      <c r="E175" s="2"/>
      <c r="F175" s="2"/>
      <c r="G175" s="3" t="str">
        <f t="shared" si="12"/>
        <v/>
      </c>
      <c r="H175" s="3"/>
      <c r="I175" s="3"/>
      <c r="J175" s="2"/>
      <c r="K175" s="2"/>
      <c r="L175" s="2"/>
      <c r="M175" s="4"/>
      <c r="N175" s="2"/>
      <c r="O175" s="5" t="str">
        <f t="shared" ca="1" si="13"/>
        <v/>
      </c>
      <c r="P175" s="6"/>
      <c r="V175" t="str">
        <f t="shared" si="14"/>
        <v/>
      </c>
      <c r="W175" t="str">
        <f t="shared" si="15"/>
        <v/>
      </c>
      <c r="X175" t="str">
        <f t="shared" si="16"/>
        <v/>
      </c>
      <c r="Y175" t="str">
        <f t="shared" si="17"/>
        <v/>
      </c>
    </row>
    <row r="176" spans="1:25" ht="14.5" x14ac:dyDescent="0.35">
      <c r="A176" s="3"/>
      <c r="B176" s="2"/>
      <c r="C176" s="2"/>
      <c r="D176" s="4"/>
      <c r="E176" s="2"/>
      <c r="F176" s="2"/>
      <c r="G176" s="3" t="str">
        <f t="shared" si="12"/>
        <v/>
      </c>
      <c r="H176" s="3"/>
      <c r="I176" s="3"/>
      <c r="J176" s="2"/>
      <c r="K176" s="2"/>
      <c r="L176" s="2"/>
      <c r="M176" s="4"/>
      <c r="N176" s="2"/>
      <c r="O176" s="5" t="str">
        <f t="shared" ca="1" si="13"/>
        <v/>
      </c>
      <c r="P176" s="6"/>
      <c r="V176" t="str">
        <f t="shared" si="14"/>
        <v/>
      </c>
      <c r="W176" t="str">
        <f t="shared" si="15"/>
        <v/>
      </c>
      <c r="X176" t="str">
        <f t="shared" si="16"/>
        <v/>
      </c>
      <c r="Y176" t="str">
        <f t="shared" si="17"/>
        <v/>
      </c>
    </row>
    <row r="177" spans="1:25" ht="14.5" x14ac:dyDescent="0.35">
      <c r="A177" s="3"/>
      <c r="B177" s="2"/>
      <c r="C177" s="2"/>
      <c r="D177" s="4"/>
      <c r="E177" s="2"/>
      <c r="F177" s="2"/>
      <c r="G177" s="3" t="str">
        <f t="shared" si="12"/>
        <v/>
      </c>
      <c r="H177" s="3"/>
      <c r="I177" s="3"/>
      <c r="J177" s="2"/>
      <c r="K177" s="2"/>
      <c r="L177" s="2"/>
      <c r="M177" s="4"/>
      <c r="N177" s="2"/>
      <c r="O177" s="5" t="str">
        <f t="shared" ca="1" si="13"/>
        <v/>
      </c>
      <c r="P177" s="6"/>
      <c r="V177" t="str">
        <f t="shared" si="14"/>
        <v/>
      </c>
      <c r="W177" t="str">
        <f t="shared" si="15"/>
        <v/>
      </c>
      <c r="X177" t="str">
        <f t="shared" si="16"/>
        <v/>
      </c>
      <c r="Y177" t="str">
        <f t="shared" si="17"/>
        <v/>
      </c>
    </row>
    <row r="178" spans="1:25" ht="14.5" x14ac:dyDescent="0.35">
      <c r="A178" s="3"/>
      <c r="B178" s="2"/>
      <c r="C178" s="2"/>
      <c r="D178" s="4"/>
      <c r="E178" s="2"/>
      <c r="F178" s="2"/>
      <c r="G178" s="3" t="str">
        <f t="shared" si="12"/>
        <v/>
      </c>
      <c r="H178" s="3"/>
      <c r="I178" s="3"/>
      <c r="J178" s="2"/>
      <c r="K178" s="2"/>
      <c r="L178" s="2"/>
      <c r="M178" s="4"/>
      <c r="N178" s="2"/>
      <c r="O178" s="5" t="str">
        <f t="shared" ca="1" si="13"/>
        <v/>
      </c>
      <c r="P178" s="6"/>
      <c r="V178" t="str">
        <f t="shared" si="14"/>
        <v/>
      </c>
      <c r="W178" t="str">
        <f t="shared" si="15"/>
        <v/>
      </c>
      <c r="X178" t="str">
        <f t="shared" si="16"/>
        <v/>
      </c>
      <c r="Y178" t="str">
        <f t="shared" si="17"/>
        <v/>
      </c>
    </row>
    <row r="179" spans="1:25" ht="14.5" x14ac:dyDescent="0.35">
      <c r="A179" s="3"/>
      <c r="B179" s="2"/>
      <c r="C179" s="2"/>
      <c r="D179" s="4"/>
      <c r="E179" s="2"/>
      <c r="F179" s="2"/>
      <c r="G179" s="3" t="str">
        <f t="shared" si="12"/>
        <v/>
      </c>
      <c r="H179" s="3"/>
      <c r="I179" s="3"/>
      <c r="J179" s="2"/>
      <c r="K179" s="2"/>
      <c r="L179" s="2"/>
      <c r="M179" s="4"/>
      <c r="N179" s="2"/>
      <c r="O179" s="5" t="str">
        <f t="shared" ca="1" si="13"/>
        <v/>
      </c>
      <c r="P179" s="6"/>
      <c r="V179" t="str">
        <f t="shared" si="14"/>
        <v/>
      </c>
      <c r="W179" t="str">
        <f t="shared" si="15"/>
        <v/>
      </c>
      <c r="X179" t="str">
        <f t="shared" si="16"/>
        <v/>
      </c>
      <c r="Y179" t="str">
        <f t="shared" si="17"/>
        <v/>
      </c>
    </row>
    <row r="180" spans="1:25" ht="14.5" x14ac:dyDescent="0.35">
      <c r="A180" s="3"/>
      <c r="B180" s="2"/>
      <c r="C180" s="2"/>
      <c r="D180" s="4"/>
      <c r="E180" s="2"/>
      <c r="F180" s="2"/>
      <c r="G180" s="3" t="str">
        <f t="shared" si="12"/>
        <v/>
      </c>
      <c r="H180" s="3"/>
      <c r="I180" s="3"/>
      <c r="J180" s="2"/>
      <c r="K180" s="2"/>
      <c r="L180" s="2"/>
      <c r="M180" s="4"/>
      <c r="N180" s="2"/>
      <c r="O180" s="5" t="str">
        <f t="shared" ca="1" si="13"/>
        <v/>
      </c>
      <c r="P180" s="6"/>
      <c r="V180" t="str">
        <f t="shared" si="14"/>
        <v/>
      </c>
      <c r="W180" t="str">
        <f t="shared" si="15"/>
        <v/>
      </c>
      <c r="X180" t="str">
        <f t="shared" si="16"/>
        <v/>
      </c>
      <c r="Y180" t="str">
        <f t="shared" si="17"/>
        <v/>
      </c>
    </row>
    <row r="181" spans="1:25" ht="14.5" x14ac:dyDescent="0.35">
      <c r="A181" s="3"/>
      <c r="B181" s="2"/>
      <c r="C181" s="2"/>
      <c r="D181" s="4"/>
      <c r="E181" s="2"/>
      <c r="F181" s="2"/>
      <c r="G181" s="3" t="str">
        <f t="shared" si="12"/>
        <v/>
      </c>
      <c r="H181" s="3"/>
      <c r="I181" s="3"/>
      <c r="J181" s="2"/>
      <c r="K181" s="2"/>
      <c r="L181" s="2"/>
      <c r="M181" s="4"/>
      <c r="N181" s="2"/>
      <c r="O181" s="5" t="str">
        <f t="shared" ca="1" si="13"/>
        <v/>
      </c>
      <c r="P181" s="6"/>
      <c r="V181" t="str">
        <f t="shared" si="14"/>
        <v/>
      </c>
      <c r="W181" t="str">
        <f t="shared" si="15"/>
        <v/>
      </c>
      <c r="X181" t="str">
        <f t="shared" si="16"/>
        <v/>
      </c>
      <c r="Y181" t="str">
        <f t="shared" si="17"/>
        <v/>
      </c>
    </row>
    <row r="182" spans="1:25" ht="14.5" x14ac:dyDescent="0.35">
      <c r="A182" s="3"/>
      <c r="B182" s="2"/>
      <c r="C182" s="2"/>
      <c r="D182" s="4"/>
      <c r="E182" s="2"/>
      <c r="F182" s="2"/>
      <c r="G182" s="3" t="str">
        <f t="shared" si="12"/>
        <v/>
      </c>
      <c r="H182" s="3"/>
      <c r="I182" s="3"/>
      <c r="J182" s="2"/>
      <c r="K182" s="2"/>
      <c r="L182" s="2"/>
      <c r="M182" s="4"/>
      <c r="N182" s="2"/>
      <c r="O182" s="5" t="str">
        <f t="shared" ca="1" si="13"/>
        <v/>
      </c>
      <c r="P182" s="6"/>
      <c r="V182" t="str">
        <f t="shared" si="14"/>
        <v/>
      </c>
      <c r="W182" t="str">
        <f t="shared" si="15"/>
        <v/>
      </c>
      <c r="X182" t="str">
        <f t="shared" si="16"/>
        <v/>
      </c>
      <c r="Y182" t="str">
        <f t="shared" si="17"/>
        <v/>
      </c>
    </row>
    <row r="183" spans="1:25" ht="14.5" x14ac:dyDescent="0.35">
      <c r="A183" s="3"/>
      <c r="B183" s="2"/>
      <c r="C183" s="2"/>
      <c r="D183" s="4"/>
      <c r="E183" s="2"/>
      <c r="F183" s="2"/>
      <c r="G183" s="3" t="str">
        <f t="shared" si="12"/>
        <v/>
      </c>
      <c r="H183" s="3"/>
      <c r="I183" s="3"/>
      <c r="J183" s="2"/>
      <c r="K183" s="2"/>
      <c r="L183" s="2"/>
      <c r="M183" s="4"/>
      <c r="N183" s="2"/>
      <c r="O183" s="5" t="str">
        <f t="shared" ca="1" si="13"/>
        <v/>
      </c>
      <c r="P183" s="6"/>
      <c r="V183" t="str">
        <f t="shared" si="14"/>
        <v/>
      </c>
      <c r="W183" t="str">
        <f t="shared" si="15"/>
        <v/>
      </c>
      <c r="X183" t="str">
        <f t="shared" si="16"/>
        <v/>
      </c>
      <c r="Y183" t="str">
        <f t="shared" si="17"/>
        <v/>
      </c>
    </row>
    <row r="184" spans="1:25" ht="14.5" x14ac:dyDescent="0.35">
      <c r="A184" s="3"/>
      <c r="B184" s="2"/>
      <c r="C184" s="2"/>
      <c r="D184" s="4"/>
      <c r="E184" s="2"/>
      <c r="F184" s="2"/>
      <c r="G184" s="3" t="str">
        <f t="shared" si="12"/>
        <v/>
      </c>
      <c r="H184" s="3"/>
      <c r="I184" s="3"/>
      <c r="J184" s="2"/>
      <c r="K184" s="2"/>
      <c r="L184" s="2"/>
      <c r="M184" s="4"/>
      <c r="N184" s="2"/>
      <c r="O184" s="5" t="str">
        <f t="shared" ca="1" si="13"/>
        <v/>
      </c>
      <c r="P184" s="6"/>
      <c r="V184" t="str">
        <f t="shared" si="14"/>
        <v/>
      </c>
      <c r="W184" t="str">
        <f t="shared" si="15"/>
        <v/>
      </c>
      <c r="X184" t="str">
        <f t="shared" si="16"/>
        <v/>
      </c>
      <c r="Y184" t="str">
        <f t="shared" si="17"/>
        <v/>
      </c>
    </row>
    <row r="185" spans="1:25" ht="14.5" x14ac:dyDescent="0.35">
      <c r="A185" s="3"/>
      <c r="B185" s="2"/>
      <c r="C185" s="2"/>
      <c r="D185" s="4"/>
      <c r="E185" s="2"/>
      <c r="F185" s="2"/>
      <c r="G185" s="3" t="str">
        <f t="shared" si="12"/>
        <v/>
      </c>
      <c r="H185" s="3"/>
      <c r="I185" s="3"/>
      <c r="J185" s="2"/>
      <c r="K185" s="2"/>
      <c r="L185" s="2"/>
      <c r="M185" s="4"/>
      <c r="N185" s="2"/>
      <c r="O185" s="5" t="str">
        <f t="shared" ca="1" si="13"/>
        <v/>
      </c>
      <c r="P185" s="6"/>
      <c r="V185" t="str">
        <f t="shared" si="14"/>
        <v/>
      </c>
      <c r="W185" t="str">
        <f t="shared" si="15"/>
        <v/>
      </c>
      <c r="X185" t="str">
        <f t="shared" si="16"/>
        <v/>
      </c>
      <c r="Y185" t="str">
        <f t="shared" si="17"/>
        <v/>
      </c>
    </row>
    <row r="186" spans="1:25" ht="14.5" x14ac:dyDescent="0.35">
      <c r="A186" s="3"/>
      <c r="B186" s="2"/>
      <c r="C186" s="2"/>
      <c r="D186" s="4"/>
      <c r="E186" s="2"/>
      <c r="F186" s="2"/>
      <c r="G186" s="3" t="str">
        <f t="shared" si="12"/>
        <v/>
      </c>
      <c r="H186" s="3"/>
      <c r="I186" s="3"/>
      <c r="J186" s="2"/>
      <c r="K186" s="2"/>
      <c r="L186" s="2"/>
      <c r="M186" s="4"/>
      <c r="N186" s="2"/>
      <c r="O186" s="5" t="str">
        <f t="shared" ca="1" si="13"/>
        <v/>
      </c>
      <c r="P186" s="6"/>
      <c r="V186" t="str">
        <f t="shared" si="14"/>
        <v/>
      </c>
      <c r="W186" t="str">
        <f t="shared" si="15"/>
        <v/>
      </c>
      <c r="X186" t="str">
        <f t="shared" si="16"/>
        <v/>
      </c>
      <c r="Y186" t="str">
        <f t="shared" si="17"/>
        <v/>
      </c>
    </row>
    <row r="187" spans="1:25" ht="14.5" x14ac:dyDescent="0.35">
      <c r="A187" s="3"/>
      <c r="B187" s="2"/>
      <c r="C187" s="2"/>
      <c r="D187" s="4"/>
      <c r="E187" s="2"/>
      <c r="F187" s="2"/>
      <c r="G187" s="3" t="str">
        <f t="shared" si="12"/>
        <v/>
      </c>
      <c r="H187" s="3"/>
      <c r="I187" s="3"/>
      <c r="J187" s="2"/>
      <c r="K187" s="2"/>
      <c r="L187" s="2"/>
      <c r="M187" s="4"/>
      <c r="N187" s="2"/>
      <c r="O187" s="5" t="str">
        <f t="shared" ca="1" si="13"/>
        <v/>
      </c>
      <c r="P187" s="6"/>
      <c r="V187" t="str">
        <f t="shared" si="14"/>
        <v/>
      </c>
      <c r="W187" t="str">
        <f t="shared" si="15"/>
        <v/>
      </c>
      <c r="X187" t="str">
        <f t="shared" si="16"/>
        <v/>
      </c>
      <c r="Y187" t="str">
        <f t="shared" si="17"/>
        <v/>
      </c>
    </row>
    <row r="188" spans="1:25" ht="14.5" x14ac:dyDescent="0.35">
      <c r="A188" s="3"/>
      <c r="B188" s="2"/>
      <c r="C188" s="2"/>
      <c r="D188" s="4"/>
      <c r="E188" s="2"/>
      <c r="F188" s="2"/>
      <c r="G188" s="3" t="str">
        <f t="shared" si="12"/>
        <v/>
      </c>
      <c r="H188" s="3"/>
      <c r="I188" s="3"/>
      <c r="J188" s="2"/>
      <c r="K188" s="2"/>
      <c r="L188" s="2"/>
      <c r="M188" s="4"/>
      <c r="N188" s="2"/>
      <c r="O188" s="5" t="str">
        <f t="shared" ca="1" si="13"/>
        <v/>
      </c>
      <c r="P188" s="6"/>
      <c r="V188" t="str">
        <f t="shared" si="14"/>
        <v/>
      </c>
      <c r="W188" t="str">
        <f t="shared" si="15"/>
        <v/>
      </c>
      <c r="X188" t="str">
        <f t="shared" si="16"/>
        <v/>
      </c>
      <c r="Y188" t="str">
        <f t="shared" si="17"/>
        <v/>
      </c>
    </row>
    <row r="189" spans="1:25" ht="14.5" x14ac:dyDescent="0.35">
      <c r="A189" s="3"/>
      <c r="B189" s="2"/>
      <c r="C189" s="2"/>
      <c r="D189" s="4"/>
      <c r="E189" s="2"/>
      <c r="F189" s="2"/>
      <c r="G189" s="3" t="str">
        <f t="shared" si="12"/>
        <v/>
      </c>
      <c r="H189" s="3"/>
      <c r="I189" s="3"/>
      <c r="J189" s="2"/>
      <c r="K189" s="2"/>
      <c r="L189" s="2"/>
      <c r="M189" s="4"/>
      <c r="N189" s="2"/>
      <c r="O189" s="5" t="str">
        <f t="shared" ca="1" si="13"/>
        <v/>
      </c>
      <c r="P189" s="6"/>
      <c r="V189" t="str">
        <f t="shared" si="14"/>
        <v/>
      </c>
      <c r="W189" t="str">
        <f t="shared" si="15"/>
        <v/>
      </c>
      <c r="X189" t="str">
        <f t="shared" si="16"/>
        <v/>
      </c>
      <c r="Y189" t="str">
        <f t="shared" si="17"/>
        <v/>
      </c>
    </row>
    <row r="190" spans="1:25" ht="14.5" x14ac:dyDescent="0.35">
      <c r="A190" s="3"/>
      <c r="B190" s="2"/>
      <c r="C190" s="2"/>
      <c r="D190" s="4"/>
      <c r="E190" s="2"/>
      <c r="F190" s="2"/>
      <c r="G190" s="3" t="str">
        <f t="shared" si="12"/>
        <v/>
      </c>
      <c r="H190" s="3"/>
      <c r="I190" s="3"/>
      <c r="J190" s="2"/>
      <c r="K190" s="2"/>
      <c r="L190" s="2"/>
      <c r="M190" s="4"/>
      <c r="N190" s="2"/>
      <c r="O190" s="5" t="str">
        <f t="shared" ca="1" si="13"/>
        <v/>
      </c>
      <c r="P190" s="6"/>
      <c r="V190" t="str">
        <f t="shared" si="14"/>
        <v/>
      </c>
      <c r="W190" t="str">
        <f t="shared" si="15"/>
        <v/>
      </c>
      <c r="X190" t="str">
        <f t="shared" si="16"/>
        <v/>
      </c>
      <c r="Y190" t="str">
        <f t="shared" si="17"/>
        <v/>
      </c>
    </row>
    <row r="191" spans="1:25" ht="14.5" x14ac:dyDescent="0.35">
      <c r="A191" s="3"/>
      <c r="B191" s="2"/>
      <c r="C191" s="2"/>
      <c r="D191" s="4"/>
      <c r="E191" s="2"/>
      <c r="F191" s="2"/>
      <c r="G191" s="3" t="str">
        <f t="shared" si="12"/>
        <v/>
      </c>
      <c r="H191" s="3"/>
      <c r="I191" s="3"/>
      <c r="J191" s="2"/>
      <c r="K191" s="2"/>
      <c r="L191" s="2"/>
      <c r="M191" s="4"/>
      <c r="N191" s="2"/>
      <c r="O191" s="5" t="str">
        <f t="shared" ca="1" si="13"/>
        <v/>
      </c>
      <c r="P191" s="6"/>
      <c r="V191" t="str">
        <f t="shared" si="14"/>
        <v/>
      </c>
      <c r="W191" t="str">
        <f t="shared" si="15"/>
        <v/>
      </c>
      <c r="X191" t="str">
        <f t="shared" si="16"/>
        <v/>
      </c>
      <c r="Y191" t="str">
        <f t="shared" si="17"/>
        <v/>
      </c>
    </row>
    <row r="192" spans="1:25" ht="14.5" x14ac:dyDescent="0.35">
      <c r="A192" s="3"/>
      <c r="B192" s="2"/>
      <c r="C192" s="2"/>
      <c r="D192" s="4"/>
      <c r="E192" s="2"/>
      <c r="F192" s="2"/>
      <c r="G192" s="3" t="str">
        <f t="shared" si="12"/>
        <v/>
      </c>
      <c r="H192" s="3"/>
      <c r="I192" s="3"/>
      <c r="J192" s="2"/>
      <c r="K192" s="2"/>
      <c r="L192" s="2"/>
      <c r="M192" s="4"/>
      <c r="N192" s="2"/>
      <c r="O192" s="5" t="str">
        <f t="shared" ca="1" si="13"/>
        <v/>
      </c>
      <c r="P192" s="6"/>
      <c r="V192" t="str">
        <f t="shared" si="14"/>
        <v/>
      </c>
      <c r="W192" t="str">
        <f t="shared" si="15"/>
        <v/>
      </c>
      <c r="X192" t="str">
        <f t="shared" si="16"/>
        <v/>
      </c>
      <c r="Y192" t="str">
        <f t="shared" si="17"/>
        <v/>
      </c>
    </row>
    <row r="193" spans="1:25" ht="14.5" x14ac:dyDescent="0.35">
      <c r="A193" s="3"/>
      <c r="B193" s="2"/>
      <c r="C193" s="2"/>
      <c r="D193" s="4"/>
      <c r="E193" s="2"/>
      <c r="F193" s="2"/>
      <c r="G193" s="3" t="str">
        <f t="shared" si="12"/>
        <v/>
      </c>
      <c r="H193" s="3"/>
      <c r="I193" s="3"/>
      <c r="J193" s="2"/>
      <c r="K193" s="2"/>
      <c r="L193" s="2"/>
      <c r="M193" s="4"/>
      <c r="N193" s="2"/>
      <c r="O193" s="5" t="str">
        <f t="shared" ca="1" si="13"/>
        <v/>
      </c>
      <c r="P193" s="6"/>
      <c r="V193" t="str">
        <f t="shared" si="14"/>
        <v/>
      </c>
      <c r="W193" t="str">
        <f t="shared" si="15"/>
        <v/>
      </c>
      <c r="X193" t="str">
        <f t="shared" si="16"/>
        <v/>
      </c>
      <c r="Y193" t="str">
        <f t="shared" si="17"/>
        <v/>
      </c>
    </row>
    <row r="194" spans="1:25" ht="14.5" x14ac:dyDescent="0.35">
      <c r="A194" s="3"/>
      <c r="B194" s="2"/>
      <c r="C194" s="2"/>
      <c r="D194" s="4"/>
      <c r="E194" s="2"/>
      <c r="F194" s="2"/>
      <c r="G194" s="3" t="str">
        <f t="shared" ref="G194:G257" si="18">IF(COUNTIF($A$2:$A$1500,A194&amp;".*")=0,"",COUNTIF($A$2:$A$1500,A194&amp;".*"))</f>
        <v/>
      </c>
      <c r="H194" s="3"/>
      <c r="I194" s="3"/>
      <c r="J194" s="2"/>
      <c r="K194" s="2"/>
      <c r="L194" s="2"/>
      <c r="M194" s="4"/>
      <c r="N194" s="2"/>
      <c r="O194" s="5" t="str">
        <f t="shared" ref="O194:O257" ca="1" si="19">IF(M194="","",INT(M194)-TODAY())</f>
        <v/>
      </c>
      <c r="P194" s="6"/>
      <c r="V194" t="str">
        <f t="shared" ref="V194:V257" si="20">IF(M194="","",M194+Q194/1000000)</f>
        <v/>
      </c>
      <c r="W194" t="str">
        <f t="shared" ref="W194:W257" si="21">IF(U194="","",IF(M194="",9999999+Q194/1000000,M194+Q194/1000000))</f>
        <v/>
      </c>
      <c r="X194" t="str">
        <f t="shared" ref="X194:X257" si="22">IF(U194="","",SUMPRODUCT(($U$2:$U$1500=U194)*($W$2:$W$1500&lt;=W194)))</f>
        <v/>
      </c>
      <c r="Y194" t="str">
        <f t="shared" ref="Y194:Y257" si="23">IF(U194="","",U194&amp;"|"&amp;X194)</f>
        <v/>
      </c>
    </row>
    <row r="195" spans="1:25" ht="14.5" x14ac:dyDescent="0.35">
      <c r="A195" s="3"/>
      <c r="B195" s="2"/>
      <c r="C195" s="2"/>
      <c r="D195" s="4"/>
      <c r="E195" s="2"/>
      <c r="F195" s="2"/>
      <c r="G195" s="3" t="str">
        <f t="shared" si="18"/>
        <v/>
      </c>
      <c r="H195" s="3"/>
      <c r="I195" s="3"/>
      <c r="J195" s="2"/>
      <c r="K195" s="2"/>
      <c r="L195" s="2"/>
      <c r="M195" s="4"/>
      <c r="N195" s="2"/>
      <c r="O195" s="5" t="str">
        <f t="shared" ca="1" si="19"/>
        <v/>
      </c>
      <c r="P195" s="6"/>
      <c r="V195" t="str">
        <f t="shared" si="20"/>
        <v/>
      </c>
      <c r="W195" t="str">
        <f t="shared" si="21"/>
        <v/>
      </c>
      <c r="X195" t="str">
        <f t="shared" si="22"/>
        <v/>
      </c>
      <c r="Y195" t="str">
        <f t="shared" si="23"/>
        <v/>
      </c>
    </row>
    <row r="196" spans="1:25" ht="14.5" x14ac:dyDescent="0.35">
      <c r="A196" s="3"/>
      <c r="B196" s="2"/>
      <c r="C196" s="2"/>
      <c r="D196" s="4"/>
      <c r="E196" s="2"/>
      <c r="F196" s="2"/>
      <c r="G196" s="3" t="str">
        <f t="shared" si="18"/>
        <v/>
      </c>
      <c r="H196" s="3"/>
      <c r="I196" s="3"/>
      <c r="J196" s="2"/>
      <c r="K196" s="2"/>
      <c r="L196" s="2"/>
      <c r="M196" s="4"/>
      <c r="N196" s="2"/>
      <c r="O196" s="5" t="str">
        <f t="shared" ca="1" si="19"/>
        <v/>
      </c>
      <c r="P196" s="6"/>
      <c r="V196" t="str">
        <f t="shared" si="20"/>
        <v/>
      </c>
      <c r="W196" t="str">
        <f t="shared" si="21"/>
        <v/>
      </c>
      <c r="X196" t="str">
        <f t="shared" si="22"/>
        <v/>
      </c>
      <c r="Y196" t="str">
        <f t="shared" si="23"/>
        <v/>
      </c>
    </row>
    <row r="197" spans="1:25" ht="14.5" x14ac:dyDescent="0.35">
      <c r="A197" s="3"/>
      <c r="B197" s="2"/>
      <c r="C197" s="2"/>
      <c r="D197" s="4"/>
      <c r="E197" s="2"/>
      <c r="F197" s="2"/>
      <c r="G197" s="3" t="str">
        <f t="shared" si="18"/>
        <v/>
      </c>
      <c r="H197" s="3"/>
      <c r="I197" s="3"/>
      <c r="J197" s="2"/>
      <c r="K197" s="2"/>
      <c r="L197" s="2"/>
      <c r="M197" s="4"/>
      <c r="N197" s="2"/>
      <c r="O197" s="5" t="str">
        <f t="shared" ca="1" si="19"/>
        <v/>
      </c>
      <c r="P197" s="6"/>
      <c r="V197" t="str">
        <f t="shared" si="20"/>
        <v/>
      </c>
      <c r="W197" t="str">
        <f t="shared" si="21"/>
        <v/>
      </c>
      <c r="X197" t="str">
        <f t="shared" si="22"/>
        <v/>
      </c>
      <c r="Y197" t="str">
        <f t="shared" si="23"/>
        <v/>
      </c>
    </row>
    <row r="198" spans="1:25" ht="14.5" x14ac:dyDescent="0.35">
      <c r="A198" s="3"/>
      <c r="B198" s="2"/>
      <c r="C198" s="2"/>
      <c r="D198" s="4"/>
      <c r="E198" s="2"/>
      <c r="F198" s="2"/>
      <c r="G198" s="3" t="str">
        <f t="shared" si="18"/>
        <v/>
      </c>
      <c r="H198" s="3"/>
      <c r="I198" s="3"/>
      <c r="J198" s="2"/>
      <c r="K198" s="2"/>
      <c r="L198" s="2"/>
      <c r="M198" s="4"/>
      <c r="N198" s="2"/>
      <c r="O198" s="5" t="str">
        <f t="shared" ca="1" si="19"/>
        <v/>
      </c>
      <c r="P198" s="6"/>
      <c r="V198" t="str">
        <f t="shared" si="20"/>
        <v/>
      </c>
      <c r="W198" t="str">
        <f t="shared" si="21"/>
        <v/>
      </c>
      <c r="X198" t="str">
        <f t="shared" si="22"/>
        <v/>
      </c>
      <c r="Y198" t="str">
        <f t="shared" si="23"/>
        <v/>
      </c>
    </row>
    <row r="199" spans="1:25" ht="14.5" x14ac:dyDescent="0.35">
      <c r="A199" s="3"/>
      <c r="B199" s="2"/>
      <c r="C199" s="2"/>
      <c r="D199" s="4"/>
      <c r="E199" s="2"/>
      <c r="F199" s="2"/>
      <c r="G199" s="3" t="str">
        <f t="shared" si="18"/>
        <v/>
      </c>
      <c r="H199" s="3"/>
      <c r="I199" s="3"/>
      <c r="J199" s="2"/>
      <c r="K199" s="2"/>
      <c r="L199" s="2"/>
      <c r="M199" s="4"/>
      <c r="N199" s="2"/>
      <c r="O199" s="5" t="str">
        <f t="shared" ca="1" si="19"/>
        <v/>
      </c>
      <c r="P199" s="6"/>
      <c r="V199" t="str">
        <f t="shared" si="20"/>
        <v/>
      </c>
      <c r="W199" t="str">
        <f t="shared" si="21"/>
        <v/>
      </c>
      <c r="X199" t="str">
        <f t="shared" si="22"/>
        <v/>
      </c>
      <c r="Y199" t="str">
        <f t="shared" si="23"/>
        <v/>
      </c>
    </row>
    <row r="200" spans="1:25" ht="14.5" x14ac:dyDescent="0.35">
      <c r="A200" s="3"/>
      <c r="B200" s="2"/>
      <c r="C200" s="2"/>
      <c r="D200" s="4"/>
      <c r="E200" s="2"/>
      <c r="F200" s="2"/>
      <c r="G200" s="3" t="str">
        <f t="shared" si="18"/>
        <v/>
      </c>
      <c r="H200" s="3"/>
      <c r="I200" s="3"/>
      <c r="J200" s="2"/>
      <c r="K200" s="2"/>
      <c r="L200" s="2"/>
      <c r="M200" s="4"/>
      <c r="N200" s="2"/>
      <c r="O200" s="5" t="str">
        <f t="shared" ca="1" si="19"/>
        <v/>
      </c>
      <c r="P200" s="6"/>
      <c r="V200" t="str">
        <f t="shared" si="20"/>
        <v/>
      </c>
      <c r="W200" t="str">
        <f t="shared" si="21"/>
        <v/>
      </c>
      <c r="X200" t="str">
        <f t="shared" si="22"/>
        <v/>
      </c>
      <c r="Y200" t="str">
        <f t="shared" si="23"/>
        <v/>
      </c>
    </row>
    <row r="201" spans="1:25" ht="14.5" x14ac:dyDescent="0.35">
      <c r="A201" s="3"/>
      <c r="B201" s="2"/>
      <c r="C201" s="2"/>
      <c r="D201" s="4"/>
      <c r="E201" s="2"/>
      <c r="F201" s="2"/>
      <c r="G201" s="3" t="str">
        <f t="shared" si="18"/>
        <v/>
      </c>
      <c r="H201" s="3"/>
      <c r="I201" s="3"/>
      <c r="J201" s="2"/>
      <c r="K201" s="2"/>
      <c r="L201" s="2"/>
      <c r="M201" s="4"/>
      <c r="N201" s="2"/>
      <c r="O201" s="5" t="str">
        <f t="shared" ca="1" si="19"/>
        <v/>
      </c>
      <c r="P201" s="6"/>
      <c r="V201" t="str">
        <f t="shared" si="20"/>
        <v/>
      </c>
      <c r="W201" t="str">
        <f t="shared" si="21"/>
        <v/>
      </c>
      <c r="X201" t="str">
        <f t="shared" si="22"/>
        <v/>
      </c>
      <c r="Y201" t="str">
        <f t="shared" si="23"/>
        <v/>
      </c>
    </row>
    <row r="202" spans="1:25" ht="14.5" x14ac:dyDescent="0.35">
      <c r="A202" s="3"/>
      <c r="B202" s="2"/>
      <c r="C202" s="2"/>
      <c r="D202" s="4"/>
      <c r="E202" s="2"/>
      <c r="F202" s="2"/>
      <c r="G202" s="3" t="str">
        <f t="shared" si="18"/>
        <v/>
      </c>
      <c r="H202" s="3"/>
      <c r="I202" s="3"/>
      <c r="J202" s="2"/>
      <c r="K202" s="2"/>
      <c r="L202" s="2"/>
      <c r="M202" s="4"/>
      <c r="N202" s="2"/>
      <c r="O202" s="5" t="str">
        <f t="shared" ca="1" si="19"/>
        <v/>
      </c>
      <c r="P202" s="6"/>
      <c r="V202" t="str">
        <f t="shared" si="20"/>
        <v/>
      </c>
      <c r="W202" t="str">
        <f t="shared" si="21"/>
        <v/>
      </c>
      <c r="X202" t="str">
        <f t="shared" si="22"/>
        <v/>
      </c>
      <c r="Y202" t="str">
        <f t="shared" si="23"/>
        <v/>
      </c>
    </row>
    <row r="203" spans="1:25" ht="14.5" x14ac:dyDescent="0.35">
      <c r="A203" s="3"/>
      <c r="B203" s="2"/>
      <c r="C203" s="2"/>
      <c r="D203" s="4"/>
      <c r="E203" s="2"/>
      <c r="F203" s="2"/>
      <c r="G203" s="3" t="str">
        <f t="shared" si="18"/>
        <v/>
      </c>
      <c r="H203" s="3"/>
      <c r="I203" s="3"/>
      <c r="J203" s="2"/>
      <c r="K203" s="2"/>
      <c r="L203" s="2"/>
      <c r="M203" s="4"/>
      <c r="N203" s="2"/>
      <c r="O203" s="5" t="str">
        <f t="shared" ca="1" si="19"/>
        <v/>
      </c>
      <c r="P203" s="6"/>
      <c r="V203" t="str">
        <f t="shared" si="20"/>
        <v/>
      </c>
      <c r="W203" t="str">
        <f t="shared" si="21"/>
        <v/>
      </c>
      <c r="X203" t="str">
        <f t="shared" si="22"/>
        <v/>
      </c>
      <c r="Y203" t="str">
        <f t="shared" si="23"/>
        <v/>
      </c>
    </row>
    <row r="204" spans="1:25" ht="14.5" x14ac:dyDescent="0.35">
      <c r="A204" s="3"/>
      <c r="B204" s="2"/>
      <c r="C204" s="2"/>
      <c r="D204" s="4"/>
      <c r="E204" s="2"/>
      <c r="F204" s="2"/>
      <c r="G204" s="3" t="str">
        <f t="shared" si="18"/>
        <v/>
      </c>
      <c r="H204" s="3"/>
      <c r="I204" s="3"/>
      <c r="J204" s="2"/>
      <c r="K204" s="2"/>
      <c r="L204" s="2"/>
      <c r="M204" s="4"/>
      <c r="N204" s="2"/>
      <c r="O204" s="5" t="str">
        <f t="shared" ca="1" si="19"/>
        <v/>
      </c>
      <c r="P204" s="6"/>
      <c r="V204" t="str">
        <f t="shared" si="20"/>
        <v/>
      </c>
      <c r="W204" t="str">
        <f t="shared" si="21"/>
        <v/>
      </c>
      <c r="X204" t="str">
        <f t="shared" si="22"/>
        <v/>
      </c>
      <c r="Y204" t="str">
        <f t="shared" si="23"/>
        <v/>
      </c>
    </row>
    <row r="205" spans="1:25" ht="14.5" x14ac:dyDescent="0.35">
      <c r="A205" s="3"/>
      <c r="B205" s="2"/>
      <c r="C205" s="2"/>
      <c r="D205" s="4"/>
      <c r="E205" s="2"/>
      <c r="F205" s="2"/>
      <c r="G205" s="3" t="str">
        <f t="shared" si="18"/>
        <v/>
      </c>
      <c r="H205" s="3"/>
      <c r="I205" s="3"/>
      <c r="J205" s="2"/>
      <c r="K205" s="2"/>
      <c r="L205" s="2"/>
      <c r="M205" s="4"/>
      <c r="N205" s="2"/>
      <c r="O205" s="5" t="str">
        <f t="shared" ca="1" si="19"/>
        <v/>
      </c>
      <c r="P205" s="6"/>
      <c r="V205" t="str">
        <f t="shared" si="20"/>
        <v/>
      </c>
      <c r="W205" t="str">
        <f t="shared" si="21"/>
        <v/>
      </c>
      <c r="X205" t="str">
        <f t="shared" si="22"/>
        <v/>
      </c>
      <c r="Y205" t="str">
        <f t="shared" si="23"/>
        <v/>
      </c>
    </row>
    <row r="206" spans="1:25" ht="14.5" x14ac:dyDescent="0.35">
      <c r="A206" s="3"/>
      <c r="B206" s="2"/>
      <c r="C206" s="2"/>
      <c r="D206" s="4"/>
      <c r="E206" s="2"/>
      <c r="F206" s="2"/>
      <c r="G206" s="3" t="str">
        <f t="shared" si="18"/>
        <v/>
      </c>
      <c r="H206" s="3"/>
      <c r="I206" s="3"/>
      <c r="J206" s="2"/>
      <c r="K206" s="2"/>
      <c r="L206" s="2"/>
      <c r="M206" s="4"/>
      <c r="N206" s="2"/>
      <c r="O206" s="5" t="str">
        <f t="shared" ca="1" si="19"/>
        <v/>
      </c>
      <c r="P206" s="6"/>
      <c r="V206" t="str">
        <f t="shared" si="20"/>
        <v/>
      </c>
      <c r="W206" t="str">
        <f t="shared" si="21"/>
        <v/>
      </c>
      <c r="X206" t="str">
        <f t="shared" si="22"/>
        <v/>
      </c>
      <c r="Y206" t="str">
        <f t="shared" si="23"/>
        <v/>
      </c>
    </row>
    <row r="207" spans="1:25" ht="14.5" x14ac:dyDescent="0.35">
      <c r="A207" s="3"/>
      <c r="B207" s="2"/>
      <c r="C207" s="2"/>
      <c r="D207" s="4"/>
      <c r="E207" s="2"/>
      <c r="F207" s="2"/>
      <c r="G207" s="3" t="str">
        <f t="shared" si="18"/>
        <v/>
      </c>
      <c r="H207" s="3"/>
      <c r="I207" s="3"/>
      <c r="J207" s="2"/>
      <c r="K207" s="2"/>
      <c r="L207" s="2"/>
      <c r="M207" s="4"/>
      <c r="N207" s="2"/>
      <c r="O207" s="5" t="str">
        <f t="shared" ca="1" si="19"/>
        <v/>
      </c>
      <c r="P207" s="6"/>
      <c r="V207" t="str">
        <f t="shared" si="20"/>
        <v/>
      </c>
      <c r="W207" t="str">
        <f t="shared" si="21"/>
        <v/>
      </c>
      <c r="X207" t="str">
        <f t="shared" si="22"/>
        <v/>
      </c>
      <c r="Y207" t="str">
        <f t="shared" si="23"/>
        <v/>
      </c>
    </row>
    <row r="208" spans="1:25" ht="14.5" x14ac:dyDescent="0.35">
      <c r="A208" s="3"/>
      <c r="B208" s="2"/>
      <c r="C208" s="2"/>
      <c r="D208" s="4"/>
      <c r="E208" s="2"/>
      <c r="F208" s="2"/>
      <c r="G208" s="3" t="str">
        <f t="shared" si="18"/>
        <v/>
      </c>
      <c r="H208" s="3"/>
      <c r="I208" s="3"/>
      <c r="J208" s="2"/>
      <c r="K208" s="2"/>
      <c r="L208" s="2"/>
      <c r="M208" s="4"/>
      <c r="N208" s="2"/>
      <c r="O208" s="5" t="str">
        <f t="shared" ca="1" si="19"/>
        <v/>
      </c>
      <c r="P208" s="6"/>
      <c r="V208" t="str">
        <f t="shared" si="20"/>
        <v/>
      </c>
      <c r="W208" t="str">
        <f t="shared" si="21"/>
        <v/>
      </c>
      <c r="X208" t="str">
        <f t="shared" si="22"/>
        <v/>
      </c>
      <c r="Y208" t="str">
        <f t="shared" si="23"/>
        <v/>
      </c>
    </row>
    <row r="209" spans="1:25" ht="14.5" x14ac:dyDescent="0.35">
      <c r="A209" s="3"/>
      <c r="B209" s="2"/>
      <c r="C209" s="2"/>
      <c r="D209" s="4"/>
      <c r="E209" s="2"/>
      <c r="F209" s="2"/>
      <c r="G209" s="3" t="str">
        <f t="shared" si="18"/>
        <v/>
      </c>
      <c r="H209" s="3"/>
      <c r="I209" s="3"/>
      <c r="J209" s="2"/>
      <c r="K209" s="2"/>
      <c r="L209" s="2"/>
      <c r="M209" s="4"/>
      <c r="N209" s="2"/>
      <c r="O209" s="5" t="str">
        <f t="shared" ca="1" si="19"/>
        <v/>
      </c>
      <c r="P209" s="6"/>
      <c r="V209" t="str">
        <f t="shared" si="20"/>
        <v/>
      </c>
      <c r="W209" t="str">
        <f t="shared" si="21"/>
        <v/>
      </c>
      <c r="X209" t="str">
        <f t="shared" si="22"/>
        <v/>
      </c>
      <c r="Y209" t="str">
        <f t="shared" si="23"/>
        <v/>
      </c>
    </row>
    <row r="210" spans="1:25" ht="14.5" x14ac:dyDescent="0.35">
      <c r="A210" s="3"/>
      <c r="B210" s="2"/>
      <c r="C210" s="2"/>
      <c r="D210" s="4"/>
      <c r="E210" s="2"/>
      <c r="F210" s="2"/>
      <c r="G210" s="3" t="str">
        <f t="shared" si="18"/>
        <v/>
      </c>
      <c r="H210" s="3"/>
      <c r="I210" s="3"/>
      <c r="J210" s="2"/>
      <c r="K210" s="2"/>
      <c r="L210" s="2"/>
      <c r="M210" s="4"/>
      <c r="N210" s="2"/>
      <c r="O210" s="5" t="str">
        <f t="shared" ca="1" si="19"/>
        <v/>
      </c>
      <c r="P210" s="6"/>
      <c r="V210" t="str">
        <f t="shared" si="20"/>
        <v/>
      </c>
      <c r="W210" t="str">
        <f t="shared" si="21"/>
        <v/>
      </c>
      <c r="X210" t="str">
        <f t="shared" si="22"/>
        <v/>
      </c>
      <c r="Y210" t="str">
        <f t="shared" si="23"/>
        <v/>
      </c>
    </row>
    <row r="211" spans="1:25" ht="14.5" x14ac:dyDescent="0.35">
      <c r="A211" s="3"/>
      <c r="B211" s="2"/>
      <c r="C211" s="2"/>
      <c r="D211" s="4"/>
      <c r="E211" s="2"/>
      <c r="F211" s="2"/>
      <c r="G211" s="3" t="str">
        <f t="shared" si="18"/>
        <v/>
      </c>
      <c r="H211" s="3"/>
      <c r="I211" s="3"/>
      <c r="J211" s="2"/>
      <c r="K211" s="2"/>
      <c r="L211" s="2"/>
      <c r="M211" s="4"/>
      <c r="N211" s="2"/>
      <c r="O211" s="5" t="str">
        <f t="shared" ca="1" si="19"/>
        <v/>
      </c>
      <c r="P211" s="6"/>
      <c r="V211" t="str">
        <f t="shared" si="20"/>
        <v/>
      </c>
      <c r="W211" t="str">
        <f t="shared" si="21"/>
        <v/>
      </c>
      <c r="X211" t="str">
        <f t="shared" si="22"/>
        <v/>
      </c>
      <c r="Y211" t="str">
        <f t="shared" si="23"/>
        <v/>
      </c>
    </row>
    <row r="212" spans="1:25" ht="14.5" x14ac:dyDescent="0.35">
      <c r="A212" s="3"/>
      <c r="B212" s="2"/>
      <c r="C212" s="2"/>
      <c r="D212" s="4"/>
      <c r="E212" s="2"/>
      <c r="F212" s="2"/>
      <c r="G212" s="3" t="str">
        <f t="shared" si="18"/>
        <v/>
      </c>
      <c r="H212" s="3"/>
      <c r="I212" s="3"/>
      <c r="J212" s="2"/>
      <c r="K212" s="2"/>
      <c r="L212" s="2"/>
      <c r="M212" s="4"/>
      <c r="N212" s="2"/>
      <c r="O212" s="5" t="str">
        <f t="shared" ca="1" si="19"/>
        <v/>
      </c>
      <c r="P212" s="6"/>
      <c r="V212" t="str">
        <f t="shared" si="20"/>
        <v/>
      </c>
      <c r="W212" t="str">
        <f t="shared" si="21"/>
        <v/>
      </c>
      <c r="X212" t="str">
        <f t="shared" si="22"/>
        <v/>
      </c>
      <c r="Y212" t="str">
        <f t="shared" si="23"/>
        <v/>
      </c>
    </row>
    <row r="213" spans="1:25" ht="14.5" x14ac:dyDescent="0.35">
      <c r="A213" s="3"/>
      <c r="B213" s="2"/>
      <c r="C213" s="2"/>
      <c r="D213" s="4"/>
      <c r="E213" s="2"/>
      <c r="F213" s="2"/>
      <c r="G213" s="3" t="str">
        <f t="shared" si="18"/>
        <v/>
      </c>
      <c r="H213" s="3"/>
      <c r="I213" s="3"/>
      <c r="J213" s="2"/>
      <c r="K213" s="2"/>
      <c r="L213" s="2"/>
      <c r="M213" s="4"/>
      <c r="N213" s="2"/>
      <c r="O213" s="5" t="str">
        <f t="shared" ca="1" si="19"/>
        <v/>
      </c>
      <c r="P213" s="6"/>
      <c r="V213" t="str">
        <f t="shared" si="20"/>
        <v/>
      </c>
      <c r="W213" t="str">
        <f t="shared" si="21"/>
        <v/>
      </c>
      <c r="X213" t="str">
        <f t="shared" si="22"/>
        <v/>
      </c>
      <c r="Y213" t="str">
        <f t="shared" si="23"/>
        <v/>
      </c>
    </row>
    <row r="214" spans="1:25" ht="14.5" x14ac:dyDescent="0.35">
      <c r="A214" s="3"/>
      <c r="B214" s="2"/>
      <c r="C214" s="2"/>
      <c r="D214" s="4"/>
      <c r="E214" s="2"/>
      <c r="F214" s="2"/>
      <c r="G214" s="3" t="str">
        <f t="shared" si="18"/>
        <v/>
      </c>
      <c r="H214" s="3"/>
      <c r="I214" s="3"/>
      <c r="J214" s="2"/>
      <c r="K214" s="2"/>
      <c r="L214" s="2"/>
      <c r="M214" s="4"/>
      <c r="N214" s="2"/>
      <c r="O214" s="5" t="str">
        <f t="shared" ca="1" si="19"/>
        <v/>
      </c>
      <c r="P214" s="6"/>
      <c r="V214" t="str">
        <f t="shared" si="20"/>
        <v/>
      </c>
      <c r="W214" t="str">
        <f t="shared" si="21"/>
        <v/>
      </c>
      <c r="X214" t="str">
        <f t="shared" si="22"/>
        <v/>
      </c>
      <c r="Y214" t="str">
        <f t="shared" si="23"/>
        <v/>
      </c>
    </row>
    <row r="215" spans="1:25" ht="14.5" x14ac:dyDescent="0.35">
      <c r="A215" s="3"/>
      <c r="B215" s="2"/>
      <c r="C215" s="2"/>
      <c r="D215" s="4"/>
      <c r="E215" s="2"/>
      <c r="F215" s="2"/>
      <c r="G215" s="3" t="str">
        <f t="shared" si="18"/>
        <v/>
      </c>
      <c r="H215" s="3"/>
      <c r="I215" s="3"/>
      <c r="J215" s="2"/>
      <c r="K215" s="2"/>
      <c r="L215" s="2"/>
      <c r="M215" s="4"/>
      <c r="N215" s="2"/>
      <c r="O215" s="5" t="str">
        <f t="shared" ca="1" si="19"/>
        <v/>
      </c>
      <c r="P215" s="6"/>
      <c r="V215" t="str">
        <f t="shared" si="20"/>
        <v/>
      </c>
      <c r="W215" t="str">
        <f t="shared" si="21"/>
        <v/>
      </c>
      <c r="X215" t="str">
        <f t="shared" si="22"/>
        <v/>
      </c>
      <c r="Y215" t="str">
        <f t="shared" si="23"/>
        <v/>
      </c>
    </row>
    <row r="216" spans="1:25" ht="14.5" x14ac:dyDescent="0.35">
      <c r="A216" s="3"/>
      <c r="B216" s="2"/>
      <c r="C216" s="2"/>
      <c r="D216" s="4"/>
      <c r="E216" s="2"/>
      <c r="F216" s="2"/>
      <c r="G216" s="3" t="str">
        <f t="shared" si="18"/>
        <v/>
      </c>
      <c r="H216" s="3"/>
      <c r="I216" s="3"/>
      <c r="J216" s="2"/>
      <c r="K216" s="2"/>
      <c r="L216" s="2"/>
      <c r="M216" s="4"/>
      <c r="N216" s="2"/>
      <c r="O216" s="5" t="str">
        <f t="shared" ca="1" si="19"/>
        <v/>
      </c>
      <c r="P216" s="6"/>
      <c r="V216" t="str">
        <f t="shared" si="20"/>
        <v/>
      </c>
      <c r="W216" t="str">
        <f t="shared" si="21"/>
        <v/>
      </c>
      <c r="X216" t="str">
        <f t="shared" si="22"/>
        <v/>
      </c>
      <c r="Y216" t="str">
        <f t="shared" si="23"/>
        <v/>
      </c>
    </row>
    <row r="217" spans="1:25" ht="14.5" x14ac:dyDescent="0.35">
      <c r="A217" s="3"/>
      <c r="B217" s="2"/>
      <c r="C217" s="2"/>
      <c r="D217" s="4"/>
      <c r="E217" s="2"/>
      <c r="F217" s="2"/>
      <c r="G217" s="3" t="str">
        <f t="shared" si="18"/>
        <v/>
      </c>
      <c r="H217" s="3"/>
      <c r="I217" s="3"/>
      <c r="J217" s="2"/>
      <c r="K217" s="2"/>
      <c r="L217" s="2"/>
      <c r="M217" s="4"/>
      <c r="N217" s="2"/>
      <c r="O217" s="5" t="str">
        <f t="shared" ca="1" si="19"/>
        <v/>
      </c>
      <c r="P217" s="6"/>
      <c r="V217" t="str">
        <f t="shared" si="20"/>
        <v/>
      </c>
      <c r="W217" t="str">
        <f t="shared" si="21"/>
        <v/>
      </c>
      <c r="X217" t="str">
        <f t="shared" si="22"/>
        <v/>
      </c>
      <c r="Y217" t="str">
        <f t="shared" si="23"/>
        <v/>
      </c>
    </row>
    <row r="218" spans="1:25" ht="14.5" x14ac:dyDescent="0.35">
      <c r="A218" s="3"/>
      <c r="B218" s="2"/>
      <c r="C218" s="2"/>
      <c r="D218" s="4"/>
      <c r="E218" s="2"/>
      <c r="F218" s="2"/>
      <c r="G218" s="3" t="str">
        <f t="shared" si="18"/>
        <v/>
      </c>
      <c r="H218" s="3"/>
      <c r="I218" s="3"/>
      <c r="J218" s="2"/>
      <c r="K218" s="2"/>
      <c r="L218" s="2"/>
      <c r="M218" s="4"/>
      <c r="N218" s="2"/>
      <c r="O218" s="5" t="str">
        <f t="shared" ca="1" si="19"/>
        <v/>
      </c>
      <c r="P218" s="6"/>
      <c r="V218" t="str">
        <f t="shared" si="20"/>
        <v/>
      </c>
      <c r="W218" t="str">
        <f t="shared" si="21"/>
        <v/>
      </c>
      <c r="X218" t="str">
        <f t="shared" si="22"/>
        <v/>
      </c>
      <c r="Y218" t="str">
        <f t="shared" si="23"/>
        <v/>
      </c>
    </row>
    <row r="219" spans="1:25" ht="14.5" x14ac:dyDescent="0.35">
      <c r="A219" s="3"/>
      <c r="B219" s="2"/>
      <c r="C219" s="2"/>
      <c r="D219" s="4"/>
      <c r="E219" s="2"/>
      <c r="F219" s="2"/>
      <c r="G219" s="3" t="str">
        <f t="shared" si="18"/>
        <v/>
      </c>
      <c r="H219" s="3"/>
      <c r="I219" s="3"/>
      <c r="J219" s="2"/>
      <c r="K219" s="2"/>
      <c r="L219" s="2"/>
      <c r="M219" s="4"/>
      <c r="N219" s="2"/>
      <c r="O219" s="5" t="str">
        <f t="shared" ca="1" si="19"/>
        <v/>
      </c>
      <c r="P219" s="6"/>
      <c r="V219" t="str">
        <f t="shared" si="20"/>
        <v/>
      </c>
      <c r="W219" t="str">
        <f t="shared" si="21"/>
        <v/>
      </c>
      <c r="X219" t="str">
        <f t="shared" si="22"/>
        <v/>
      </c>
      <c r="Y219" t="str">
        <f t="shared" si="23"/>
        <v/>
      </c>
    </row>
    <row r="220" spans="1:25" ht="14.5" x14ac:dyDescent="0.35">
      <c r="A220" s="3"/>
      <c r="B220" s="2"/>
      <c r="C220" s="2"/>
      <c r="D220" s="4"/>
      <c r="E220" s="2"/>
      <c r="F220" s="2"/>
      <c r="G220" s="3" t="str">
        <f t="shared" si="18"/>
        <v/>
      </c>
      <c r="H220" s="3"/>
      <c r="I220" s="3"/>
      <c r="J220" s="2"/>
      <c r="K220" s="2"/>
      <c r="L220" s="2"/>
      <c r="M220" s="4"/>
      <c r="N220" s="2"/>
      <c r="O220" s="5" t="str">
        <f t="shared" ca="1" si="19"/>
        <v/>
      </c>
      <c r="P220" s="6"/>
      <c r="V220" t="str">
        <f t="shared" si="20"/>
        <v/>
      </c>
      <c r="W220" t="str">
        <f t="shared" si="21"/>
        <v/>
      </c>
      <c r="X220" t="str">
        <f t="shared" si="22"/>
        <v/>
      </c>
      <c r="Y220" t="str">
        <f t="shared" si="23"/>
        <v/>
      </c>
    </row>
    <row r="221" spans="1:25" ht="14.5" x14ac:dyDescent="0.35">
      <c r="A221" s="3"/>
      <c r="B221" s="2"/>
      <c r="C221" s="2"/>
      <c r="D221" s="4"/>
      <c r="E221" s="2"/>
      <c r="F221" s="2"/>
      <c r="G221" s="3" t="str">
        <f t="shared" si="18"/>
        <v/>
      </c>
      <c r="H221" s="3"/>
      <c r="I221" s="3"/>
      <c r="J221" s="2"/>
      <c r="K221" s="2"/>
      <c r="L221" s="2"/>
      <c r="M221" s="4"/>
      <c r="N221" s="2"/>
      <c r="O221" s="5" t="str">
        <f t="shared" ca="1" si="19"/>
        <v/>
      </c>
      <c r="P221" s="6"/>
      <c r="V221" t="str">
        <f t="shared" si="20"/>
        <v/>
      </c>
      <c r="W221" t="str">
        <f t="shared" si="21"/>
        <v/>
      </c>
      <c r="X221" t="str">
        <f t="shared" si="22"/>
        <v/>
      </c>
      <c r="Y221" t="str">
        <f t="shared" si="23"/>
        <v/>
      </c>
    </row>
    <row r="222" spans="1:25" ht="14.5" x14ac:dyDescent="0.35">
      <c r="A222" s="3"/>
      <c r="B222" s="2"/>
      <c r="C222" s="2"/>
      <c r="D222" s="4"/>
      <c r="E222" s="2"/>
      <c r="F222" s="2"/>
      <c r="G222" s="3" t="str">
        <f t="shared" si="18"/>
        <v/>
      </c>
      <c r="H222" s="3"/>
      <c r="I222" s="3"/>
      <c r="J222" s="2"/>
      <c r="K222" s="2"/>
      <c r="L222" s="2"/>
      <c r="M222" s="4"/>
      <c r="N222" s="2"/>
      <c r="O222" s="5" t="str">
        <f t="shared" ca="1" si="19"/>
        <v/>
      </c>
      <c r="P222" s="6"/>
      <c r="V222" t="str">
        <f t="shared" si="20"/>
        <v/>
      </c>
      <c r="W222" t="str">
        <f t="shared" si="21"/>
        <v/>
      </c>
      <c r="X222" t="str">
        <f t="shared" si="22"/>
        <v/>
      </c>
      <c r="Y222" t="str">
        <f t="shared" si="23"/>
        <v/>
      </c>
    </row>
    <row r="223" spans="1:25" ht="14.5" x14ac:dyDescent="0.35">
      <c r="A223" s="3"/>
      <c r="B223" s="2"/>
      <c r="C223" s="2"/>
      <c r="D223" s="4"/>
      <c r="E223" s="2"/>
      <c r="F223" s="2"/>
      <c r="G223" s="3" t="str">
        <f t="shared" si="18"/>
        <v/>
      </c>
      <c r="H223" s="3"/>
      <c r="I223" s="3"/>
      <c r="J223" s="2"/>
      <c r="K223" s="2"/>
      <c r="L223" s="2"/>
      <c r="M223" s="4"/>
      <c r="N223" s="2"/>
      <c r="O223" s="5" t="str">
        <f t="shared" ca="1" si="19"/>
        <v/>
      </c>
      <c r="P223" s="6"/>
      <c r="V223" t="str">
        <f t="shared" si="20"/>
        <v/>
      </c>
      <c r="W223" t="str">
        <f t="shared" si="21"/>
        <v/>
      </c>
      <c r="X223" t="str">
        <f t="shared" si="22"/>
        <v/>
      </c>
      <c r="Y223" t="str">
        <f t="shared" si="23"/>
        <v/>
      </c>
    </row>
    <row r="224" spans="1:25" ht="14.5" x14ac:dyDescent="0.35">
      <c r="A224" s="3"/>
      <c r="B224" s="2"/>
      <c r="C224" s="2"/>
      <c r="D224" s="4"/>
      <c r="E224" s="2"/>
      <c r="F224" s="2"/>
      <c r="G224" s="3" t="str">
        <f t="shared" si="18"/>
        <v/>
      </c>
      <c r="H224" s="3"/>
      <c r="I224" s="3"/>
      <c r="J224" s="2"/>
      <c r="K224" s="2"/>
      <c r="L224" s="2"/>
      <c r="M224" s="4"/>
      <c r="N224" s="2"/>
      <c r="O224" s="5" t="str">
        <f t="shared" ca="1" si="19"/>
        <v/>
      </c>
      <c r="P224" s="6"/>
      <c r="V224" t="str">
        <f t="shared" si="20"/>
        <v/>
      </c>
      <c r="W224" t="str">
        <f t="shared" si="21"/>
        <v/>
      </c>
      <c r="X224" t="str">
        <f t="shared" si="22"/>
        <v/>
      </c>
      <c r="Y224" t="str">
        <f t="shared" si="23"/>
        <v/>
      </c>
    </row>
    <row r="225" spans="1:25" ht="14.5" x14ac:dyDescent="0.35">
      <c r="A225" s="3"/>
      <c r="B225" s="2"/>
      <c r="C225" s="2"/>
      <c r="D225" s="4"/>
      <c r="E225" s="2"/>
      <c r="F225" s="2"/>
      <c r="G225" s="3" t="str">
        <f t="shared" si="18"/>
        <v/>
      </c>
      <c r="H225" s="3"/>
      <c r="I225" s="3"/>
      <c r="J225" s="2"/>
      <c r="K225" s="2"/>
      <c r="L225" s="2"/>
      <c r="M225" s="4"/>
      <c r="N225" s="2"/>
      <c r="O225" s="5" t="str">
        <f t="shared" ca="1" si="19"/>
        <v/>
      </c>
      <c r="P225" s="6"/>
      <c r="V225" t="str">
        <f t="shared" si="20"/>
        <v/>
      </c>
      <c r="W225" t="str">
        <f t="shared" si="21"/>
        <v/>
      </c>
      <c r="X225" t="str">
        <f t="shared" si="22"/>
        <v/>
      </c>
      <c r="Y225" t="str">
        <f t="shared" si="23"/>
        <v/>
      </c>
    </row>
    <row r="226" spans="1:25" ht="14.5" x14ac:dyDescent="0.35">
      <c r="A226" s="3"/>
      <c r="B226" s="2"/>
      <c r="C226" s="2"/>
      <c r="D226" s="4"/>
      <c r="E226" s="2"/>
      <c r="F226" s="2"/>
      <c r="G226" s="3" t="str">
        <f t="shared" si="18"/>
        <v/>
      </c>
      <c r="H226" s="3"/>
      <c r="I226" s="3"/>
      <c r="J226" s="2"/>
      <c r="K226" s="2"/>
      <c r="L226" s="2"/>
      <c r="M226" s="4"/>
      <c r="N226" s="2"/>
      <c r="O226" s="5" t="str">
        <f t="shared" ca="1" si="19"/>
        <v/>
      </c>
      <c r="P226" s="6"/>
      <c r="V226" t="str">
        <f t="shared" si="20"/>
        <v/>
      </c>
      <c r="W226" t="str">
        <f t="shared" si="21"/>
        <v/>
      </c>
      <c r="X226" t="str">
        <f t="shared" si="22"/>
        <v/>
      </c>
      <c r="Y226" t="str">
        <f t="shared" si="23"/>
        <v/>
      </c>
    </row>
    <row r="227" spans="1:25" ht="14.5" x14ac:dyDescent="0.35">
      <c r="A227" s="3"/>
      <c r="B227" s="2"/>
      <c r="C227" s="2"/>
      <c r="D227" s="4"/>
      <c r="E227" s="2"/>
      <c r="F227" s="2"/>
      <c r="G227" s="3" t="str">
        <f t="shared" si="18"/>
        <v/>
      </c>
      <c r="H227" s="3"/>
      <c r="I227" s="3"/>
      <c r="J227" s="2"/>
      <c r="K227" s="2"/>
      <c r="L227" s="2"/>
      <c r="M227" s="4"/>
      <c r="N227" s="2"/>
      <c r="O227" s="5" t="str">
        <f t="shared" ca="1" si="19"/>
        <v/>
      </c>
      <c r="P227" s="6"/>
      <c r="V227" t="str">
        <f t="shared" si="20"/>
        <v/>
      </c>
      <c r="W227" t="str">
        <f t="shared" si="21"/>
        <v/>
      </c>
      <c r="X227" t="str">
        <f t="shared" si="22"/>
        <v/>
      </c>
      <c r="Y227" t="str">
        <f t="shared" si="23"/>
        <v/>
      </c>
    </row>
    <row r="228" spans="1:25" ht="14.5" x14ac:dyDescent="0.35">
      <c r="A228" s="3"/>
      <c r="B228" s="2"/>
      <c r="C228" s="2"/>
      <c r="D228" s="4"/>
      <c r="E228" s="2"/>
      <c r="F228" s="2"/>
      <c r="G228" s="3" t="str">
        <f t="shared" si="18"/>
        <v/>
      </c>
      <c r="H228" s="3"/>
      <c r="I228" s="3"/>
      <c r="J228" s="2"/>
      <c r="K228" s="2"/>
      <c r="L228" s="2"/>
      <c r="M228" s="4"/>
      <c r="N228" s="2"/>
      <c r="O228" s="5" t="str">
        <f t="shared" ca="1" si="19"/>
        <v/>
      </c>
      <c r="P228" s="6"/>
      <c r="V228" t="str">
        <f t="shared" si="20"/>
        <v/>
      </c>
      <c r="W228" t="str">
        <f t="shared" si="21"/>
        <v/>
      </c>
      <c r="X228" t="str">
        <f t="shared" si="22"/>
        <v/>
      </c>
      <c r="Y228" t="str">
        <f t="shared" si="23"/>
        <v/>
      </c>
    </row>
    <row r="229" spans="1:25" ht="14.5" x14ac:dyDescent="0.35">
      <c r="A229" s="3"/>
      <c r="B229" s="2"/>
      <c r="C229" s="2"/>
      <c r="D229" s="4"/>
      <c r="E229" s="2"/>
      <c r="F229" s="2"/>
      <c r="G229" s="3" t="str">
        <f t="shared" si="18"/>
        <v/>
      </c>
      <c r="H229" s="3"/>
      <c r="I229" s="3"/>
      <c r="J229" s="2"/>
      <c r="K229" s="2"/>
      <c r="L229" s="2"/>
      <c r="M229" s="4"/>
      <c r="N229" s="2"/>
      <c r="O229" s="5" t="str">
        <f t="shared" ca="1" si="19"/>
        <v/>
      </c>
      <c r="P229" s="6"/>
      <c r="V229" t="str">
        <f t="shared" si="20"/>
        <v/>
      </c>
      <c r="W229" t="str">
        <f t="shared" si="21"/>
        <v/>
      </c>
      <c r="X229" t="str">
        <f t="shared" si="22"/>
        <v/>
      </c>
      <c r="Y229" t="str">
        <f t="shared" si="23"/>
        <v/>
      </c>
    </row>
    <row r="230" spans="1:25" ht="14.5" x14ac:dyDescent="0.35">
      <c r="A230" s="3"/>
      <c r="B230" s="2"/>
      <c r="C230" s="2"/>
      <c r="D230" s="4"/>
      <c r="E230" s="2"/>
      <c r="F230" s="2"/>
      <c r="G230" s="3" t="str">
        <f t="shared" si="18"/>
        <v/>
      </c>
      <c r="H230" s="3"/>
      <c r="I230" s="3"/>
      <c r="J230" s="2"/>
      <c r="K230" s="2"/>
      <c r="L230" s="2"/>
      <c r="M230" s="4"/>
      <c r="N230" s="2"/>
      <c r="O230" s="5" t="str">
        <f t="shared" ca="1" si="19"/>
        <v/>
      </c>
      <c r="P230" s="6"/>
      <c r="V230" t="str">
        <f t="shared" si="20"/>
        <v/>
      </c>
      <c r="W230" t="str">
        <f t="shared" si="21"/>
        <v/>
      </c>
      <c r="X230" t="str">
        <f t="shared" si="22"/>
        <v/>
      </c>
      <c r="Y230" t="str">
        <f t="shared" si="23"/>
        <v/>
      </c>
    </row>
    <row r="231" spans="1:25" ht="14.5" x14ac:dyDescent="0.35">
      <c r="A231" s="3"/>
      <c r="B231" s="2"/>
      <c r="C231" s="2"/>
      <c r="D231" s="4"/>
      <c r="E231" s="2"/>
      <c r="F231" s="2"/>
      <c r="G231" s="3" t="str">
        <f t="shared" si="18"/>
        <v/>
      </c>
      <c r="H231" s="3"/>
      <c r="I231" s="3"/>
      <c r="J231" s="2"/>
      <c r="K231" s="2"/>
      <c r="L231" s="2"/>
      <c r="M231" s="4"/>
      <c r="N231" s="2"/>
      <c r="O231" s="5" t="str">
        <f t="shared" ca="1" si="19"/>
        <v/>
      </c>
      <c r="P231" s="6"/>
      <c r="V231" t="str">
        <f t="shared" si="20"/>
        <v/>
      </c>
      <c r="W231" t="str">
        <f t="shared" si="21"/>
        <v/>
      </c>
      <c r="X231" t="str">
        <f t="shared" si="22"/>
        <v/>
      </c>
      <c r="Y231" t="str">
        <f t="shared" si="23"/>
        <v/>
      </c>
    </row>
    <row r="232" spans="1:25" ht="14.5" x14ac:dyDescent="0.35">
      <c r="A232" s="3"/>
      <c r="B232" s="2"/>
      <c r="C232" s="2"/>
      <c r="D232" s="4"/>
      <c r="E232" s="2"/>
      <c r="F232" s="2"/>
      <c r="G232" s="3" t="str">
        <f t="shared" si="18"/>
        <v/>
      </c>
      <c r="H232" s="3"/>
      <c r="I232" s="3"/>
      <c r="J232" s="2"/>
      <c r="K232" s="2"/>
      <c r="L232" s="2"/>
      <c r="M232" s="4"/>
      <c r="N232" s="2"/>
      <c r="O232" s="5" t="str">
        <f t="shared" ca="1" si="19"/>
        <v/>
      </c>
      <c r="P232" s="6"/>
      <c r="V232" t="str">
        <f t="shared" si="20"/>
        <v/>
      </c>
      <c r="W232" t="str">
        <f t="shared" si="21"/>
        <v/>
      </c>
      <c r="X232" t="str">
        <f t="shared" si="22"/>
        <v/>
      </c>
      <c r="Y232" t="str">
        <f t="shared" si="23"/>
        <v/>
      </c>
    </row>
    <row r="233" spans="1:25" ht="14.5" x14ac:dyDescent="0.35">
      <c r="A233" s="3"/>
      <c r="B233" s="2"/>
      <c r="C233" s="2"/>
      <c r="D233" s="4"/>
      <c r="E233" s="2"/>
      <c r="F233" s="2"/>
      <c r="G233" s="3" t="str">
        <f t="shared" si="18"/>
        <v/>
      </c>
      <c r="H233" s="3"/>
      <c r="I233" s="3"/>
      <c r="J233" s="2"/>
      <c r="K233" s="2"/>
      <c r="L233" s="2"/>
      <c r="M233" s="4"/>
      <c r="N233" s="2"/>
      <c r="O233" s="5" t="str">
        <f t="shared" ca="1" si="19"/>
        <v/>
      </c>
      <c r="P233" s="6"/>
      <c r="V233" t="str">
        <f t="shared" si="20"/>
        <v/>
      </c>
      <c r="W233" t="str">
        <f t="shared" si="21"/>
        <v/>
      </c>
      <c r="X233" t="str">
        <f t="shared" si="22"/>
        <v/>
      </c>
      <c r="Y233" t="str">
        <f t="shared" si="23"/>
        <v/>
      </c>
    </row>
    <row r="234" spans="1:25" ht="14.5" x14ac:dyDescent="0.35">
      <c r="A234" s="3"/>
      <c r="B234" s="2"/>
      <c r="C234" s="2"/>
      <c r="D234" s="4"/>
      <c r="E234" s="2"/>
      <c r="F234" s="2"/>
      <c r="G234" s="3" t="str">
        <f t="shared" si="18"/>
        <v/>
      </c>
      <c r="H234" s="3"/>
      <c r="I234" s="3"/>
      <c r="J234" s="2"/>
      <c r="K234" s="2"/>
      <c r="L234" s="2"/>
      <c r="M234" s="4"/>
      <c r="N234" s="2"/>
      <c r="O234" s="5" t="str">
        <f t="shared" ca="1" si="19"/>
        <v/>
      </c>
      <c r="P234" s="6"/>
      <c r="V234" t="str">
        <f t="shared" si="20"/>
        <v/>
      </c>
      <c r="W234" t="str">
        <f t="shared" si="21"/>
        <v/>
      </c>
      <c r="X234" t="str">
        <f t="shared" si="22"/>
        <v/>
      </c>
      <c r="Y234" t="str">
        <f t="shared" si="23"/>
        <v/>
      </c>
    </row>
    <row r="235" spans="1:25" ht="14.5" x14ac:dyDescent="0.35">
      <c r="A235" s="3"/>
      <c r="B235" s="2"/>
      <c r="C235" s="2"/>
      <c r="D235" s="4"/>
      <c r="E235" s="2"/>
      <c r="F235" s="2"/>
      <c r="G235" s="3" t="str">
        <f t="shared" si="18"/>
        <v/>
      </c>
      <c r="H235" s="3"/>
      <c r="I235" s="3"/>
      <c r="J235" s="2"/>
      <c r="K235" s="2"/>
      <c r="L235" s="2"/>
      <c r="M235" s="4"/>
      <c r="N235" s="2"/>
      <c r="O235" s="5" t="str">
        <f t="shared" ca="1" si="19"/>
        <v/>
      </c>
      <c r="P235" s="6"/>
      <c r="V235" t="str">
        <f t="shared" si="20"/>
        <v/>
      </c>
      <c r="W235" t="str">
        <f t="shared" si="21"/>
        <v/>
      </c>
      <c r="X235" t="str">
        <f t="shared" si="22"/>
        <v/>
      </c>
      <c r="Y235" t="str">
        <f t="shared" si="23"/>
        <v/>
      </c>
    </row>
    <row r="236" spans="1:25" ht="14.5" x14ac:dyDescent="0.35">
      <c r="A236" s="3"/>
      <c r="B236" s="2"/>
      <c r="C236" s="2"/>
      <c r="D236" s="4"/>
      <c r="E236" s="2"/>
      <c r="F236" s="2"/>
      <c r="G236" s="3" t="str">
        <f t="shared" si="18"/>
        <v/>
      </c>
      <c r="H236" s="3"/>
      <c r="I236" s="3"/>
      <c r="J236" s="2"/>
      <c r="K236" s="2"/>
      <c r="L236" s="2"/>
      <c r="M236" s="4"/>
      <c r="N236" s="2"/>
      <c r="O236" s="5" t="str">
        <f t="shared" ca="1" si="19"/>
        <v/>
      </c>
      <c r="P236" s="6"/>
      <c r="V236" t="str">
        <f t="shared" si="20"/>
        <v/>
      </c>
      <c r="W236" t="str">
        <f t="shared" si="21"/>
        <v/>
      </c>
      <c r="X236" t="str">
        <f t="shared" si="22"/>
        <v/>
      </c>
      <c r="Y236" t="str">
        <f t="shared" si="23"/>
        <v/>
      </c>
    </row>
    <row r="237" spans="1:25" ht="14.5" x14ac:dyDescent="0.35">
      <c r="A237" s="3"/>
      <c r="B237" s="2"/>
      <c r="C237" s="2"/>
      <c r="D237" s="4"/>
      <c r="E237" s="2"/>
      <c r="F237" s="2"/>
      <c r="G237" s="3" t="str">
        <f t="shared" si="18"/>
        <v/>
      </c>
      <c r="H237" s="3"/>
      <c r="I237" s="3"/>
      <c r="J237" s="2"/>
      <c r="K237" s="2"/>
      <c r="L237" s="2"/>
      <c r="M237" s="4"/>
      <c r="N237" s="2"/>
      <c r="O237" s="5" t="str">
        <f t="shared" ca="1" si="19"/>
        <v/>
      </c>
      <c r="P237" s="6"/>
      <c r="V237" t="str">
        <f t="shared" si="20"/>
        <v/>
      </c>
      <c r="W237" t="str">
        <f t="shared" si="21"/>
        <v/>
      </c>
      <c r="X237" t="str">
        <f t="shared" si="22"/>
        <v/>
      </c>
      <c r="Y237" t="str">
        <f t="shared" si="23"/>
        <v/>
      </c>
    </row>
    <row r="238" spans="1:25" ht="14.5" x14ac:dyDescent="0.35">
      <c r="A238" s="3"/>
      <c r="B238" s="2"/>
      <c r="C238" s="2"/>
      <c r="D238" s="4"/>
      <c r="E238" s="2"/>
      <c r="F238" s="2"/>
      <c r="G238" s="3" t="str">
        <f t="shared" si="18"/>
        <v/>
      </c>
      <c r="H238" s="3"/>
      <c r="I238" s="3"/>
      <c r="J238" s="2"/>
      <c r="K238" s="2"/>
      <c r="L238" s="2"/>
      <c r="M238" s="4"/>
      <c r="N238" s="2"/>
      <c r="O238" s="5" t="str">
        <f t="shared" ca="1" si="19"/>
        <v/>
      </c>
      <c r="P238" s="6"/>
      <c r="V238" t="str">
        <f t="shared" si="20"/>
        <v/>
      </c>
      <c r="W238" t="str">
        <f t="shared" si="21"/>
        <v/>
      </c>
      <c r="X238" t="str">
        <f t="shared" si="22"/>
        <v/>
      </c>
      <c r="Y238" t="str">
        <f t="shared" si="23"/>
        <v/>
      </c>
    </row>
    <row r="239" spans="1:25" ht="14.5" x14ac:dyDescent="0.35">
      <c r="A239" s="3"/>
      <c r="B239" s="2"/>
      <c r="C239" s="2"/>
      <c r="D239" s="4"/>
      <c r="E239" s="2"/>
      <c r="F239" s="2"/>
      <c r="G239" s="3" t="str">
        <f t="shared" si="18"/>
        <v/>
      </c>
      <c r="H239" s="3"/>
      <c r="I239" s="3"/>
      <c r="J239" s="2"/>
      <c r="K239" s="2"/>
      <c r="L239" s="2"/>
      <c r="M239" s="4"/>
      <c r="N239" s="2"/>
      <c r="O239" s="5" t="str">
        <f t="shared" ca="1" si="19"/>
        <v/>
      </c>
      <c r="P239" s="6"/>
      <c r="V239" t="str">
        <f t="shared" si="20"/>
        <v/>
      </c>
      <c r="W239" t="str">
        <f t="shared" si="21"/>
        <v/>
      </c>
      <c r="X239" t="str">
        <f t="shared" si="22"/>
        <v/>
      </c>
      <c r="Y239" t="str">
        <f t="shared" si="23"/>
        <v/>
      </c>
    </row>
    <row r="240" spans="1:25" ht="14.5" x14ac:dyDescent="0.35">
      <c r="A240" s="3"/>
      <c r="B240" s="2"/>
      <c r="C240" s="2"/>
      <c r="D240" s="4"/>
      <c r="E240" s="2"/>
      <c r="F240" s="2"/>
      <c r="G240" s="3" t="str">
        <f t="shared" si="18"/>
        <v/>
      </c>
      <c r="H240" s="3"/>
      <c r="I240" s="3"/>
      <c r="J240" s="2"/>
      <c r="K240" s="2"/>
      <c r="L240" s="2"/>
      <c r="M240" s="4"/>
      <c r="N240" s="2"/>
      <c r="O240" s="5" t="str">
        <f t="shared" ca="1" si="19"/>
        <v/>
      </c>
      <c r="P240" s="6"/>
      <c r="V240" t="str">
        <f t="shared" si="20"/>
        <v/>
      </c>
      <c r="W240" t="str">
        <f t="shared" si="21"/>
        <v/>
      </c>
      <c r="X240" t="str">
        <f t="shared" si="22"/>
        <v/>
      </c>
      <c r="Y240" t="str">
        <f t="shared" si="23"/>
        <v/>
      </c>
    </row>
    <row r="241" spans="1:25" ht="14.5" x14ac:dyDescent="0.35">
      <c r="A241" s="3"/>
      <c r="B241" s="2"/>
      <c r="C241" s="2"/>
      <c r="D241" s="4"/>
      <c r="E241" s="2"/>
      <c r="F241" s="2"/>
      <c r="G241" s="3" t="str">
        <f t="shared" si="18"/>
        <v/>
      </c>
      <c r="H241" s="3"/>
      <c r="I241" s="3"/>
      <c r="J241" s="2"/>
      <c r="K241" s="2"/>
      <c r="L241" s="2"/>
      <c r="M241" s="4"/>
      <c r="N241" s="2"/>
      <c r="O241" s="5" t="str">
        <f t="shared" ca="1" si="19"/>
        <v/>
      </c>
      <c r="P241" s="6"/>
      <c r="V241" t="str">
        <f t="shared" si="20"/>
        <v/>
      </c>
      <c r="W241" t="str">
        <f t="shared" si="21"/>
        <v/>
      </c>
      <c r="X241" t="str">
        <f t="shared" si="22"/>
        <v/>
      </c>
      <c r="Y241" t="str">
        <f t="shared" si="23"/>
        <v/>
      </c>
    </row>
    <row r="242" spans="1:25" ht="14.5" x14ac:dyDescent="0.35">
      <c r="A242" s="3"/>
      <c r="B242" s="2"/>
      <c r="C242" s="2"/>
      <c r="D242" s="4"/>
      <c r="E242" s="2"/>
      <c r="F242" s="2"/>
      <c r="G242" s="3" t="str">
        <f t="shared" si="18"/>
        <v/>
      </c>
      <c r="H242" s="3"/>
      <c r="I242" s="3"/>
      <c r="J242" s="2"/>
      <c r="K242" s="2"/>
      <c r="L242" s="2"/>
      <c r="M242" s="4"/>
      <c r="N242" s="2"/>
      <c r="O242" s="5" t="str">
        <f t="shared" ca="1" si="19"/>
        <v/>
      </c>
      <c r="P242" s="6"/>
      <c r="V242" t="str">
        <f t="shared" si="20"/>
        <v/>
      </c>
      <c r="W242" t="str">
        <f t="shared" si="21"/>
        <v/>
      </c>
      <c r="X242" t="str">
        <f t="shared" si="22"/>
        <v/>
      </c>
      <c r="Y242" t="str">
        <f t="shared" si="23"/>
        <v/>
      </c>
    </row>
    <row r="243" spans="1:25" ht="14.5" x14ac:dyDescent="0.35">
      <c r="A243" s="3"/>
      <c r="B243" s="2"/>
      <c r="C243" s="2"/>
      <c r="D243" s="4"/>
      <c r="E243" s="2"/>
      <c r="F243" s="2"/>
      <c r="G243" s="3" t="str">
        <f t="shared" si="18"/>
        <v/>
      </c>
      <c r="H243" s="3"/>
      <c r="I243" s="3"/>
      <c r="J243" s="2"/>
      <c r="K243" s="2"/>
      <c r="L243" s="2"/>
      <c r="M243" s="4"/>
      <c r="N243" s="2"/>
      <c r="O243" s="5" t="str">
        <f t="shared" ca="1" si="19"/>
        <v/>
      </c>
      <c r="P243" s="6"/>
      <c r="V243" t="str">
        <f t="shared" si="20"/>
        <v/>
      </c>
      <c r="W243" t="str">
        <f t="shared" si="21"/>
        <v/>
      </c>
      <c r="X243" t="str">
        <f t="shared" si="22"/>
        <v/>
      </c>
      <c r="Y243" t="str">
        <f t="shared" si="23"/>
        <v/>
      </c>
    </row>
    <row r="244" spans="1:25" ht="14.5" x14ac:dyDescent="0.35">
      <c r="A244" s="3"/>
      <c r="B244" s="2"/>
      <c r="C244" s="2"/>
      <c r="D244" s="4"/>
      <c r="E244" s="2"/>
      <c r="F244" s="2"/>
      <c r="G244" s="3" t="str">
        <f t="shared" si="18"/>
        <v/>
      </c>
      <c r="H244" s="3"/>
      <c r="I244" s="3"/>
      <c r="J244" s="2"/>
      <c r="K244" s="2"/>
      <c r="L244" s="2"/>
      <c r="M244" s="4"/>
      <c r="N244" s="2"/>
      <c r="O244" s="5" t="str">
        <f t="shared" ca="1" si="19"/>
        <v/>
      </c>
      <c r="P244" s="6"/>
      <c r="V244" t="str">
        <f t="shared" si="20"/>
        <v/>
      </c>
      <c r="W244" t="str">
        <f t="shared" si="21"/>
        <v/>
      </c>
      <c r="X244" t="str">
        <f t="shared" si="22"/>
        <v/>
      </c>
      <c r="Y244" t="str">
        <f t="shared" si="23"/>
        <v/>
      </c>
    </row>
    <row r="245" spans="1:25" ht="14.5" x14ac:dyDescent="0.35">
      <c r="A245" s="3"/>
      <c r="B245" s="2"/>
      <c r="C245" s="2"/>
      <c r="D245" s="4"/>
      <c r="E245" s="2"/>
      <c r="F245" s="2"/>
      <c r="G245" s="3" t="str">
        <f t="shared" si="18"/>
        <v/>
      </c>
      <c r="H245" s="3"/>
      <c r="I245" s="3"/>
      <c r="J245" s="2"/>
      <c r="K245" s="2"/>
      <c r="L245" s="2"/>
      <c r="M245" s="4"/>
      <c r="N245" s="2"/>
      <c r="O245" s="5" t="str">
        <f t="shared" ca="1" si="19"/>
        <v/>
      </c>
      <c r="P245" s="6"/>
      <c r="V245" t="str">
        <f t="shared" si="20"/>
        <v/>
      </c>
      <c r="W245" t="str">
        <f t="shared" si="21"/>
        <v/>
      </c>
      <c r="X245" t="str">
        <f t="shared" si="22"/>
        <v/>
      </c>
      <c r="Y245" t="str">
        <f t="shared" si="23"/>
        <v/>
      </c>
    </row>
    <row r="246" spans="1:25" ht="14.5" x14ac:dyDescent="0.35">
      <c r="A246" s="3"/>
      <c r="B246" s="2"/>
      <c r="C246" s="2"/>
      <c r="D246" s="4"/>
      <c r="E246" s="2"/>
      <c r="F246" s="2"/>
      <c r="G246" s="3" t="str">
        <f t="shared" si="18"/>
        <v/>
      </c>
      <c r="H246" s="3"/>
      <c r="I246" s="3"/>
      <c r="J246" s="2"/>
      <c r="K246" s="2"/>
      <c r="L246" s="2"/>
      <c r="M246" s="4"/>
      <c r="N246" s="2"/>
      <c r="O246" s="5" t="str">
        <f t="shared" ca="1" si="19"/>
        <v/>
      </c>
      <c r="P246" s="6"/>
      <c r="V246" t="str">
        <f t="shared" si="20"/>
        <v/>
      </c>
      <c r="W246" t="str">
        <f t="shared" si="21"/>
        <v/>
      </c>
      <c r="X246" t="str">
        <f t="shared" si="22"/>
        <v/>
      </c>
      <c r="Y246" t="str">
        <f t="shared" si="23"/>
        <v/>
      </c>
    </row>
    <row r="247" spans="1:25" ht="14.5" x14ac:dyDescent="0.35">
      <c r="A247" s="3"/>
      <c r="B247" s="2"/>
      <c r="C247" s="2"/>
      <c r="D247" s="4"/>
      <c r="E247" s="2"/>
      <c r="F247" s="2"/>
      <c r="G247" s="3" t="str">
        <f t="shared" si="18"/>
        <v/>
      </c>
      <c r="H247" s="3"/>
      <c r="I247" s="3"/>
      <c r="J247" s="2"/>
      <c r="K247" s="2"/>
      <c r="L247" s="2"/>
      <c r="M247" s="4"/>
      <c r="N247" s="2"/>
      <c r="O247" s="5" t="str">
        <f t="shared" ca="1" si="19"/>
        <v/>
      </c>
      <c r="P247" s="6"/>
      <c r="V247" t="str">
        <f t="shared" si="20"/>
        <v/>
      </c>
      <c r="W247" t="str">
        <f t="shared" si="21"/>
        <v/>
      </c>
      <c r="X247" t="str">
        <f t="shared" si="22"/>
        <v/>
      </c>
      <c r="Y247" t="str">
        <f t="shared" si="23"/>
        <v/>
      </c>
    </row>
    <row r="248" spans="1:25" ht="14.5" x14ac:dyDescent="0.35">
      <c r="A248" s="3"/>
      <c r="B248" s="2"/>
      <c r="C248" s="2"/>
      <c r="D248" s="4"/>
      <c r="E248" s="2"/>
      <c r="F248" s="2"/>
      <c r="G248" s="3" t="str">
        <f t="shared" si="18"/>
        <v/>
      </c>
      <c r="H248" s="3"/>
      <c r="I248" s="3"/>
      <c r="J248" s="2"/>
      <c r="K248" s="2"/>
      <c r="L248" s="2"/>
      <c r="M248" s="4"/>
      <c r="N248" s="2"/>
      <c r="O248" s="5" t="str">
        <f t="shared" ca="1" si="19"/>
        <v/>
      </c>
      <c r="P248" s="6"/>
      <c r="V248" t="str">
        <f t="shared" si="20"/>
        <v/>
      </c>
      <c r="W248" t="str">
        <f t="shared" si="21"/>
        <v/>
      </c>
      <c r="X248" t="str">
        <f t="shared" si="22"/>
        <v/>
      </c>
      <c r="Y248" t="str">
        <f t="shared" si="23"/>
        <v/>
      </c>
    </row>
    <row r="249" spans="1:25" ht="14.5" x14ac:dyDescent="0.35">
      <c r="A249" s="3"/>
      <c r="B249" s="2"/>
      <c r="C249" s="2"/>
      <c r="D249" s="4"/>
      <c r="E249" s="2"/>
      <c r="F249" s="2"/>
      <c r="G249" s="3" t="str">
        <f t="shared" si="18"/>
        <v/>
      </c>
      <c r="H249" s="3"/>
      <c r="I249" s="3"/>
      <c r="J249" s="2"/>
      <c r="K249" s="2"/>
      <c r="L249" s="2"/>
      <c r="M249" s="4"/>
      <c r="N249" s="2"/>
      <c r="O249" s="5" t="str">
        <f t="shared" ca="1" si="19"/>
        <v/>
      </c>
      <c r="P249" s="6"/>
      <c r="V249" t="str">
        <f t="shared" si="20"/>
        <v/>
      </c>
      <c r="W249" t="str">
        <f t="shared" si="21"/>
        <v/>
      </c>
      <c r="X249" t="str">
        <f t="shared" si="22"/>
        <v/>
      </c>
      <c r="Y249" t="str">
        <f t="shared" si="23"/>
        <v/>
      </c>
    </row>
    <row r="250" spans="1:25" ht="14.5" x14ac:dyDescent="0.35">
      <c r="A250" s="3"/>
      <c r="B250" s="2"/>
      <c r="C250" s="2"/>
      <c r="D250" s="4"/>
      <c r="E250" s="2"/>
      <c r="F250" s="2"/>
      <c r="G250" s="3" t="str">
        <f t="shared" si="18"/>
        <v/>
      </c>
      <c r="H250" s="3"/>
      <c r="I250" s="3"/>
      <c r="J250" s="2"/>
      <c r="K250" s="2"/>
      <c r="L250" s="2"/>
      <c r="M250" s="4"/>
      <c r="N250" s="2"/>
      <c r="O250" s="5" t="str">
        <f t="shared" ca="1" si="19"/>
        <v/>
      </c>
      <c r="P250" s="6"/>
      <c r="V250" t="str">
        <f t="shared" si="20"/>
        <v/>
      </c>
      <c r="W250" t="str">
        <f t="shared" si="21"/>
        <v/>
      </c>
      <c r="X250" t="str">
        <f t="shared" si="22"/>
        <v/>
      </c>
      <c r="Y250" t="str">
        <f t="shared" si="23"/>
        <v/>
      </c>
    </row>
    <row r="251" spans="1:25" ht="14.5" x14ac:dyDescent="0.35">
      <c r="A251" s="3"/>
      <c r="B251" s="2"/>
      <c r="C251" s="2"/>
      <c r="D251" s="4"/>
      <c r="E251" s="2"/>
      <c r="F251" s="2"/>
      <c r="G251" s="3" t="str">
        <f t="shared" si="18"/>
        <v/>
      </c>
      <c r="H251" s="3"/>
      <c r="I251" s="3"/>
      <c r="J251" s="2"/>
      <c r="K251" s="2"/>
      <c r="L251" s="2"/>
      <c r="M251" s="4"/>
      <c r="N251" s="2"/>
      <c r="O251" s="5" t="str">
        <f t="shared" ca="1" si="19"/>
        <v/>
      </c>
      <c r="P251" s="6"/>
      <c r="V251" t="str">
        <f t="shared" si="20"/>
        <v/>
      </c>
      <c r="W251" t="str">
        <f t="shared" si="21"/>
        <v/>
      </c>
      <c r="X251" t="str">
        <f t="shared" si="22"/>
        <v/>
      </c>
      <c r="Y251" t="str">
        <f t="shared" si="23"/>
        <v/>
      </c>
    </row>
    <row r="252" spans="1:25" ht="14.5" x14ac:dyDescent="0.35">
      <c r="A252" s="3"/>
      <c r="B252" s="2"/>
      <c r="C252" s="2"/>
      <c r="D252" s="4"/>
      <c r="E252" s="2"/>
      <c r="F252" s="2"/>
      <c r="G252" s="3" t="str">
        <f t="shared" si="18"/>
        <v/>
      </c>
      <c r="H252" s="3"/>
      <c r="I252" s="3"/>
      <c r="J252" s="2"/>
      <c r="K252" s="2"/>
      <c r="L252" s="2"/>
      <c r="M252" s="4"/>
      <c r="N252" s="2"/>
      <c r="O252" s="5" t="str">
        <f t="shared" ca="1" si="19"/>
        <v/>
      </c>
      <c r="P252" s="6"/>
      <c r="V252" t="str">
        <f t="shared" si="20"/>
        <v/>
      </c>
      <c r="W252" t="str">
        <f t="shared" si="21"/>
        <v/>
      </c>
      <c r="X252" t="str">
        <f t="shared" si="22"/>
        <v/>
      </c>
      <c r="Y252" t="str">
        <f t="shared" si="23"/>
        <v/>
      </c>
    </row>
    <row r="253" spans="1:25" ht="14.5" x14ac:dyDescent="0.35">
      <c r="A253" s="3"/>
      <c r="B253" s="2"/>
      <c r="C253" s="2"/>
      <c r="D253" s="4"/>
      <c r="E253" s="2"/>
      <c r="F253" s="2"/>
      <c r="G253" s="3" t="str">
        <f t="shared" si="18"/>
        <v/>
      </c>
      <c r="H253" s="3"/>
      <c r="I253" s="3"/>
      <c r="J253" s="2"/>
      <c r="K253" s="2"/>
      <c r="L253" s="2"/>
      <c r="M253" s="4"/>
      <c r="N253" s="2"/>
      <c r="O253" s="5" t="str">
        <f t="shared" ca="1" si="19"/>
        <v/>
      </c>
      <c r="P253" s="6"/>
      <c r="V253" t="str">
        <f t="shared" si="20"/>
        <v/>
      </c>
      <c r="W253" t="str">
        <f t="shared" si="21"/>
        <v/>
      </c>
      <c r="X253" t="str">
        <f t="shared" si="22"/>
        <v/>
      </c>
      <c r="Y253" t="str">
        <f t="shared" si="23"/>
        <v/>
      </c>
    </row>
    <row r="254" spans="1:25" ht="14.5" x14ac:dyDescent="0.35">
      <c r="A254" s="3"/>
      <c r="B254" s="2"/>
      <c r="C254" s="2"/>
      <c r="D254" s="4"/>
      <c r="E254" s="2"/>
      <c r="F254" s="2"/>
      <c r="G254" s="3" t="str">
        <f t="shared" si="18"/>
        <v/>
      </c>
      <c r="H254" s="3"/>
      <c r="I254" s="3"/>
      <c r="J254" s="2"/>
      <c r="K254" s="2"/>
      <c r="L254" s="2"/>
      <c r="M254" s="4"/>
      <c r="N254" s="2"/>
      <c r="O254" s="5" t="str">
        <f t="shared" ca="1" si="19"/>
        <v/>
      </c>
      <c r="P254" s="6"/>
      <c r="V254" t="str">
        <f t="shared" si="20"/>
        <v/>
      </c>
      <c r="W254" t="str">
        <f t="shared" si="21"/>
        <v/>
      </c>
      <c r="X254" t="str">
        <f t="shared" si="22"/>
        <v/>
      </c>
      <c r="Y254" t="str">
        <f t="shared" si="23"/>
        <v/>
      </c>
    </row>
    <row r="255" spans="1:25" ht="14.5" x14ac:dyDescent="0.35">
      <c r="A255" s="3"/>
      <c r="B255" s="2"/>
      <c r="C255" s="2"/>
      <c r="D255" s="4"/>
      <c r="E255" s="2"/>
      <c r="F255" s="2"/>
      <c r="G255" s="3" t="str">
        <f t="shared" si="18"/>
        <v/>
      </c>
      <c r="H255" s="3"/>
      <c r="I255" s="3"/>
      <c r="J255" s="2"/>
      <c r="K255" s="2"/>
      <c r="L255" s="2"/>
      <c r="M255" s="4"/>
      <c r="N255" s="2"/>
      <c r="O255" s="5" t="str">
        <f t="shared" ca="1" si="19"/>
        <v/>
      </c>
      <c r="P255" s="6"/>
      <c r="V255" t="str">
        <f t="shared" si="20"/>
        <v/>
      </c>
      <c r="W255" t="str">
        <f t="shared" si="21"/>
        <v/>
      </c>
      <c r="X255" t="str">
        <f t="shared" si="22"/>
        <v/>
      </c>
      <c r="Y255" t="str">
        <f t="shared" si="23"/>
        <v/>
      </c>
    </row>
    <row r="256" spans="1:25" ht="14.5" x14ac:dyDescent="0.35">
      <c r="A256" s="3"/>
      <c r="B256" s="2"/>
      <c r="C256" s="2"/>
      <c r="D256" s="4"/>
      <c r="E256" s="2"/>
      <c r="F256" s="2"/>
      <c r="G256" s="3" t="str">
        <f t="shared" si="18"/>
        <v/>
      </c>
      <c r="H256" s="3"/>
      <c r="I256" s="3"/>
      <c r="J256" s="2"/>
      <c r="K256" s="2"/>
      <c r="L256" s="2"/>
      <c r="M256" s="4"/>
      <c r="N256" s="2"/>
      <c r="O256" s="5" t="str">
        <f t="shared" ca="1" si="19"/>
        <v/>
      </c>
      <c r="P256" s="6"/>
      <c r="V256" t="str">
        <f t="shared" si="20"/>
        <v/>
      </c>
      <c r="W256" t="str">
        <f t="shared" si="21"/>
        <v/>
      </c>
      <c r="X256" t="str">
        <f t="shared" si="22"/>
        <v/>
      </c>
      <c r="Y256" t="str">
        <f t="shared" si="23"/>
        <v/>
      </c>
    </row>
    <row r="257" spans="1:25" ht="14.5" x14ac:dyDescent="0.35">
      <c r="A257" s="3"/>
      <c r="B257" s="2"/>
      <c r="C257" s="2"/>
      <c r="D257" s="4"/>
      <c r="E257" s="2"/>
      <c r="F257" s="2"/>
      <c r="G257" s="3" t="str">
        <f t="shared" si="18"/>
        <v/>
      </c>
      <c r="H257" s="3"/>
      <c r="I257" s="3"/>
      <c r="J257" s="2"/>
      <c r="K257" s="2"/>
      <c r="L257" s="2"/>
      <c r="M257" s="4"/>
      <c r="N257" s="2"/>
      <c r="O257" s="5" t="str">
        <f t="shared" ca="1" si="19"/>
        <v/>
      </c>
      <c r="P257" s="6"/>
      <c r="V257" t="str">
        <f t="shared" si="20"/>
        <v/>
      </c>
      <c r="W257" t="str">
        <f t="shared" si="21"/>
        <v/>
      </c>
      <c r="X257" t="str">
        <f t="shared" si="22"/>
        <v/>
      </c>
      <c r="Y257" t="str">
        <f t="shared" si="23"/>
        <v/>
      </c>
    </row>
    <row r="258" spans="1:25" ht="14.5" x14ac:dyDescent="0.35">
      <c r="A258" s="3"/>
      <c r="B258" s="2"/>
      <c r="C258" s="2"/>
      <c r="D258" s="4"/>
      <c r="E258" s="2"/>
      <c r="F258" s="2"/>
      <c r="G258" s="3" t="str">
        <f t="shared" ref="G258:G321" si="24">IF(COUNTIF($A$2:$A$1500,A258&amp;".*")=0,"",COUNTIF($A$2:$A$1500,A258&amp;".*"))</f>
        <v/>
      </c>
      <c r="H258" s="3"/>
      <c r="I258" s="3"/>
      <c r="J258" s="2"/>
      <c r="K258" s="2"/>
      <c r="L258" s="2"/>
      <c r="M258" s="4"/>
      <c r="N258" s="2"/>
      <c r="O258" s="5" t="str">
        <f t="shared" ref="O258:O321" ca="1" si="25">IF(M258="","",INT(M258)-TODAY())</f>
        <v/>
      </c>
      <c r="P258" s="6"/>
      <c r="V258" t="str">
        <f t="shared" ref="V258:V321" si="26">IF(M258="","",M258+Q258/1000000)</f>
        <v/>
      </c>
      <c r="W258" t="str">
        <f t="shared" ref="W258:W321" si="27">IF(U258="","",IF(M258="",9999999+Q258/1000000,M258+Q258/1000000))</f>
        <v/>
      </c>
      <c r="X258" t="str">
        <f t="shared" ref="X258:X321" si="28">IF(U258="","",SUMPRODUCT(($U$2:$U$1500=U258)*($W$2:$W$1500&lt;=W258)))</f>
        <v/>
      </c>
      <c r="Y258" t="str">
        <f t="shared" ref="Y258:Y321" si="29">IF(U258="","",U258&amp;"|"&amp;X258)</f>
        <v/>
      </c>
    </row>
    <row r="259" spans="1:25" ht="14.5" x14ac:dyDescent="0.35">
      <c r="A259" s="3"/>
      <c r="B259" s="2"/>
      <c r="C259" s="2"/>
      <c r="D259" s="4"/>
      <c r="E259" s="2"/>
      <c r="F259" s="2"/>
      <c r="G259" s="3" t="str">
        <f t="shared" si="24"/>
        <v/>
      </c>
      <c r="H259" s="3"/>
      <c r="I259" s="3"/>
      <c r="J259" s="2"/>
      <c r="K259" s="2"/>
      <c r="L259" s="2"/>
      <c r="M259" s="4"/>
      <c r="N259" s="2"/>
      <c r="O259" s="5" t="str">
        <f t="shared" ca="1" si="25"/>
        <v/>
      </c>
      <c r="P259" s="6"/>
      <c r="V259" t="str">
        <f t="shared" si="26"/>
        <v/>
      </c>
      <c r="W259" t="str">
        <f t="shared" si="27"/>
        <v/>
      </c>
      <c r="X259" t="str">
        <f t="shared" si="28"/>
        <v/>
      </c>
      <c r="Y259" t="str">
        <f t="shared" si="29"/>
        <v/>
      </c>
    </row>
    <row r="260" spans="1:25" ht="14.5" x14ac:dyDescent="0.35">
      <c r="A260" s="3"/>
      <c r="B260" s="2"/>
      <c r="C260" s="2"/>
      <c r="D260" s="4"/>
      <c r="E260" s="2"/>
      <c r="F260" s="2"/>
      <c r="G260" s="3" t="str">
        <f t="shared" si="24"/>
        <v/>
      </c>
      <c r="H260" s="3"/>
      <c r="I260" s="3"/>
      <c r="J260" s="2"/>
      <c r="K260" s="2"/>
      <c r="L260" s="2"/>
      <c r="M260" s="4"/>
      <c r="N260" s="2"/>
      <c r="O260" s="5" t="str">
        <f t="shared" ca="1" si="25"/>
        <v/>
      </c>
      <c r="P260" s="6"/>
      <c r="V260" t="str">
        <f t="shared" si="26"/>
        <v/>
      </c>
      <c r="W260" t="str">
        <f t="shared" si="27"/>
        <v/>
      </c>
      <c r="X260" t="str">
        <f t="shared" si="28"/>
        <v/>
      </c>
      <c r="Y260" t="str">
        <f t="shared" si="29"/>
        <v/>
      </c>
    </row>
    <row r="261" spans="1:25" ht="14.5" x14ac:dyDescent="0.35">
      <c r="A261" s="3"/>
      <c r="B261" s="2"/>
      <c r="C261" s="2"/>
      <c r="D261" s="4"/>
      <c r="E261" s="2"/>
      <c r="F261" s="2"/>
      <c r="G261" s="3" t="str">
        <f t="shared" si="24"/>
        <v/>
      </c>
      <c r="H261" s="3"/>
      <c r="I261" s="3"/>
      <c r="J261" s="2"/>
      <c r="K261" s="2"/>
      <c r="L261" s="2"/>
      <c r="M261" s="4"/>
      <c r="N261" s="2"/>
      <c r="O261" s="5" t="str">
        <f t="shared" ca="1" si="25"/>
        <v/>
      </c>
      <c r="P261" s="6"/>
      <c r="V261" t="str">
        <f t="shared" si="26"/>
        <v/>
      </c>
      <c r="W261" t="str">
        <f t="shared" si="27"/>
        <v/>
      </c>
      <c r="X261" t="str">
        <f t="shared" si="28"/>
        <v/>
      </c>
      <c r="Y261" t="str">
        <f t="shared" si="29"/>
        <v/>
      </c>
    </row>
    <row r="262" spans="1:25" ht="14.5" x14ac:dyDescent="0.35">
      <c r="A262" s="3"/>
      <c r="B262" s="2"/>
      <c r="C262" s="2"/>
      <c r="D262" s="4"/>
      <c r="E262" s="2"/>
      <c r="F262" s="2"/>
      <c r="G262" s="3" t="str">
        <f t="shared" si="24"/>
        <v/>
      </c>
      <c r="H262" s="3"/>
      <c r="I262" s="3"/>
      <c r="J262" s="2"/>
      <c r="K262" s="2"/>
      <c r="L262" s="2"/>
      <c r="M262" s="4"/>
      <c r="N262" s="2"/>
      <c r="O262" s="5" t="str">
        <f t="shared" ca="1" si="25"/>
        <v/>
      </c>
      <c r="P262" s="6"/>
      <c r="V262" t="str">
        <f t="shared" si="26"/>
        <v/>
      </c>
      <c r="W262" t="str">
        <f t="shared" si="27"/>
        <v/>
      </c>
      <c r="X262" t="str">
        <f t="shared" si="28"/>
        <v/>
      </c>
      <c r="Y262" t="str">
        <f t="shared" si="29"/>
        <v/>
      </c>
    </row>
    <row r="263" spans="1:25" ht="14.5" x14ac:dyDescent="0.35">
      <c r="A263" s="3"/>
      <c r="B263" s="2"/>
      <c r="C263" s="2"/>
      <c r="D263" s="4"/>
      <c r="E263" s="2"/>
      <c r="F263" s="2"/>
      <c r="G263" s="3" t="str">
        <f t="shared" si="24"/>
        <v/>
      </c>
      <c r="H263" s="3"/>
      <c r="I263" s="3"/>
      <c r="J263" s="2"/>
      <c r="K263" s="2"/>
      <c r="L263" s="2"/>
      <c r="M263" s="4"/>
      <c r="N263" s="2"/>
      <c r="O263" s="5" t="str">
        <f t="shared" ca="1" si="25"/>
        <v/>
      </c>
      <c r="P263" s="6"/>
      <c r="V263" t="str">
        <f t="shared" si="26"/>
        <v/>
      </c>
      <c r="W263" t="str">
        <f t="shared" si="27"/>
        <v/>
      </c>
      <c r="X263" t="str">
        <f t="shared" si="28"/>
        <v/>
      </c>
      <c r="Y263" t="str">
        <f t="shared" si="29"/>
        <v/>
      </c>
    </row>
    <row r="264" spans="1:25" ht="14.5" x14ac:dyDescent="0.35">
      <c r="A264" s="3"/>
      <c r="B264" s="2"/>
      <c r="C264" s="2"/>
      <c r="D264" s="4"/>
      <c r="E264" s="2"/>
      <c r="F264" s="2"/>
      <c r="G264" s="3" t="str">
        <f t="shared" si="24"/>
        <v/>
      </c>
      <c r="H264" s="3"/>
      <c r="I264" s="3"/>
      <c r="J264" s="2"/>
      <c r="K264" s="2"/>
      <c r="L264" s="2"/>
      <c r="M264" s="4"/>
      <c r="N264" s="2"/>
      <c r="O264" s="5" t="str">
        <f t="shared" ca="1" si="25"/>
        <v/>
      </c>
      <c r="P264" s="6"/>
      <c r="V264" t="str">
        <f t="shared" si="26"/>
        <v/>
      </c>
      <c r="W264" t="str">
        <f t="shared" si="27"/>
        <v/>
      </c>
      <c r="X264" t="str">
        <f t="shared" si="28"/>
        <v/>
      </c>
      <c r="Y264" t="str">
        <f t="shared" si="29"/>
        <v/>
      </c>
    </row>
    <row r="265" spans="1:25" ht="14.5" x14ac:dyDescent="0.35">
      <c r="A265" s="3"/>
      <c r="B265" s="2"/>
      <c r="C265" s="2"/>
      <c r="D265" s="4"/>
      <c r="E265" s="2"/>
      <c r="F265" s="2"/>
      <c r="G265" s="3" t="str">
        <f t="shared" si="24"/>
        <v/>
      </c>
      <c r="H265" s="3"/>
      <c r="I265" s="3"/>
      <c r="J265" s="2"/>
      <c r="K265" s="2"/>
      <c r="L265" s="2"/>
      <c r="M265" s="4"/>
      <c r="N265" s="2"/>
      <c r="O265" s="5" t="str">
        <f t="shared" ca="1" si="25"/>
        <v/>
      </c>
      <c r="P265" s="6"/>
      <c r="V265" t="str">
        <f t="shared" si="26"/>
        <v/>
      </c>
      <c r="W265" t="str">
        <f t="shared" si="27"/>
        <v/>
      </c>
      <c r="X265" t="str">
        <f t="shared" si="28"/>
        <v/>
      </c>
      <c r="Y265" t="str">
        <f t="shared" si="29"/>
        <v/>
      </c>
    </row>
    <row r="266" spans="1:25" ht="14.5" x14ac:dyDescent="0.35">
      <c r="A266" s="3"/>
      <c r="B266" s="2"/>
      <c r="C266" s="2"/>
      <c r="D266" s="4"/>
      <c r="E266" s="2"/>
      <c r="F266" s="2"/>
      <c r="G266" s="3" t="str">
        <f t="shared" si="24"/>
        <v/>
      </c>
      <c r="H266" s="3"/>
      <c r="I266" s="3"/>
      <c r="J266" s="2"/>
      <c r="K266" s="2"/>
      <c r="L266" s="2"/>
      <c r="M266" s="4"/>
      <c r="N266" s="2"/>
      <c r="O266" s="5" t="str">
        <f t="shared" ca="1" si="25"/>
        <v/>
      </c>
      <c r="P266" s="6"/>
      <c r="V266" t="str">
        <f t="shared" si="26"/>
        <v/>
      </c>
      <c r="W266" t="str">
        <f t="shared" si="27"/>
        <v/>
      </c>
      <c r="X266" t="str">
        <f t="shared" si="28"/>
        <v/>
      </c>
      <c r="Y266" t="str">
        <f t="shared" si="29"/>
        <v/>
      </c>
    </row>
    <row r="267" spans="1:25" ht="14.5" x14ac:dyDescent="0.35">
      <c r="A267" s="3"/>
      <c r="B267" s="2"/>
      <c r="C267" s="2"/>
      <c r="D267" s="4"/>
      <c r="E267" s="2"/>
      <c r="F267" s="2"/>
      <c r="G267" s="3" t="str">
        <f t="shared" si="24"/>
        <v/>
      </c>
      <c r="H267" s="3"/>
      <c r="I267" s="3"/>
      <c r="J267" s="2"/>
      <c r="K267" s="2"/>
      <c r="L267" s="2"/>
      <c r="M267" s="4"/>
      <c r="N267" s="2"/>
      <c r="O267" s="5" t="str">
        <f t="shared" ca="1" si="25"/>
        <v/>
      </c>
      <c r="P267" s="6"/>
      <c r="V267" t="str">
        <f t="shared" si="26"/>
        <v/>
      </c>
      <c r="W267" t="str">
        <f t="shared" si="27"/>
        <v/>
      </c>
      <c r="X267" t="str">
        <f t="shared" si="28"/>
        <v/>
      </c>
      <c r="Y267" t="str">
        <f t="shared" si="29"/>
        <v/>
      </c>
    </row>
    <row r="268" spans="1:25" ht="14.5" x14ac:dyDescent="0.35">
      <c r="A268" s="3"/>
      <c r="B268" s="2"/>
      <c r="C268" s="2"/>
      <c r="D268" s="4"/>
      <c r="E268" s="2"/>
      <c r="F268" s="2"/>
      <c r="G268" s="3" t="str">
        <f t="shared" si="24"/>
        <v/>
      </c>
      <c r="H268" s="3"/>
      <c r="I268" s="3"/>
      <c r="J268" s="2"/>
      <c r="K268" s="2"/>
      <c r="L268" s="2"/>
      <c r="M268" s="4"/>
      <c r="N268" s="2"/>
      <c r="O268" s="5" t="str">
        <f t="shared" ca="1" si="25"/>
        <v/>
      </c>
      <c r="P268" s="6"/>
      <c r="V268" t="str">
        <f t="shared" si="26"/>
        <v/>
      </c>
      <c r="W268" t="str">
        <f t="shared" si="27"/>
        <v/>
      </c>
      <c r="X268" t="str">
        <f t="shared" si="28"/>
        <v/>
      </c>
      <c r="Y268" t="str">
        <f t="shared" si="29"/>
        <v/>
      </c>
    </row>
    <row r="269" spans="1:25" ht="14.5" x14ac:dyDescent="0.35">
      <c r="A269" s="3"/>
      <c r="B269" s="2"/>
      <c r="C269" s="2"/>
      <c r="D269" s="4"/>
      <c r="E269" s="2"/>
      <c r="F269" s="2"/>
      <c r="G269" s="3" t="str">
        <f t="shared" si="24"/>
        <v/>
      </c>
      <c r="H269" s="3"/>
      <c r="I269" s="3"/>
      <c r="J269" s="2"/>
      <c r="K269" s="2"/>
      <c r="L269" s="2"/>
      <c r="M269" s="4"/>
      <c r="N269" s="2"/>
      <c r="O269" s="5" t="str">
        <f t="shared" ca="1" si="25"/>
        <v/>
      </c>
      <c r="P269" s="6"/>
      <c r="V269" t="str">
        <f t="shared" si="26"/>
        <v/>
      </c>
      <c r="W269" t="str">
        <f t="shared" si="27"/>
        <v/>
      </c>
      <c r="X269" t="str">
        <f t="shared" si="28"/>
        <v/>
      </c>
      <c r="Y269" t="str">
        <f t="shared" si="29"/>
        <v/>
      </c>
    </row>
    <row r="270" spans="1:25" ht="14.5" x14ac:dyDescent="0.35">
      <c r="A270" s="3"/>
      <c r="B270" s="2"/>
      <c r="C270" s="2"/>
      <c r="D270" s="4"/>
      <c r="E270" s="2"/>
      <c r="F270" s="2"/>
      <c r="G270" s="3" t="str">
        <f t="shared" si="24"/>
        <v/>
      </c>
      <c r="H270" s="3"/>
      <c r="I270" s="3"/>
      <c r="J270" s="2"/>
      <c r="K270" s="2"/>
      <c r="L270" s="2"/>
      <c r="M270" s="4"/>
      <c r="N270" s="2"/>
      <c r="O270" s="5" t="str">
        <f t="shared" ca="1" si="25"/>
        <v/>
      </c>
      <c r="P270" s="6"/>
      <c r="V270" t="str">
        <f t="shared" si="26"/>
        <v/>
      </c>
      <c r="W270" t="str">
        <f t="shared" si="27"/>
        <v/>
      </c>
      <c r="X270" t="str">
        <f t="shared" si="28"/>
        <v/>
      </c>
      <c r="Y270" t="str">
        <f t="shared" si="29"/>
        <v/>
      </c>
    </row>
    <row r="271" spans="1:25" ht="14.5" x14ac:dyDescent="0.35">
      <c r="A271" s="3"/>
      <c r="B271" s="2"/>
      <c r="C271" s="2"/>
      <c r="D271" s="4"/>
      <c r="E271" s="2"/>
      <c r="F271" s="2"/>
      <c r="G271" s="3" t="str">
        <f t="shared" si="24"/>
        <v/>
      </c>
      <c r="H271" s="3"/>
      <c r="I271" s="3"/>
      <c r="J271" s="2"/>
      <c r="K271" s="2"/>
      <c r="L271" s="2"/>
      <c r="M271" s="4"/>
      <c r="N271" s="2"/>
      <c r="O271" s="5" t="str">
        <f t="shared" ca="1" si="25"/>
        <v/>
      </c>
      <c r="P271" s="6"/>
      <c r="V271" t="str">
        <f t="shared" si="26"/>
        <v/>
      </c>
      <c r="W271" t="str">
        <f t="shared" si="27"/>
        <v/>
      </c>
      <c r="X271" t="str">
        <f t="shared" si="28"/>
        <v/>
      </c>
      <c r="Y271" t="str">
        <f t="shared" si="29"/>
        <v/>
      </c>
    </row>
    <row r="272" spans="1:25" ht="14.5" x14ac:dyDescent="0.35">
      <c r="A272" s="3"/>
      <c r="B272" s="2"/>
      <c r="C272" s="2"/>
      <c r="D272" s="4"/>
      <c r="E272" s="2"/>
      <c r="F272" s="2"/>
      <c r="G272" s="3" t="str">
        <f t="shared" si="24"/>
        <v/>
      </c>
      <c r="H272" s="3"/>
      <c r="I272" s="3"/>
      <c r="J272" s="2"/>
      <c r="K272" s="2"/>
      <c r="L272" s="2"/>
      <c r="M272" s="4"/>
      <c r="N272" s="2"/>
      <c r="O272" s="5" t="str">
        <f t="shared" ca="1" si="25"/>
        <v/>
      </c>
      <c r="P272" s="6"/>
      <c r="V272" t="str">
        <f t="shared" si="26"/>
        <v/>
      </c>
      <c r="W272" t="str">
        <f t="shared" si="27"/>
        <v/>
      </c>
      <c r="X272" t="str">
        <f t="shared" si="28"/>
        <v/>
      </c>
      <c r="Y272" t="str">
        <f t="shared" si="29"/>
        <v/>
      </c>
    </row>
    <row r="273" spans="1:25" ht="14.5" x14ac:dyDescent="0.35">
      <c r="A273" s="3"/>
      <c r="B273" s="2"/>
      <c r="C273" s="2"/>
      <c r="D273" s="4"/>
      <c r="E273" s="2"/>
      <c r="F273" s="2"/>
      <c r="G273" s="3" t="str">
        <f t="shared" si="24"/>
        <v/>
      </c>
      <c r="H273" s="3"/>
      <c r="I273" s="3"/>
      <c r="J273" s="2"/>
      <c r="K273" s="2"/>
      <c r="L273" s="2"/>
      <c r="M273" s="4"/>
      <c r="N273" s="2"/>
      <c r="O273" s="5" t="str">
        <f t="shared" ca="1" si="25"/>
        <v/>
      </c>
      <c r="P273" s="6"/>
      <c r="V273" t="str">
        <f t="shared" si="26"/>
        <v/>
      </c>
      <c r="W273" t="str">
        <f t="shared" si="27"/>
        <v/>
      </c>
      <c r="X273" t="str">
        <f t="shared" si="28"/>
        <v/>
      </c>
      <c r="Y273" t="str">
        <f t="shared" si="29"/>
        <v/>
      </c>
    </row>
    <row r="274" spans="1:25" ht="14.5" x14ac:dyDescent="0.35">
      <c r="A274" s="3"/>
      <c r="B274" s="2"/>
      <c r="C274" s="2"/>
      <c r="D274" s="4"/>
      <c r="E274" s="2"/>
      <c r="F274" s="2"/>
      <c r="G274" s="3" t="str">
        <f t="shared" si="24"/>
        <v/>
      </c>
      <c r="H274" s="3"/>
      <c r="I274" s="3"/>
      <c r="J274" s="2"/>
      <c r="K274" s="2"/>
      <c r="L274" s="2"/>
      <c r="M274" s="4"/>
      <c r="N274" s="2"/>
      <c r="O274" s="5" t="str">
        <f t="shared" ca="1" si="25"/>
        <v/>
      </c>
      <c r="P274" s="6"/>
      <c r="V274" t="str">
        <f t="shared" si="26"/>
        <v/>
      </c>
      <c r="W274" t="str">
        <f t="shared" si="27"/>
        <v/>
      </c>
      <c r="X274" t="str">
        <f t="shared" si="28"/>
        <v/>
      </c>
      <c r="Y274" t="str">
        <f t="shared" si="29"/>
        <v/>
      </c>
    </row>
    <row r="275" spans="1:25" ht="14.5" x14ac:dyDescent="0.35">
      <c r="A275" s="3"/>
      <c r="B275" s="2"/>
      <c r="C275" s="2"/>
      <c r="D275" s="4"/>
      <c r="E275" s="2"/>
      <c r="F275" s="2"/>
      <c r="G275" s="3" t="str">
        <f t="shared" si="24"/>
        <v/>
      </c>
      <c r="H275" s="3"/>
      <c r="I275" s="3"/>
      <c r="J275" s="2"/>
      <c r="K275" s="2"/>
      <c r="L275" s="2"/>
      <c r="M275" s="4"/>
      <c r="N275" s="2"/>
      <c r="O275" s="5" t="str">
        <f t="shared" ca="1" si="25"/>
        <v/>
      </c>
      <c r="P275" s="6"/>
      <c r="V275" t="str">
        <f t="shared" si="26"/>
        <v/>
      </c>
      <c r="W275" t="str">
        <f t="shared" si="27"/>
        <v/>
      </c>
      <c r="X275" t="str">
        <f t="shared" si="28"/>
        <v/>
      </c>
      <c r="Y275" t="str">
        <f t="shared" si="29"/>
        <v/>
      </c>
    </row>
    <row r="276" spans="1:25" ht="14.5" x14ac:dyDescent="0.35">
      <c r="A276" s="3"/>
      <c r="B276" s="2"/>
      <c r="C276" s="2"/>
      <c r="D276" s="4"/>
      <c r="E276" s="2"/>
      <c r="F276" s="2"/>
      <c r="G276" s="3" t="str">
        <f t="shared" si="24"/>
        <v/>
      </c>
      <c r="H276" s="3"/>
      <c r="I276" s="3"/>
      <c r="J276" s="2"/>
      <c r="K276" s="2"/>
      <c r="L276" s="2"/>
      <c r="M276" s="4"/>
      <c r="N276" s="2"/>
      <c r="O276" s="5" t="str">
        <f t="shared" ca="1" si="25"/>
        <v/>
      </c>
      <c r="P276" s="6"/>
      <c r="V276" t="str">
        <f t="shared" si="26"/>
        <v/>
      </c>
      <c r="W276" t="str">
        <f t="shared" si="27"/>
        <v/>
      </c>
      <c r="X276" t="str">
        <f t="shared" si="28"/>
        <v/>
      </c>
      <c r="Y276" t="str">
        <f t="shared" si="29"/>
        <v/>
      </c>
    </row>
    <row r="277" spans="1:25" ht="14.5" x14ac:dyDescent="0.35">
      <c r="A277" s="3"/>
      <c r="B277" s="2"/>
      <c r="C277" s="2"/>
      <c r="D277" s="4"/>
      <c r="E277" s="2"/>
      <c r="F277" s="2"/>
      <c r="G277" s="3" t="str">
        <f t="shared" si="24"/>
        <v/>
      </c>
      <c r="H277" s="3"/>
      <c r="I277" s="3"/>
      <c r="J277" s="2"/>
      <c r="K277" s="2"/>
      <c r="L277" s="2"/>
      <c r="M277" s="4"/>
      <c r="N277" s="2"/>
      <c r="O277" s="5" t="str">
        <f t="shared" ca="1" si="25"/>
        <v/>
      </c>
      <c r="P277" s="6"/>
      <c r="V277" t="str">
        <f t="shared" si="26"/>
        <v/>
      </c>
      <c r="W277" t="str">
        <f t="shared" si="27"/>
        <v/>
      </c>
      <c r="X277" t="str">
        <f t="shared" si="28"/>
        <v/>
      </c>
      <c r="Y277" t="str">
        <f t="shared" si="29"/>
        <v/>
      </c>
    </row>
    <row r="278" spans="1:25" ht="14.5" x14ac:dyDescent="0.35">
      <c r="A278" s="3"/>
      <c r="B278" s="2"/>
      <c r="C278" s="2"/>
      <c r="D278" s="4"/>
      <c r="E278" s="2"/>
      <c r="F278" s="2"/>
      <c r="G278" s="3" t="str">
        <f t="shared" si="24"/>
        <v/>
      </c>
      <c r="H278" s="3"/>
      <c r="I278" s="3"/>
      <c r="J278" s="2"/>
      <c r="K278" s="2"/>
      <c r="L278" s="2"/>
      <c r="M278" s="4"/>
      <c r="N278" s="2"/>
      <c r="O278" s="5" t="str">
        <f t="shared" ca="1" si="25"/>
        <v/>
      </c>
      <c r="P278" s="6"/>
      <c r="V278" t="str">
        <f t="shared" si="26"/>
        <v/>
      </c>
      <c r="W278" t="str">
        <f t="shared" si="27"/>
        <v/>
      </c>
      <c r="X278" t="str">
        <f t="shared" si="28"/>
        <v/>
      </c>
      <c r="Y278" t="str">
        <f t="shared" si="29"/>
        <v/>
      </c>
    </row>
    <row r="279" spans="1:25" ht="14.5" x14ac:dyDescent="0.35">
      <c r="A279" s="3"/>
      <c r="B279" s="2"/>
      <c r="C279" s="2"/>
      <c r="D279" s="4"/>
      <c r="E279" s="2"/>
      <c r="F279" s="2"/>
      <c r="G279" s="3" t="str">
        <f t="shared" si="24"/>
        <v/>
      </c>
      <c r="H279" s="3"/>
      <c r="I279" s="3"/>
      <c r="J279" s="2"/>
      <c r="K279" s="2"/>
      <c r="L279" s="2"/>
      <c r="M279" s="4"/>
      <c r="N279" s="2"/>
      <c r="O279" s="5" t="str">
        <f t="shared" ca="1" si="25"/>
        <v/>
      </c>
      <c r="P279" s="6"/>
      <c r="V279" t="str">
        <f t="shared" si="26"/>
        <v/>
      </c>
      <c r="W279" t="str">
        <f t="shared" si="27"/>
        <v/>
      </c>
      <c r="X279" t="str">
        <f t="shared" si="28"/>
        <v/>
      </c>
      <c r="Y279" t="str">
        <f t="shared" si="29"/>
        <v/>
      </c>
    </row>
    <row r="280" spans="1:25" ht="14.5" x14ac:dyDescent="0.35">
      <c r="A280" s="3"/>
      <c r="B280" s="2"/>
      <c r="C280" s="2"/>
      <c r="D280" s="4"/>
      <c r="E280" s="2"/>
      <c r="F280" s="2"/>
      <c r="G280" s="3" t="str">
        <f t="shared" si="24"/>
        <v/>
      </c>
      <c r="H280" s="3"/>
      <c r="I280" s="3"/>
      <c r="J280" s="2"/>
      <c r="K280" s="2"/>
      <c r="L280" s="2"/>
      <c r="M280" s="4"/>
      <c r="N280" s="2"/>
      <c r="O280" s="5" t="str">
        <f t="shared" ca="1" si="25"/>
        <v/>
      </c>
      <c r="P280" s="6"/>
      <c r="V280" t="str">
        <f t="shared" si="26"/>
        <v/>
      </c>
      <c r="W280" t="str">
        <f t="shared" si="27"/>
        <v/>
      </c>
      <c r="X280" t="str">
        <f t="shared" si="28"/>
        <v/>
      </c>
      <c r="Y280" t="str">
        <f t="shared" si="29"/>
        <v/>
      </c>
    </row>
    <row r="281" spans="1:25" ht="14.5" x14ac:dyDescent="0.35">
      <c r="A281" s="3"/>
      <c r="B281" s="2"/>
      <c r="C281" s="2"/>
      <c r="D281" s="4"/>
      <c r="E281" s="2"/>
      <c r="F281" s="2"/>
      <c r="G281" s="3" t="str">
        <f t="shared" si="24"/>
        <v/>
      </c>
      <c r="H281" s="3"/>
      <c r="I281" s="3"/>
      <c r="J281" s="2"/>
      <c r="K281" s="2"/>
      <c r="L281" s="2"/>
      <c r="M281" s="4"/>
      <c r="N281" s="2"/>
      <c r="O281" s="5" t="str">
        <f t="shared" ca="1" si="25"/>
        <v/>
      </c>
      <c r="P281" s="6"/>
      <c r="V281" t="str">
        <f t="shared" si="26"/>
        <v/>
      </c>
      <c r="W281" t="str">
        <f t="shared" si="27"/>
        <v/>
      </c>
      <c r="X281" t="str">
        <f t="shared" si="28"/>
        <v/>
      </c>
      <c r="Y281" t="str">
        <f t="shared" si="29"/>
        <v/>
      </c>
    </row>
    <row r="282" spans="1:25" ht="14.5" x14ac:dyDescent="0.35">
      <c r="A282" s="3"/>
      <c r="B282" s="2"/>
      <c r="C282" s="2"/>
      <c r="D282" s="4"/>
      <c r="E282" s="2"/>
      <c r="F282" s="2"/>
      <c r="G282" s="3" t="str">
        <f t="shared" si="24"/>
        <v/>
      </c>
      <c r="H282" s="3"/>
      <c r="I282" s="3"/>
      <c r="J282" s="2"/>
      <c r="K282" s="2"/>
      <c r="L282" s="2"/>
      <c r="M282" s="4"/>
      <c r="N282" s="2"/>
      <c r="O282" s="5" t="str">
        <f t="shared" ca="1" si="25"/>
        <v/>
      </c>
      <c r="P282" s="6"/>
      <c r="V282" t="str">
        <f t="shared" si="26"/>
        <v/>
      </c>
      <c r="W282" t="str">
        <f t="shared" si="27"/>
        <v/>
      </c>
      <c r="X282" t="str">
        <f t="shared" si="28"/>
        <v/>
      </c>
      <c r="Y282" t="str">
        <f t="shared" si="29"/>
        <v/>
      </c>
    </row>
    <row r="283" spans="1:25" ht="14.5" x14ac:dyDescent="0.35">
      <c r="A283" s="3"/>
      <c r="B283" s="2"/>
      <c r="C283" s="2"/>
      <c r="D283" s="4"/>
      <c r="E283" s="2"/>
      <c r="F283" s="2"/>
      <c r="G283" s="3" t="str">
        <f t="shared" si="24"/>
        <v/>
      </c>
      <c r="H283" s="3"/>
      <c r="I283" s="3"/>
      <c r="J283" s="2"/>
      <c r="K283" s="2"/>
      <c r="L283" s="2"/>
      <c r="M283" s="4"/>
      <c r="N283" s="2"/>
      <c r="O283" s="5" t="str">
        <f t="shared" ca="1" si="25"/>
        <v/>
      </c>
      <c r="P283" s="6"/>
      <c r="V283" t="str">
        <f t="shared" si="26"/>
        <v/>
      </c>
      <c r="W283" t="str">
        <f t="shared" si="27"/>
        <v/>
      </c>
      <c r="X283" t="str">
        <f t="shared" si="28"/>
        <v/>
      </c>
      <c r="Y283" t="str">
        <f t="shared" si="29"/>
        <v/>
      </c>
    </row>
    <row r="284" spans="1:25" ht="14.5" x14ac:dyDescent="0.35">
      <c r="A284" s="3"/>
      <c r="B284" s="2"/>
      <c r="C284" s="2"/>
      <c r="D284" s="4"/>
      <c r="E284" s="2"/>
      <c r="F284" s="2"/>
      <c r="G284" s="3" t="str">
        <f t="shared" si="24"/>
        <v/>
      </c>
      <c r="H284" s="3"/>
      <c r="I284" s="3"/>
      <c r="J284" s="2"/>
      <c r="K284" s="2"/>
      <c r="L284" s="2"/>
      <c r="M284" s="4"/>
      <c r="N284" s="2"/>
      <c r="O284" s="5" t="str">
        <f t="shared" ca="1" si="25"/>
        <v/>
      </c>
      <c r="P284" s="6"/>
      <c r="V284" t="str">
        <f t="shared" si="26"/>
        <v/>
      </c>
      <c r="W284" t="str">
        <f t="shared" si="27"/>
        <v/>
      </c>
      <c r="X284" t="str">
        <f t="shared" si="28"/>
        <v/>
      </c>
      <c r="Y284" t="str">
        <f t="shared" si="29"/>
        <v/>
      </c>
    </row>
    <row r="285" spans="1:25" ht="14.5" x14ac:dyDescent="0.35">
      <c r="A285" s="3"/>
      <c r="B285" s="2"/>
      <c r="C285" s="2"/>
      <c r="D285" s="4"/>
      <c r="E285" s="2"/>
      <c r="F285" s="2"/>
      <c r="G285" s="3" t="str">
        <f t="shared" si="24"/>
        <v/>
      </c>
      <c r="H285" s="3"/>
      <c r="I285" s="3"/>
      <c r="J285" s="2"/>
      <c r="K285" s="2"/>
      <c r="L285" s="2"/>
      <c r="M285" s="4"/>
      <c r="N285" s="2"/>
      <c r="O285" s="5" t="str">
        <f t="shared" ca="1" si="25"/>
        <v/>
      </c>
      <c r="P285" s="6"/>
      <c r="V285" t="str">
        <f t="shared" si="26"/>
        <v/>
      </c>
      <c r="W285" t="str">
        <f t="shared" si="27"/>
        <v/>
      </c>
      <c r="X285" t="str">
        <f t="shared" si="28"/>
        <v/>
      </c>
      <c r="Y285" t="str">
        <f t="shared" si="29"/>
        <v/>
      </c>
    </row>
    <row r="286" spans="1:25" ht="14.5" x14ac:dyDescent="0.35">
      <c r="A286" s="3"/>
      <c r="B286" s="2"/>
      <c r="C286" s="2"/>
      <c r="D286" s="4"/>
      <c r="E286" s="2"/>
      <c r="F286" s="2"/>
      <c r="G286" s="3" t="str">
        <f t="shared" si="24"/>
        <v/>
      </c>
      <c r="H286" s="3"/>
      <c r="I286" s="3"/>
      <c r="J286" s="2"/>
      <c r="K286" s="2"/>
      <c r="L286" s="2"/>
      <c r="M286" s="4"/>
      <c r="N286" s="2"/>
      <c r="O286" s="5" t="str">
        <f t="shared" ca="1" si="25"/>
        <v/>
      </c>
      <c r="P286" s="6"/>
      <c r="V286" t="str">
        <f t="shared" si="26"/>
        <v/>
      </c>
      <c r="W286" t="str">
        <f t="shared" si="27"/>
        <v/>
      </c>
      <c r="X286" t="str">
        <f t="shared" si="28"/>
        <v/>
      </c>
      <c r="Y286" t="str">
        <f t="shared" si="29"/>
        <v/>
      </c>
    </row>
    <row r="287" spans="1:25" ht="14.5" x14ac:dyDescent="0.35">
      <c r="A287" s="3"/>
      <c r="B287" s="2"/>
      <c r="C287" s="2"/>
      <c r="D287" s="4"/>
      <c r="E287" s="2"/>
      <c r="F287" s="2"/>
      <c r="G287" s="3" t="str">
        <f t="shared" si="24"/>
        <v/>
      </c>
      <c r="H287" s="3"/>
      <c r="I287" s="3"/>
      <c r="J287" s="2"/>
      <c r="K287" s="2"/>
      <c r="L287" s="2"/>
      <c r="M287" s="4"/>
      <c r="N287" s="2"/>
      <c r="O287" s="5" t="str">
        <f t="shared" ca="1" si="25"/>
        <v/>
      </c>
      <c r="P287" s="6"/>
      <c r="V287" t="str">
        <f t="shared" si="26"/>
        <v/>
      </c>
      <c r="W287" t="str">
        <f t="shared" si="27"/>
        <v/>
      </c>
      <c r="X287" t="str">
        <f t="shared" si="28"/>
        <v/>
      </c>
      <c r="Y287" t="str">
        <f t="shared" si="29"/>
        <v/>
      </c>
    </row>
    <row r="288" spans="1:25" ht="14.5" x14ac:dyDescent="0.35">
      <c r="A288" s="3"/>
      <c r="B288" s="2"/>
      <c r="C288" s="2"/>
      <c r="D288" s="4"/>
      <c r="E288" s="2"/>
      <c r="F288" s="2"/>
      <c r="G288" s="3" t="str">
        <f t="shared" si="24"/>
        <v/>
      </c>
      <c r="H288" s="3"/>
      <c r="I288" s="3"/>
      <c r="J288" s="2"/>
      <c r="K288" s="2"/>
      <c r="L288" s="2"/>
      <c r="M288" s="4"/>
      <c r="N288" s="2"/>
      <c r="O288" s="5" t="str">
        <f t="shared" ca="1" si="25"/>
        <v/>
      </c>
      <c r="P288" s="6"/>
      <c r="V288" t="str">
        <f t="shared" si="26"/>
        <v/>
      </c>
      <c r="W288" t="str">
        <f t="shared" si="27"/>
        <v/>
      </c>
      <c r="X288" t="str">
        <f t="shared" si="28"/>
        <v/>
      </c>
      <c r="Y288" t="str">
        <f t="shared" si="29"/>
        <v/>
      </c>
    </row>
    <row r="289" spans="1:25" ht="14.5" x14ac:dyDescent="0.35">
      <c r="A289" s="3"/>
      <c r="B289" s="2"/>
      <c r="C289" s="2"/>
      <c r="D289" s="4"/>
      <c r="E289" s="2"/>
      <c r="F289" s="2"/>
      <c r="G289" s="3" t="str">
        <f t="shared" si="24"/>
        <v/>
      </c>
      <c r="H289" s="3"/>
      <c r="I289" s="3"/>
      <c r="J289" s="2"/>
      <c r="K289" s="2"/>
      <c r="L289" s="2"/>
      <c r="M289" s="4"/>
      <c r="N289" s="2"/>
      <c r="O289" s="5" t="str">
        <f t="shared" ca="1" si="25"/>
        <v/>
      </c>
      <c r="P289" s="6"/>
      <c r="V289" t="str">
        <f t="shared" si="26"/>
        <v/>
      </c>
      <c r="W289" t="str">
        <f t="shared" si="27"/>
        <v/>
      </c>
      <c r="X289" t="str">
        <f t="shared" si="28"/>
        <v/>
      </c>
      <c r="Y289" t="str">
        <f t="shared" si="29"/>
        <v/>
      </c>
    </row>
    <row r="290" spans="1:25" ht="14.5" x14ac:dyDescent="0.35">
      <c r="A290" s="3"/>
      <c r="B290" s="2"/>
      <c r="C290" s="2"/>
      <c r="D290" s="4"/>
      <c r="E290" s="2"/>
      <c r="F290" s="2"/>
      <c r="G290" s="3" t="str">
        <f t="shared" si="24"/>
        <v/>
      </c>
      <c r="H290" s="3"/>
      <c r="I290" s="3"/>
      <c r="J290" s="2"/>
      <c r="K290" s="2"/>
      <c r="L290" s="2"/>
      <c r="M290" s="4"/>
      <c r="N290" s="2"/>
      <c r="O290" s="5" t="str">
        <f t="shared" ca="1" si="25"/>
        <v/>
      </c>
      <c r="P290" s="6"/>
      <c r="V290" t="str">
        <f t="shared" si="26"/>
        <v/>
      </c>
      <c r="W290" t="str">
        <f t="shared" si="27"/>
        <v/>
      </c>
      <c r="X290" t="str">
        <f t="shared" si="28"/>
        <v/>
      </c>
      <c r="Y290" t="str">
        <f t="shared" si="29"/>
        <v/>
      </c>
    </row>
    <row r="291" spans="1:25" ht="14.5" x14ac:dyDescent="0.35">
      <c r="A291" s="3"/>
      <c r="B291" s="2"/>
      <c r="C291" s="2"/>
      <c r="D291" s="4"/>
      <c r="E291" s="2"/>
      <c r="F291" s="2"/>
      <c r="G291" s="3" t="str">
        <f t="shared" si="24"/>
        <v/>
      </c>
      <c r="H291" s="3"/>
      <c r="I291" s="3"/>
      <c r="J291" s="2"/>
      <c r="K291" s="2"/>
      <c r="L291" s="2"/>
      <c r="M291" s="4"/>
      <c r="N291" s="2"/>
      <c r="O291" s="5" t="str">
        <f t="shared" ca="1" si="25"/>
        <v/>
      </c>
      <c r="P291" s="6"/>
      <c r="V291" t="str">
        <f t="shared" si="26"/>
        <v/>
      </c>
      <c r="W291" t="str">
        <f t="shared" si="27"/>
        <v/>
      </c>
      <c r="X291" t="str">
        <f t="shared" si="28"/>
        <v/>
      </c>
      <c r="Y291" t="str">
        <f t="shared" si="29"/>
        <v/>
      </c>
    </row>
    <row r="292" spans="1:25" ht="14.5" x14ac:dyDescent="0.35">
      <c r="A292" s="3"/>
      <c r="B292" s="2"/>
      <c r="C292" s="2"/>
      <c r="D292" s="4"/>
      <c r="E292" s="2"/>
      <c r="F292" s="2"/>
      <c r="G292" s="3" t="str">
        <f t="shared" si="24"/>
        <v/>
      </c>
      <c r="H292" s="3"/>
      <c r="I292" s="3"/>
      <c r="J292" s="2"/>
      <c r="K292" s="2"/>
      <c r="L292" s="2"/>
      <c r="M292" s="4"/>
      <c r="N292" s="2"/>
      <c r="O292" s="5" t="str">
        <f t="shared" ca="1" si="25"/>
        <v/>
      </c>
      <c r="P292" s="6"/>
      <c r="V292" t="str">
        <f t="shared" si="26"/>
        <v/>
      </c>
      <c r="W292" t="str">
        <f t="shared" si="27"/>
        <v/>
      </c>
      <c r="X292" t="str">
        <f t="shared" si="28"/>
        <v/>
      </c>
      <c r="Y292" t="str">
        <f t="shared" si="29"/>
        <v/>
      </c>
    </row>
    <row r="293" spans="1:25" ht="14.5" x14ac:dyDescent="0.35">
      <c r="A293" s="3"/>
      <c r="B293" s="2"/>
      <c r="C293" s="2"/>
      <c r="D293" s="4"/>
      <c r="E293" s="2"/>
      <c r="F293" s="2"/>
      <c r="G293" s="3" t="str">
        <f t="shared" si="24"/>
        <v/>
      </c>
      <c r="H293" s="3"/>
      <c r="I293" s="3"/>
      <c r="J293" s="2"/>
      <c r="K293" s="2"/>
      <c r="L293" s="2"/>
      <c r="M293" s="4"/>
      <c r="N293" s="2"/>
      <c r="O293" s="5" t="str">
        <f t="shared" ca="1" si="25"/>
        <v/>
      </c>
      <c r="P293" s="6"/>
      <c r="V293" t="str">
        <f t="shared" si="26"/>
        <v/>
      </c>
      <c r="W293" t="str">
        <f t="shared" si="27"/>
        <v/>
      </c>
      <c r="X293" t="str">
        <f t="shared" si="28"/>
        <v/>
      </c>
      <c r="Y293" t="str">
        <f t="shared" si="29"/>
        <v/>
      </c>
    </row>
    <row r="294" spans="1:25" ht="14.5" x14ac:dyDescent="0.35">
      <c r="A294" s="3"/>
      <c r="B294" s="2"/>
      <c r="C294" s="2"/>
      <c r="D294" s="4"/>
      <c r="E294" s="2"/>
      <c r="F294" s="2"/>
      <c r="G294" s="3" t="str">
        <f t="shared" si="24"/>
        <v/>
      </c>
      <c r="H294" s="3"/>
      <c r="I294" s="3"/>
      <c r="J294" s="2"/>
      <c r="K294" s="2"/>
      <c r="L294" s="2"/>
      <c r="M294" s="4"/>
      <c r="N294" s="2"/>
      <c r="O294" s="5" t="str">
        <f t="shared" ca="1" si="25"/>
        <v/>
      </c>
      <c r="P294" s="6"/>
      <c r="V294" t="str">
        <f t="shared" si="26"/>
        <v/>
      </c>
      <c r="W294" t="str">
        <f t="shared" si="27"/>
        <v/>
      </c>
      <c r="X294" t="str">
        <f t="shared" si="28"/>
        <v/>
      </c>
      <c r="Y294" t="str">
        <f t="shared" si="29"/>
        <v/>
      </c>
    </row>
    <row r="295" spans="1:25" ht="14.5" x14ac:dyDescent="0.35">
      <c r="A295" s="3"/>
      <c r="B295" s="2"/>
      <c r="C295" s="2"/>
      <c r="D295" s="4"/>
      <c r="E295" s="2"/>
      <c r="F295" s="2"/>
      <c r="G295" s="3" t="str">
        <f t="shared" si="24"/>
        <v/>
      </c>
      <c r="H295" s="3"/>
      <c r="I295" s="3"/>
      <c r="J295" s="2"/>
      <c r="K295" s="2"/>
      <c r="L295" s="2"/>
      <c r="M295" s="4"/>
      <c r="N295" s="2"/>
      <c r="O295" s="5" t="str">
        <f t="shared" ca="1" si="25"/>
        <v/>
      </c>
      <c r="P295" s="6"/>
      <c r="V295" t="str">
        <f t="shared" si="26"/>
        <v/>
      </c>
      <c r="W295" t="str">
        <f t="shared" si="27"/>
        <v/>
      </c>
      <c r="X295" t="str">
        <f t="shared" si="28"/>
        <v/>
      </c>
      <c r="Y295" t="str">
        <f t="shared" si="29"/>
        <v/>
      </c>
    </row>
    <row r="296" spans="1:25" ht="14.5" x14ac:dyDescent="0.35">
      <c r="A296" s="3"/>
      <c r="B296" s="2"/>
      <c r="C296" s="2"/>
      <c r="D296" s="4"/>
      <c r="E296" s="2"/>
      <c r="F296" s="2"/>
      <c r="G296" s="3" t="str">
        <f t="shared" si="24"/>
        <v/>
      </c>
      <c r="H296" s="3"/>
      <c r="I296" s="3"/>
      <c r="J296" s="2"/>
      <c r="K296" s="2"/>
      <c r="L296" s="2"/>
      <c r="M296" s="4"/>
      <c r="N296" s="2"/>
      <c r="O296" s="5" t="str">
        <f t="shared" ca="1" si="25"/>
        <v/>
      </c>
      <c r="P296" s="6"/>
      <c r="V296" t="str">
        <f t="shared" si="26"/>
        <v/>
      </c>
      <c r="W296" t="str">
        <f t="shared" si="27"/>
        <v/>
      </c>
      <c r="X296" t="str">
        <f t="shared" si="28"/>
        <v/>
      </c>
      <c r="Y296" t="str">
        <f t="shared" si="29"/>
        <v/>
      </c>
    </row>
    <row r="297" spans="1:25" ht="14.5" x14ac:dyDescent="0.35">
      <c r="A297" s="3"/>
      <c r="B297" s="2"/>
      <c r="C297" s="2"/>
      <c r="D297" s="4"/>
      <c r="E297" s="2"/>
      <c r="F297" s="2"/>
      <c r="G297" s="3" t="str">
        <f t="shared" si="24"/>
        <v/>
      </c>
      <c r="H297" s="3"/>
      <c r="I297" s="3"/>
      <c r="J297" s="2"/>
      <c r="K297" s="2"/>
      <c r="L297" s="2"/>
      <c r="M297" s="4"/>
      <c r="N297" s="2"/>
      <c r="O297" s="5" t="str">
        <f t="shared" ca="1" si="25"/>
        <v/>
      </c>
      <c r="P297" s="6"/>
      <c r="V297" t="str">
        <f t="shared" si="26"/>
        <v/>
      </c>
      <c r="W297" t="str">
        <f t="shared" si="27"/>
        <v/>
      </c>
      <c r="X297" t="str">
        <f t="shared" si="28"/>
        <v/>
      </c>
      <c r="Y297" t="str">
        <f t="shared" si="29"/>
        <v/>
      </c>
    </row>
    <row r="298" spans="1:25" ht="14.5" x14ac:dyDescent="0.35">
      <c r="A298" s="3"/>
      <c r="B298" s="2"/>
      <c r="C298" s="2"/>
      <c r="D298" s="4"/>
      <c r="E298" s="2"/>
      <c r="F298" s="2"/>
      <c r="G298" s="3" t="str">
        <f t="shared" si="24"/>
        <v/>
      </c>
      <c r="H298" s="3"/>
      <c r="I298" s="3"/>
      <c r="J298" s="2"/>
      <c r="K298" s="2"/>
      <c r="L298" s="2"/>
      <c r="M298" s="4"/>
      <c r="N298" s="2"/>
      <c r="O298" s="5" t="str">
        <f t="shared" ca="1" si="25"/>
        <v/>
      </c>
      <c r="P298" s="6"/>
      <c r="V298" t="str">
        <f t="shared" si="26"/>
        <v/>
      </c>
      <c r="W298" t="str">
        <f t="shared" si="27"/>
        <v/>
      </c>
      <c r="X298" t="str">
        <f t="shared" si="28"/>
        <v/>
      </c>
      <c r="Y298" t="str">
        <f t="shared" si="29"/>
        <v/>
      </c>
    </row>
    <row r="299" spans="1:25" ht="14.5" x14ac:dyDescent="0.35">
      <c r="A299" s="3"/>
      <c r="B299" s="2"/>
      <c r="C299" s="2"/>
      <c r="D299" s="4"/>
      <c r="E299" s="2"/>
      <c r="F299" s="2"/>
      <c r="G299" s="3" t="str">
        <f t="shared" si="24"/>
        <v/>
      </c>
      <c r="H299" s="3"/>
      <c r="I299" s="3"/>
      <c r="J299" s="2"/>
      <c r="K299" s="2"/>
      <c r="L299" s="2"/>
      <c r="M299" s="4"/>
      <c r="N299" s="2"/>
      <c r="O299" s="5" t="str">
        <f t="shared" ca="1" si="25"/>
        <v/>
      </c>
      <c r="P299" s="6"/>
      <c r="V299" t="str">
        <f t="shared" si="26"/>
        <v/>
      </c>
      <c r="W299" t="str">
        <f t="shared" si="27"/>
        <v/>
      </c>
      <c r="X299" t="str">
        <f t="shared" si="28"/>
        <v/>
      </c>
      <c r="Y299" t="str">
        <f t="shared" si="29"/>
        <v/>
      </c>
    </row>
    <row r="300" spans="1:25" ht="14.5" x14ac:dyDescent="0.35">
      <c r="A300" s="3"/>
      <c r="B300" s="2"/>
      <c r="C300" s="2"/>
      <c r="D300" s="4"/>
      <c r="E300" s="2"/>
      <c r="F300" s="2"/>
      <c r="G300" s="3" t="str">
        <f t="shared" si="24"/>
        <v/>
      </c>
      <c r="H300" s="3"/>
      <c r="I300" s="3"/>
      <c r="J300" s="2"/>
      <c r="K300" s="2"/>
      <c r="L300" s="2"/>
      <c r="M300" s="4"/>
      <c r="N300" s="2"/>
      <c r="O300" s="5" t="str">
        <f t="shared" ca="1" si="25"/>
        <v/>
      </c>
      <c r="P300" s="6"/>
      <c r="V300" t="str">
        <f t="shared" si="26"/>
        <v/>
      </c>
      <c r="W300" t="str">
        <f t="shared" si="27"/>
        <v/>
      </c>
      <c r="X300" t="str">
        <f t="shared" si="28"/>
        <v/>
      </c>
      <c r="Y300" t="str">
        <f t="shared" si="29"/>
        <v/>
      </c>
    </row>
    <row r="301" spans="1:25" ht="14.5" x14ac:dyDescent="0.35">
      <c r="A301" s="3"/>
      <c r="B301" s="2"/>
      <c r="C301" s="2"/>
      <c r="D301" s="4"/>
      <c r="E301" s="2"/>
      <c r="F301" s="2"/>
      <c r="G301" s="3" t="str">
        <f t="shared" si="24"/>
        <v/>
      </c>
      <c r="H301" s="3"/>
      <c r="I301" s="3"/>
      <c r="J301" s="2"/>
      <c r="K301" s="2"/>
      <c r="L301" s="2"/>
      <c r="M301" s="4"/>
      <c r="N301" s="2"/>
      <c r="O301" s="5" t="str">
        <f t="shared" ca="1" si="25"/>
        <v/>
      </c>
      <c r="P301" s="6"/>
      <c r="V301" t="str">
        <f t="shared" si="26"/>
        <v/>
      </c>
      <c r="W301" t="str">
        <f t="shared" si="27"/>
        <v/>
      </c>
      <c r="X301" t="str">
        <f t="shared" si="28"/>
        <v/>
      </c>
      <c r="Y301" t="str">
        <f t="shared" si="29"/>
        <v/>
      </c>
    </row>
    <row r="302" spans="1:25" ht="14.5" x14ac:dyDescent="0.35">
      <c r="A302" s="3"/>
      <c r="B302" s="2"/>
      <c r="C302" s="2"/>
      <c r="D302" s="4"/>
      <c r="E302" s="2"/>
      <c r="F302" s="2"/>
      <c r="G302" s="3" t="str">
        <f t="shared" si="24"/>
        <v/>
      </c>
      <c r="H302" s="3"/>
      <c r="I302" s="3"/>
      <c r="J302" s="2"/>
      <c r="K302" s="2"/>
      <c r="L302" s="2"/>
      <c r="M302" s="4"/>
      <c r="N302" s="2"/>
      <c r="O302" s="5" t="str">
        <f t="shared" ca="1" si="25"/>
        <v/>
      </c>
      <c r="P302" s="6"/>
      <c r="V302" t="str">
        <f t="shared" si="26"/>
        <v/>
      </c>
      <c r="W302" t="str">
        <f t="shared" si="27"/>
        <v/>
      </c>
      <c r="X302" t="str">
        <f t="shared" si="28"/>
        <v/>
      </c>
      <c r="Y302" t="str">
        <f t="shared" si="29"/>
        <v/>
      </c>
    </row>
    <row r="303" spans="1:25" ht="14.5" x14ac:dyDescent="0.35">
      <c r="A303" s="3"/>
      <c r="B303" s="2"/>
      <c r="C303" s="2"/>
      <c r="D303" s="4"/>
      <c r="E303" s="2"/>
      <c r="F303" s="2"/>
      <c r="G303" s="3" t="str">
        <f t="shared" si="24"/>
        <v/>
      </c>
      <c r="H303" s="3"/>
      <c r="I303" s="3"/>
      <c r="J303" s="2"/>
      <c r="K303" s="2"/>
      <c r="L303" s="2"/>
      <c r="M303" s="4"/>
      <c r="N303" s="2"/>
      <c r="O303" s="5" t="str">
        <f t="shared" ca="1" si="25"/>
        <v/>
      </c>
      <c r="P303" s="6"/>
      <c r="V303" t="str">
        <f t="shared" si="26"/>
        <v/>
      </c>
      <c r="W303" t="str">
        <f t="shared" si="27"/>
        <v/>
      </c>
      <c r="X303" t="str">
        <f t="shared" si="28"/>
        <v/>
      </c>
      <c r="Y303" t="str">
        <f t="shared" si="29"/>
        <v/>
      </c>
    </row>
    <row r="304" spans="1:25" ht="14.5" x14ac:dyDescent="0.35">
      <c r="A304" s="3"/>
      <c r="B304" s="2"/>
      <c r="C304" s="2"/>
      <c r="D304" s="4"/>
      <c r="E304" s="2"/>
      <c r="F304" s="2"/>
      <c r="G304" s="3" t="str">
        <f t="shared" si="24"/>
        <v/>
      </c>
      <c r="H304" s="3"/>
      <c r="I304" s="3"/>
      <c r="J304" s="2"/>
      <c r="K304" s="2"/>
      <c r="L304" s="2"/>
      <c r="M304" s="4"/>
      <c r="N304" s="2"/>
      <c r="O304" s="5" t="str">
        <f t="shared" ca="1" si="25"/>
        <v/>
      </c>
      <c r="P304" s="6"/>
      <c r="V304" t="str">
        <f t="shared" si="26"/>
        <v/>
      </c>
      <c r="W304" t="str">
        <f t="shared" si="27"/>
        <v/>
      </c>
      <c r="X304" t="str">
        <f t="shared" si="28"/>
        <v/>
      </c>
      <c r="Y304" t="str">
        <f t="shared" si="29"/>
        <v/>
      </c>
    </row>
    <row r="305" spans="1:25" ht="14.5" x14ac:dyDescent="0.35">
      <c r="A305" s="3"/>
      <c r="B305" s="2"/>
      <c r="C305" s="2"/>
      <c r="D305" s="4"/>
      <c r="E305" s="2"/>
      <c r="F305" s="2"/>
      <c r="G305" s="3" t="str">
        <f t="shared" si="24"/>
        <v/>
      </c>
      <c r="H305" s="3"/>
      <c r="I305" s="3"/>
      <c r="J305" s="2"/>
      <c r="K305" s="2"/>
      <c r="L305" s="2"/>
      <c r="M305" s="4"/>
      <c r="N305" s="2"/>
      <c r="O305" s="5" t="str">
        <f t="shared" ca="1" si="25"/>
        <v/>
      </c>
      <c r="P305" s="6"/>
      <c r="V305" t="str">
        <f t="shared" si="26"/>
        <v/>
      </c>
      <c r="W305" t="str">
        <f t="shared" si="27"/>
        <v/>
      </c>
      <c r="X305" t="str">
        <f t="shared" si="28"/>
        <v/>
      </c>
      <c r="Y305" t="str">
        <f t="shared" si="29"/>
        <v/>
      </c>
    </row>
    <row r="306" spans="1:25" ht="14.5" x14ac:dyDescent="0.35">
      <c r="A306" s="3"/>
      <c r="B306" s="2"/>
      <c r="C306" s="2"/>
      <c r="D306" s="4"/>
      <c r="E306" s="2"/>
      <c r="F306" s="2"/>
      <c r="G306" s="3" t="str">
        <f t="shared" si="24"/>
        <v/>
      </c>
      <c r="H306" s="3"/>
      <c r="I306" s="3"/>
      <c r="J306" s="2"/>
      <c r="K306" s="2"/>
      <c r="L306" s="2"/>
      <c r="M306" s="4"/>
      <c r="N306" s="2"/>
      <c r="O306" s="5" t="str">
        <f t="shared" ca="1" si="25"/>
        <v/>
      </c>
      <c r="P306" s="6"/>
      <c r="V306" t="str">
        <f t="shared" si="26"/>
        <v/>
      </c>
      <c r="W306" t="str">
        <f t="shared" si="27"/>
        <v/>
      </c>
      <c r="X306" t="str">
        <f t="shared" si="28"/>
        <v/>
      </c>
      <c r="Y306" t="str">
        <f t="shared" si="29"/>
        <v/>
      </c>
    </row>
    <row r="307" spans="1:25" ht="14.5" x14ac:dyDescent="0.35">
      <c r="A307" s="3"/>
      <c r="B307" s="2"/>
      <c r="C307" s="2"/>
      <c r="D307" s="4"/>
      <c r="E307" s="2"/>
      <c r="F307" s="2"/>
      <c r="G307" s="3" t="str">
        <f t="shared" si="24"/>
        <v/>
      </c>
      <c r="H307" s="3"/>
      <c r="I307" s="3"/>
      <c r="J307" s="2"/>
      <c r="K307" s="2"/>
      <c r="L307" s="2"/>
      <c r="M307" s="4"/>
      <c r="N307" s="2"/>
      <c r="O307" s="5" t="str">
        <f t="shared" ca="1" si="25"/>
        <v/>
      </c>
      <c r="P307" s="6"/>
      <c r="V307" t="str">
        <f t="shared" si="26"/>
        <v/>
      </c>
      <c r="W307" t="str">
        <f t="shared" si="27"/>
        <v/>
      </c>
      <c r="X307" t="str">
        <f t="shared" si="28"/>
        <v/>
      </c>
      <c r="Y307" t="str">
        <f t="shared" si="29"/>
        <v/>
      </c>
    </row>
    <row r="308" spans="1:25" ht="14.5" x14ac:dyDescent="0.35">
      <c r="A308" s="3"/>
      <c r="B308" s="2"/>
      <c r="C308" s="2"/>
      <c r="D308" s="4"/>
      <c r="E308" s="2"/>
      <c r="F308" s="2"/>
      <c r="G308" s="3" t="str">
        <f t="shared" si="24"/>
        <v/>
      </c>
      <c r="H308" s="3"/>
      <c r="I308" s="3"/>
      <c r="J308" s="2"/>
      <c r="K308" s="2"/>
      <c r="L308" s="2"/>
      <c r="M308" s="4"/>
      <c r="N308" s="2"/>
      <c r="O308" s="5" t="str">
        <f t="shared" ca="1" si="25"/>
        <v/>
      </c>
      <c r="P308" s="6"/>
      <c r="V308" t="str">
        <f t="shared" si="26"/>
        <v/>
      </c>
      <c r="W308" t="str">
        <f t="shared" si="27"/>
        <v/>
      </c>
      <c r="X308" t="str">
        <f t="shared" si="28"/>
        <v/>
      </c>
      <c r="Y308" t="str">
        <f t="shared" si="29"/>
        <v/>
      </c>
    </row>
    <row r="309" spans="1:25" ht="14.5" x14ac:dyDescent="0.35">
      <c r="A309" s="3"/>
      <c r="B309" s="2"/>
      <c r="C309" s="2"/>
      <c r="D309" s="4"/>
      <c r="E309" s="2"/>
      <c r="F309" s="2"/>
      <c r="G309" s="3" t="str">
        <f t="shared" si="24"/>
        <v/>
      </c>
      <c r="H309" s="3"/>
      <c r="I309" s="3"/>
      <c r="J309" s="2"/>
      <c r="K309" s="2"/>
      <c r="L309" s="2"/>
      <c r="M309" s="4"/>
      <c r="N309" s="2"/>
      <c r="O309" s="5" t="str">
        <f t="shared" ca="1" si="25"/>
        <v/>
      </c>
      <c r="P309" s="6"/>
      <c r="V309" t="str">
        <f t="shared" si="26"/>
        <v/>
      </c>
      <c r="W309" t="str">
        <f t="shared" si="27"/>
        <v/>
      </c>
      <c r="X309" t="str">
        <f t="shared" si="28"/>
        <v/>
      </c>
      <c r="Y309" t="str">
        <f t="shared" si="29"/>
        <v/>
      </c>
    </row>
    <row r="310" spans="1:25" ht="14.5" x14ac:dyDescent="0.35">
      <c r="A310" s="3"/>
      <c r="B310" s="2"/>
      <c r="C310" s="2"/>
      <c r="D310" s="4"/>
      <c r="E310" s="2"/>
      <c r="F310" s="2"/>
      <c r="G310" s="3" t="str">
        <f t="shared" si="24"/>
        <v/>
      </c>
      <c r="H310" s="3"/>
      <c r="I310" s="3"/>
      <c r="J310" s="2"/>
      <c r="K310" s="2"/>
      <c r="L310" s="2"/>
      <c r="M310" s="4"/>
      <c r="N310" s="2"/>
      <c r="O310" s="5" t="str">
        <f t="shared" ca="1" si="25"/>
        <v/>
      </c>
      <c r="P310" s="6"/>
      <c r="V310" t="str">
        <f t="shared" si="26"/>
        <v/>
      </c>
      <c r="W310" t="str">
        <f t="shared" si="27"/>
        <v/>
      </c>
      <c r="X310" t="str">
        <f t="shared" si="28"/>
        <v/>
      </c>
      <c r="Y310" t="str">
        <f t="shared" si="29"/>
        <v/>
      </c>
    </row>
    <row r="311" spans="1:25" ht="14.5" x14ac:dyDescent="0.35">
      <c r="A311" s="3"/>
      <c r="B311" s="2"/>
      <c r="C311" s="2"/>
      <c r="D311" s="4"/>
      <c r="E311" s="2"/>
      <c r="F311" s="2"/>
      <c r="G311" s="3" t="str">
        <f t="shared" si="24"/>
        <v/>
      </c>
      <c r="H311" s="3"/>
      <c r="I311" s="3"/>
      <c r="J311" s="2"/>
      <c r="K311" s="2"/>
      <c r="L311" s="2"/>
      <c r="M311" s="4"/>
      <c r="N311" s="2"/>
      <c r="O311" s="5" t="str">
        <f t="shared" ca="1" si="25"/>
        <v/>
      </c>
      <c r="P311" s="6"/>
      <c r="V311" t="str">
        <f t="shared" si="26"/>
        <v/>
      </c>
      <c r="W311" t="str">
        <f t="shared" si="27"/>
        <v/>
      </c>
      <c r="X311" t="str">
        <f t="shared" si="28"/>
        <v/>
      </c>
      <c r="Y311" t="str">
        <f t="shared" si="29"/>
        <v/>
      </c>
    </row>
    <row r="312" spans="1:25" ht="14.5" x14ac:dyDescent="0.35">
      <c r="A312" s="3"/>
      <c r="B312" s="2"/>
      <c r="C312" s="2"/>
      <c r="D312" s="4"/>
      <c r="E312" s="2"/>
      <c r="F312" s="2"/>
      <c r="G312" s="3" t="str">
        <f t="shared" si="24"/>
        <v/>
      </c>
      <c r="H312" s="3"/>
      <c r="I312" s="3"/>
      <c r="J312" s="2"/>
      <c r="K312" s="2"/>
      <c r="L312" s="2"/>
      <c r="M312" s="4"/>
      <c r="N312" s="2"/>
      <c r="O312" s="5" t="str">
        <f t="shared" ca="1" si="25"/>
        <v/>
      </c>
      <c r="P312" s="6"/>
      <c r="V312" t="str">
        <f t="shared" si="26"/>
        <v/>
      </c>
      <c r="W312" t="str">
        <f t="shared" si="27"/>
        <v/>
      </c>
      <c r="X312" t="str">
        <f t="shared" si="28"/>
        <v/>
      </c>
      <c r="Y312" t="str">
        <f t="shared" si="29"/>
        <v/>
      </c>
    </row>
    <row r="313" spans="1:25" ht="14.5" x14ac:dyDescent="0.35">
      <c r="A313" s="3"/>
      <c r="B313" s="2"/>
      <c r="C313" s="2"/>
      <c r="D313" s="4"/>
      <c r="E313" s="2"/>
      <c r="F313" s="2"/>
      <c r="G313" s="3" t="str">
        <f t="shared" si="24"/>
        <v/>
      </c>
      <c r="H313" s="3"/>
      <c r="I313" s="3"/>
      <c r="J313" s="2"/>
      <c r="K313" s="2"/>
      <c r="L313" s="2"/>
      <c r="M313" s="4"/>
      <c r="N313" s="2"/>
      <c r="O313" s="5" t="str">
        <f t="shared" ca="1" si="25"/>
        <v/>
      </c>
      <c r="P313" s="6"/>
      <c r="V313" t="str">
        <f t="shared" si="26"/>
        <v/>
      </c>
      <c r="W313" t="str">
        <f t="shared" si="27"/>
        <v/>
      </c>
      <c r="X313" t="str">
        <f t="shared" si="28"/>
        <v/>
      </c>
      <c r="Y313" t="str">
        <f t="shared" si="29"/>
        <v/>
      </c>
    </row>
    <row r="314" spans="1:25" ht="14.5" x14ac:dyDescent="0.35">
      <c r="A314" s="3"/>
      <c r="B314" s="2"/>
      <c r="C314" s="2"/>
      <c r="D314" s="4"/>
      <c r="E314" s="2"/>
      <c r="F314" s="2"/>
      <c r="G314" s="3" t="str">
        <f t="shared" si="24"/>
        <v/>
      </c>
      <c r="H314" s="3"/>
      <c r="I314" s="3"/>
      <c r="J314" s="2"/>
      <c r="K314" s="2"/>
      <c r="L314" s="2"/>
      <c r="M314" s="4"/>
      <c r="N314" s="2"/>
      <c r="O314" s="5" t="str">
        <f t="shared" ca="1" si="25"/>
        <v/>
      </c>
      <c r="P314" s="6"/>
      <c r="V314" t="str">
        <f t="shared" si="26"/>
        <v/>
      </c>
      <c r="W314" t="str">
        <f t="shared" si="27"/>
        <v/>
      </c>
      <c r="X314" t="str">
        <f t="shared" si="28"/>
        <v/>
      </c>
      <c r="Y314" t="str">
        <f t="shared" si="29"/>
        <v/>
      </c>
    </row>
    <row r="315" spans="1:25" ht="14.5" x14ac:dyDescent="0.35">
      <c r="A315" s="3"/>
      <c r="B315" s="2"/>
      <c r="C315" s="2"/>
      <c r="D315" s="4"/>
      <c r="E315" s="2"/>
      <c r="F315" s="2"/>
      <c r="G315" s="3" t="str">
        <f t="shared" si="24"/>
        <v/>
      </c>
      <c r="H315" s="3"/>
      <c r="I315" s="3"/>
      <c r="J315" s="2"/>
      <c r="K315" s="2"/>
      <c r="L315" s="2"/>
      <c r="M315" s="4"/>
      <c r="N315" s="2"/>
      <c r="O315" s="5" t="str">
        <f t="shared" ca="1" si="25"/>
        <v/>
      </c>
      <c r="P315" s="6"/>
      <c r="V315" t="str">
        <f t="shared" si="26"/>
        <v/>
      </c>
      <c r="W315" t="str">
        <f t="shared" si="27"/>
        <v/>
      </c>
      <c r="X315" t="str">
        <f t="shared" si="28"/>
        <v/>
      </c>
      <c r="Y315" t="str">
        <f t="shared" si="29"/>
        <v/>
      </c>
    </row>
    <row r="316" spans="1:25" ht="14.5" x14ac:dyDescent="0.35">
      <c r="A316" s="3"/>
      <c r="B316" s="2"/>
      <c r="C316" s="2"/>
      <c r="D316" s="4"/>
      <c r="E316" s="2"/>
      <c r="F316" s="2"/>
      <c r="G316" s="3" t="str">
        <f t="shared" si="24"/>
        <v/>
      </c>
      <c r="H316" s="3"/>
      <c r="I316" s="3"/>
      <c r="J316" s="2"/>
      <c r="K316" s="2"/>
      <c r="L316" s="2"/>
      <c r="M316" s="4"/>
      <c r="N316" s="2"/>
      <c r="O316" s="5" t="str">
        <f t="shared" ca="1" si="25"/>
        <v/>
      </c>
      <c r="P316" s="6"/>
      <c r="V316" t="str">
        <f t="shared" si="26"/>
        <v/>
      </c>
      <c r="W316" t="str">
        <f t="shared" si="27"/>
        <v/>
      </c>
      <c r="X316" t="str">
        <f t="shared" si="28"/>
        <v/>
      </c>
      <c r="Y316" t="str">
        <f t="shared" si="29"/>
        <v/>
      </c>
    </row>
    <row r="317" spans="1:25" ht="14.5" x14ac:dyDescent="0.35">
      <c r="A317" s="3"/>
      <c r="B317" s="2"/>
      <c r="C317" s="2"/>
      <c r="D317" s="4"/>
      <c r="E317" s="2"/>
      <c r="F317" s="2"/>
      <c r="G317" s="3" t="str">
        <f t="shared" si="24"/>
        <v/>
      </c>
      <c r="H317" s="3"/>
      <c r="I317" s="3"/>
      <c r="J317" s="2"/>
      <c r="K317" s="2"/>
      <c r="L317" s="2"/>
      <c r="M317" s="4"/>
      <c r="N317" s="2"/>
      <c r="O317" s="5" t="str">
        <f t="shared" ca="1" si="25"/>
        <v/>
      </c>
      <c r="P317" s="6"/>
      <c r="V317" t="str">
        <f t="shared" si="26"/>
        <v/>
      </c>
      <c r="W317" t="str">
        <f t="shared" si="27"/>
        <v/>
      </c>
      <c r="X317" t="str">
        <f t="shared" si="28"/>
        <v/>
      </c>
      <c r="Y317" t="str">
        <f t="shared" si="29"/>
        <v/>
      </c>
    </row>
    <row r="318" spans="1:25" ht="14.5" x14ac:dyDescent="0.35">
      <c r="A318" s="3"/>
      <c r="B318" s="2"/>
      <c r="C318" s="2"/>
      <c r="D318" s="4"/>
      <c r="E318" s="2"/>
      <c r="F318" s="2"/>
      <c r="G318" s="3" t="str">
        <f t="shared" si="24"/>
        <v/>
      </c>
      <c r="H318" s="3"/>
      <c r="I318" s="3"/>
      <c r="J318" s="2"/>
      <c r="K318" s="2"/>
      <c r="L318" s="2"/>
      <c r="M318" s="4"/>
      <c r="N318" s="2"/>
      <c r="O318" s="5" t="str">
        <f t="shared" ca="1" si="25"/>
        <v/>
      </c>
      <c r="P318" s="6"/>
      <c r="V318" t="str">
        <f t="shared" si="26"/>
        <v/>
      </c>
      <c r="W318" t="str">
        <f t="shared" si="27"/>
        <v/>
      </c>
      <c r="X318" t="str">
        <f t="shared" si="28"/>
        <v/>
      </c>
      <c r="Y318" t="str">
        <f t="shared" si="29"/>
        <v/>
      </c>
    </row>
    <row r="319" spans="1:25" ht="14.5" x14ac:dyDescent="0.35">
      <c r="A319" s="3"/>
      <c r="B319" s="2"/>
      <c r="C319" s="2"/>
      <c r="D319" s="4"/>
      <c r="E319" s="2"/>
      <c r="F319" s="2"/>
      <c r="G319" s="3" t="str">
        <f t="shared" si="24"/>
        <v/>
      </c>
      <c r="H319" s="3"/>
      <c r="I319" s="3"/>
      <c r="J319" s="2"/>
      <c r="K319" s="2"/>
      <c r="L319" s="2"/>
      <c r="M319" s="4"/>
      <c r="N319" s="2"/>
      <c r="O319" s="5" t="str">
        <f t="shared" ca="1" si="25"/>
        <v/>
      </c>
      <c r="P319" s="6"/>
      <c r="V319" t="str">
        <f t="shared" si="26"/>
        <v/>
      </c>
      <c r="W319" t="str">
        <f t="shared" si="27"/>
        <v/>
      </c>
      <c r="X319" t="str">
        <f t="shared" si="28"/>
        <v/>
      </c>
      <c r="Y319" t="str">
        <f t="shared" si="29"/>
        <v/>
      </c>
    </row>
    <row r="320" spans="1:25" ht="14.5" x14ac:dyDescent="0.35">
      <c r="A320" s="3"/>
      <c r="B320" s="2"/>
      <c r="C320" s="2"/>
      <c r="D320" s="4"/>
      <c r="E320" s="2"/>
      <c r="F320" s="2"/>
      <c r="G320" s="3" t="str">
        <f t="shared" si="24"/>
        <v/>
      </c>
      <c r="H320" s="3"/>
      <c r="I320" s="3"/>
      <c r="J320" s="2"/>
      <c r="K320" s="2"/>
      <c r="L320" s="2"/>
      <c r="M320" s="4"/>
      <c r="N320" s="2"/>
      <c r="O320" s="5" t="str">
        <f t="shared" ca="1" si="25"/>
        <v/>
      </c>
      <c r="P320" s="6"/>
      <c r="V320" t="str">
        <f t="shared" si="26"/>
        <v/>
      </c>
      <c r="W320" t="str">
        <f t="shared" si="27"/>
        <v/>
      </c>
      <c r="X320" t="str">
        <f t="shared" si="28"/>
        <v/>
      </c>
      <c r="Y320" t="str">
        <f t="shared" si="29"/>
        <v/>
      </c>
    </row>
    <row r="321" spans="1:25" ht="14.5" x14ac:dyDescent="0.35">
      <c r="A321" s="3"/>
      <c r="B321" s="2"/>
      <c r="C321" s="2"/>
      <c r="D321" s="4"/>
      <c r="E321" s="2"/>
      <c r="F321" s="2"/>
      <c r="G321" s="3" t="str">
        <f t="shared" si="24"/>
        <v/>
      </c>
      <c r="H321" s="3"/>
      <c r="I321" s="3"/>
      <c r="J321" s="2"/>
      <c r="K321" s="2"/>
      <c r="L321" s="2"/>
      <c r="M321" s="4"/>
      <c r="N321" s="2"/>
      <c r="O321" s="5" t="str">
        <f t="shared" ca="1" si="25"/>
        <v/>
      </c>
      <c r="P321" s="6"/>
      <c r="V321" t="str">
        <f t="shared" si="26"/>
        <v/>
      </c>
      <c r="W321" t="str">
        <f t="shared" si="27"/>
        <v/>
      </c>
      <c r="X321" t="str">
        <f t="shared" si="28"/>
        <v/>
      </c>
      <c r="Y321" t="str">
        <f t="shared" si="29"/>
        <v/>
      </c>
    </row>
    <row r="322" spans="1:25" ht="14.5" x14ac:dyDescent="0.35">
      <c r="A322" s="3"/>
      <c r="B322" s="2"/>
      <c r="C322" s="2"/>
      <c r="D322" s="4"/>
      <c r="E322" s="2"/>
      <c r="F322" s="2"/>
      <c r="G322" s="3" t="str">
        <f t="shared" ref="G322:G385" si="30">IF(COUNTIF($A$2:$A$1500,A322&amp;".*")=0,"",COUNTIF($A$2:$A$1500,A322&amp;".*"))</f>
        <v/>
      </c>
      <c r="H322" s="3"/>
      <c r="I322" s="3"/>
      <c r="J322" s="2"/>
      <c r="K322" s="2"/>
      <c r="L322" s="2"/>
      <c r="M322" s="4"/>
      <c r="N322" s="2"/>
      <c r="O322" s="5" t="str">
        <f t="shared" ref="O322:O385" ca="1" si="31">IF(M322="","",INT(M322)-TODAY())</f>
        <v/>
      </c>
      <c r="P322" s="6"/>
      <c r="V322" t="str">
        <f t="shared" ref="V322:V385" si="32">IF(M322="","",M322+Q322/1000000)</f>
        <v/>
      </c>
      <c r="W322" t="str">
        <f t="shared" ref="W322:W385" si="33">IF(U322="","",IF(M322="",9999999+Q322/1000000,M322+Q322/1000000))</f>
        <v/>
      </c>
      <c r="X322" t="str">
        <f t="shared" ref="X322:X385" si="34">IF(U322="","",SUMPRODUCT(($U$2:$U$1500=U322)*($W$2:$W$1500&lt;=W322)))</f>
        <v/>
      </c>
      <c r="Y322" t="str">
        <f t="shared" ref="Y322:Y385" si="35">IF(U322="","",U322&amp;"|"&amp;X322)</f>
        <v/>
      </c>
    </row>
    <row r="323" spans="1:25" ht="14.5" x14ac:dyDescent="0.35">
      <c r="A323" s="3"/>
      <c r="B323" s="2"/>
      <c r="C323" s="2"/>
      <c r="D323" s="4"/>
      <c r="E323" s="2"/>
      <c r="F323" s="2"/>
      <c r="G323" s="3" t="str">
        <f t="shared" si="30"/>
        <v/>
      </c>
      <c r="H323" s="3"/>
      <c r="I323" s="3"/>
      <c r="J323" s="2"/>
      <c r="K323" s="2"/>
      <c r="L323" s="2"/>
      <c r="M323" s="4"/>
      <c r="N323" s="2"/>
      <c r="O323" s="5" t="str">
        <f t="shared" ca="1" si="31"/>
        <v/>
      </c>
      <c r="P323" s="6"/>
      <c r="V323" t="str">
        <f t="shared" si="32"/>
        <v/>
      </c>
      <c r="W323" t="str">
        <f t="shared" si="33"/>
        <v/>
      </c>
      <c r="X323" t="str">
        <f t="shared" si="34"/>
        <v/>
      </c>
      <c r="Y323" t="str">
        <f t="shared" si="35"/>
        <v/>
      </c>
    </row>
    <row r="324" spans="1:25" ht="14.5" x14ac:dyDescent="0.35">
      <c r="A324" s="3"/>
      <c r="B324" s="2"/>
      <c r="C324" s="2"/>
      <c r="D324" s="4"/>
      <c r="E324" s="2"/>
      <c r="F324" s="2"/>
      <c r="G324" s="3" t="str">
        <f t="shared" si="30"/>
        <v/>
      </c>
      <c r="H324" s="3"/>
      <c r="I324" s="3"/>
      <c r="J324" s="2"/>
      <c r="K324" s="2"/>
      <c r="L324" s="2"/>
      <c r="M324" s="4"/>
      <c r="N324" s="2"/>
      <c r="O324" s="5" t="str">
        <f t="shared" ca="1" si="31"/>
        <v/>
      </c>
      <c r="P324" s="6"/>
      <c r="V324" t="str">
        <f t="shared" si="32"/>
        <v/>
      </c>
      <c r="W324" t="str">
        <f t="shared" si="33"/>
        <v/>
      </c>
      <c r="X324" t="str">
        <f t="shared" si="34"/>
        <v/>
      </c>
      <c r="Y324" t="str">
        <f t="shared" si="35"/>
        <v/>
      </c>
    </row>
    <row r="325" spans="1:25" ht="14.5" x14ac:dyDescent="0.35">
      <c r="A325" s="3"/>
      <c r="B325" s="2"/>
      <c r="C325" s="2"/>
      <c r="D325" s="4"/>
      <c r="E325" s="2"/>
      <c r="F325" s="2"/>
      <c r="G325" s="3" t="str">
        <f t="shared" si="30"/>
        <v/>
      </c>
      <c r="H325" s="3"/>
      <c r="I325" s="3"/>
      <c r="J325" s="2"/>
      <c r="K325" s="2"/>
      <c r="L325" s="2"/>
      <c r="M325" s="4"/>
      <c r="N325" s="2"/>
      <c r="O325" s="5" t="str">
        <f t="shared" ca="1" si="31"/>
        <v/>
      </c>
      <c r="P325" s="6"/>
      <c r="V325" t="str">
        <f t="shared" si="32"/>
        <v/>
      </c>
      <c r="W325" t="str">
        <f t="shared" si="33"/>
        <v/>
      </c>
      <c r="X325" t="str">
        <f t="shared" si="34"/>
        <v/>
      </c>
      <c r="Y325" t="str">
        <f t="shared" si="35"/>
        <v/>
      </c>
    </row>
    <row r="326" spans="1:25" ht="14.5" x14ac:dyDescent="0.35">
      <c r="A326" s="3"/>
      <c r="B326" s="2"/>
      <c r="C326" s="2"/>
      <c r="D326" s="4"/>
      <c r="E326" s="2"/>
      <c r="F326" s="2"/>
      <c r="G326" s="3" t="str">
        <f t="shared" si="30"/>
        <v/>
      </c>
      <c r="H326" s="3"/>
      <c r="I326" s="3"/>
      <c r="J326" s="2"/>
      <c r="K326" s="2"/>
      <c r="L326" s="2"/>
      <c r="M326" s="4"/>
      <c r="N326" s="2"/>
      <c r="O326" s="5" t="str">
        <f t="shared" ca="1" si="31"/>
        <v/>
      </c>
      <c r="P326" s="6"/>
      <c r="V326" t="str">
        <f t="shared" si="32"/>
        <v/>
      </c>
      <c r="W326" t="str">
        <f t="shared" si="33"/>
        <v/>
      </c>
      <c r="X326" t="str">
        <f t="shared" si="34"/>
        <v/>
      </c>
      <c r="Y326" t="str">
        <f t="shared" si="35"/>
        <v/>
      </c>
    </row>
    <row r="327" spans="1:25" ht="14.5" x14ac:dyDescent="0.35">
      <c r="A327" s="3"/>
      <c r="B327" s="2"/>
      <c r="C327" s="2"/>
      <c r="D327" s="4"/>
      <c r="E327" s="2"/>
      <c r="F327" s="2"/>
      <c r="G327" s="3" t="str">
        <f t="shared" si="30"/>
        <v/>
      </c>
      <c r="H327" s="3"/>
      <c r="I327" s="3"/>
      <c r="J327" s="2"/>
      <c r="K327" s="2"/>
      <c r="L327" s="2"/>
      <c r="M327" s="4"/>
      <c r="N327" s="2"/>
      <c r="O327" s="5" t="str">
        <f t="shared" ca="1" si="31"/>
        <v/>
      </c>
      <c r="P327" s="6"/>
      <c r="V327" t="str">
        <f t="shared" si="32"/>
        <v/>
      </c>
      <c r="W327" t="str">
        <f t="shared" si="33"/>
        <v/>
      </c>
      <c r="X327" t="str">
        <f t="shared" si="34"/>
        <v/>
      </c>
      <c r="Y327" t="str">
        <f t="shared" si="35"/>
        <v/>
      </c>
    </row>
    <row r="328" spans="1:25" ht="14.5" x14ac:dyDescent="0.35">
      <c r="A328" s="3"/>
      <c r="B328" s="2"/>
      <c r="C328" s="2"/>
      <c r="D328" s="4"/>
      <c r="E328" s="2"/>
      <c r="F328" s="2"/>
      <c r="G328" s="3" t="str">
        <f t="shared" si="30"/>
        <v/>
      </c>
      <c r="H328" s="3"/>
      <c r="I328" s="3"/>
      <c r="J328" s="2"/>
      <c r="K328" s="2"/>
      <c r="L328" s="2"/>
      <c r="M328" s="4"/>
      <c r="N328" s="2"/>
      <c r="O328" s="5" t="str">
        <f t="shared" ca="1" si="31"/>
        <v/>
      </c>
      <c r="P328" s="6"/>
      <c r="V328" t="str">
        <f t="shared" si="32"/>
        <v/>
      </c>
      <c r="W328" t="str">
        <f t="shared" si="33"/>
        <v/>
      </c>
      <c r="X328" t="str">
        <f t="shared" si="34"/>
        <v/>
      </c>
      <c r="Y328" t="str">
        <f t="shared" si="35"/>
        <v/>
      </c>
    </row>
    <row r="329" spans="1:25" ht="14.5" x14ac:dyDescent="0.35">
      <c r="A329" s="3"/>
      <c r="B329" s="2"/>
      <c r="C329" s="2"/>
      <c r="D329" s="4"/>
      <c r="E329" s="2"/>
      <c r="F329" s="2"/>
      <c r="G329" s="3" t="str">
        <f t="shared" si="30"/>
        <v/>
      </c>
      <c r="H329" s="3"/>
      <c r="I329" s="3"/>
      <c r="J329" s="2"/>
      <c r="K329" s="2"/>
      <c r="L329" s="2"/>
      <c r="M329" s="4"/>
      <c r="N329" s="2"/>
      <c r="O329" s="5" t="str">
        <f t="shared" ca="1" si="31"/>
        <v/>
      </c>
      <c r="P329" s="6"/>
      <c r="V329" t="str">
        <f t="shared" si="32"/>
        <v/>
      </c>
      <c r="W329" t="str">
        <f t="shared" si="33"/>
        <v/>
      </c>
      <c r="X329" t="str">
        <f t="shared" si="34"/>
        <v/>
      </c>
      <c r="Y329" t="str">
        <f t="shared" si="35"/>
        <v/>
      </c>
    </row>
    <row r="330" spans="1:25" ht="14.5" x14ac:dyDescent="0.35">
      <c r="A330" s="3"/>
      <c r="B330" s="2"/>
      <c r="C330" s="2"/>
      <c r="D330" s="4"/>
      <c r="E330" s="2"/>
      <c r="F330" s="2"/>
      <c r="G330" s="3" t="str">
        <f t="shared" si="30"/>
        <v/>
      </c>
      <c r="H330" s="3"/>
      <c r="I330" s="3"/>
      <c r="J330" s="2"/>
      <c r="K330" s="2"/>
      <c r="L330" s="2"/>
      <c r="M330" s="4"/>
      <c r="N330" s="2"/>
      <c r="O330" s="5" t="str">
        <f t="shared" ca="1" si="31"/>
        <v/>
      </c>
      <c r="P330" s="6"/>
      <c r="V330" t="str">
        <f t="shared" si="32"/>
        <v/>
      </c>
      <c r="W330" t="str">
        <f t="shared" si="33"/>
        <v/>
      </c>
      <c r="X330" t="str">
        <f t="shared" si="34"/>
        <v/>
      </c>
      <c r="Y330" t="str">
        <f t="shared" si="35"/>
        <v/>
      </c>
    </row>
    <row r="331" spans="1:25" ht="14.5" x14ac:dyDescent="0.35">
      <c r="A331" s="3"/>
      <c r="B331" s="2"/>
      <c r="C331" s="2"/>
      <c r="D331" s="4"/>
      <c r="E331" s="2"/>
      <c r="F331" s="2"/>
      <c r="G331" s="3" t="str">
        <f t="shared" si="30"/>
        <v/>
      </c>
      <c r="H331" s="3"/>
      <c r="I331" s="3"/>
      <c r="J331" s="2"/>
      <c r="K331" s="2"/>
      <c r="L331" s="2"/>
      <c r="M331" s="4"/>
      <c r="N331" s="2"/>
      <c r="O331" s="5" t="str">
        <f t="shared" ca="1" si="31"/>
        <v/>
      </c>
      <c r="P331" s="6"/>
      <c r="V331" t="str">
        <f t="shared" si="32"/>
        <v/>
      </c>
      <c r="W331" t="str">
        <f t="shared" si="33"/>
        <v/>
      </c>
      <c r="X331" t="str">
        <f t="shared" si="34"/>
        <v/>
      </c>
      <c r="Y331" t="str">
        <f t="shared" si="35"/>
        <v/>
      </c>
    </row>
    <row r="332" spans="1:25" ht="14.5" x14ac:dyDescent="0.35">
      <c r="A332" s="3"/>
      <c r="B332" s="2"/>
      <c r="C332" s="2"/>
      <c r="D332" s="4"/>
      <c r="E332" s="2"/>
      <c r="F332" s="2"/>
      <c r="G332" s="3" t="str">
        <f t="shared" si="30"/>
        <v/>
      </c>
      <c r="H332" s="3"/>
      <c r="I332" s="3"/>
      <c r="J332" s="2"/>
      <c r="K332" s="2"/>
      <c r="L332" s="2"/>
      <c r="M332" s="4"/>
      <c r="N332" s="2"/>
      <c r="O332" s="5" t="str">
        <f t="shared" ca="1" si="31"/>
        <v/>
      </c>
      <c r="P332" s="6"/>
      <c r="V332" t="str">
        <f t="shared" si="32"/>
        <v/>
      </c>
      <c r="W332" t="str">
        <f t="shared" si="33"/>
        <v/>
      </c>
      <c r="X332" t="str">
        <f t="shared" si="34"/>
        <v/>
      </c>
      <c r="Y332" t="str">
        <f t="shared" si="35"/>
        <v/>
      </c>
    </row>
    <row r="333" spans="1:25" ht="14.5" x14ac:dyDescent="0.35">
      <c r="A333" s="3"/>
      <c r="B333" s="2"/>
      <c r="C333" s="2"/>
      <c r="D333" s="4"/>
      <c r="E333" s="2"/>
      <c r="F333" s="2"/>
      <c r="G333" s="3" t="str">
        <f t="shared" si="30"/>
        <v/>
      </c>
      <c r="H333" s="3"/>
      <c r="I333" s="3"/>
      <c r="J333" s="2"/>
      <c r="K333" s="2"/>
      <c r="L333" s="2"/>
      <c r="M333" s="4"/>
      <c r="N333" s="2"/>
      <c r="O333" s="5" t="str">
        <f t="shared" ca="1" si="31"/>
        <v/>
      </c>
      <c r="P333" s="6"/>
      <c r="V333" t="str">
        <f t="shared" si="32"/>
        <v/>
      </c>
      <c r="W333" t="str">
        <f t="shared" si="33"/>
        <v/>
      </c>
      <c r="X333" t="str">
        <f t="shared" si="34"/>
        <v/>
      </c>
      <c r="Y333" t="str">
        <f t="shared" si="35"/>
        <v/>
      </c>
    </row>
    <row r="334" spans="1:25" ht="14.5" x14ac:dyDescent="0.35">
      <c r="A334" s="3"/>
      <c r="B334" s="2"/>
      <c r="C334" s="2"/>
      <c r="D334" s="4"/>
      <c r="E334" s="2"/>
      <c r="F334" s="2"/>
      <c r="G334" s="3" t="str">
        <f t="shared" si="30"/>
        <v/>
      </c>
      <c r="H334" s="3"/>
      <c r="I334" s="3"/>
      <c r="J334" s="2"/>
      <c r="K334" s="2"/>
      <c r="L334" s="2"/>
      <c r="M334" s="4"/>
      <c r="N334" s="2"/>
      <c r="O334" s="5" t="str">
        <f t="shared" ca="1" si="31"/>
        <v/>
      </c>
      <c r="P334" s="6"/>
      <c r="V334" t="str">
        <f t="shared" si="32"/>
        <v/>
      </c>
      <c r="W334" t="str">
        <f t="shared" si="33"/>
        <v/>
      </c>
      <c r="X334" t="str">
        <f t="shared" si="34"/>
        <v/>
      </c>
      <c r="Y334" t="str">
        <f t="shared" si="35"/>
        <v/>
      </c>
    </row>
    <row r="335" spans="1:25" ht="14.5" x14ac:dyDescent="0.35">
      <c r="A335" s="3"/>
      <c r="B335" s="2"/>
      <c r="C335" s="2"/>
      <c r="D335" s="4"/>
      <c r="E335" s="2"/>
      <c r="F335" s="2"/>
      <c r="G335" s="3" t="str">
        <f t="shared" si="30"/>
        <v/>
      </c>
      <c r="H335" s="3"/>
      <c r="I335" s="3"/>
      <c r="J335" s="2"/>
      <c r="K335" s="2"/>
      <c r="L335" s="2"/>
      <c r="M335" s="4"/>
      <c r="N335" s="2"/>
      <c r="O335" s="5" t="str">
        <f t="shared" ca="1" si="31"/>
        <v/>
      </c>
      <c r="P335" s="6"/>
      <c r="V335" t="str">
        <f t="shared" si="32"/>
        <v/>
      </c>
      <c r="W335" t="str">
        <f t="shared" si="33"/>
        <v/>
      </c>
      <c r="X335" t="str">
        <f t="shared" si="34"/>
        <v/>
      </c>
      <c r="Y335" t="str">
        <f t="shared" si="35"/>
        <v/>
      </c>
    </row>
    <row r="336" spans="1:25" ht="14.5" x14ac:dyDescent="0.35">
      <c r="A336" s="3"/>
      <c r="B336" s="2"/>
      <c r="C336" s="2"/>
      <c r="D336" s="4"/>
      <c r="E336" s="2"/>
      <c r="F336" s="2"/>
      <c r="G336" s="3" t="str">
        <f t="shared" si="30"/>
        <v/>
      </c>
      <c r="H336" s="3"/>
      <c r="I336" s="3"/>
      <c r="J336" s="2"/>
      <c r="K336" s="2"/>
      <c r="L336" s="2"/>
      <c r="M336" s="4"/>
      <c r="N336" s="2"/>
      <c r="O336" s="5" t="str">
        <f t="shared" ca="1" si="31"/>
        <v/>
      </c>
      <c r="P336" s="6"/>
      <c r="V336" t="str">
        <f t="shared" si="32"/>
        <v/>
      </c>
      <c r="W336" t="str">
        <f t="shared" si="33"/>
        <v/>
      </c>
      <c r="X336" t="str">
        <f t="shared" si="34"/>
        <v/>
      </c>
      <c r="Y336" t="str">
        <f t="shared" si="35"/>
        <v/>
      </c>
    </row>
    <row r="337" spans="1:25" ht="14.5" x14ac:dyDescent="0.35">
      <c r="A337" s="3"/>
      <c r="B337" s="2"/>
      <c r="C337" s="2"/>
      <c r="D337" s="4"/>
      <c r="E337" s="2"/>
      <c r="F337" s="2"/>
      <c r="G337" s="3" t="str">
        <f t="shared" si="30"/>
        <v/>
      </c>
      <c r="H337" s="3"/>
      <c r="I337" s="3"/>
      <c r="J337" s="2"/>
      <c r="K337" s="2"/>
      <c r="L337" s="2"/>
      <c r="M337" s="4"/>
      <c r="N337" s="2"/>
      <c r="O337" s="5" t="str">
        <f t="shared" ca="1" si="31"/>
        <v/>
      </c>
      <c r="P337" s="6"/>
      <c r="V337" t="str">
        <f t="shared" si="32"/>
        <v/>
      </c>
      <c r="W337" t="str">
        <f t="shared" si="33"/>
        <v/>
      </c>
      <c r="X337" t="str">
        <f t="shared" si="34"/>
        <v/>
      </c>
      <c r="Y337" t="str">
        <f t="shared" si="35"/>
        <v/>
      </c>
    </row>
    <row r="338" spans="1:25" ht="14.5" x14ac:dyDescent="0.35">
      <c r="A338" s="3"/>
      <c r="B338" s="2"/>
      <c r="C338" s="2"/>
      <c r="D338" s="4"/>
      <c r="E338" s="2"/>
      <c r="F338" s="2"/>
      <c r="G338" s="3" t="str">
        <f t="shared" si="30"/>
        <v/>
      </c>
      <c r="H338" s="3"/>
      <c r="I338" s="3"/>
      <c r="J338" s="2"/>
      <c r="K338" s="2"/>
      <c r="L338" s="2"/>
      <c r="M338" s="4"/>
      <c r="N338" s="2"/>
      <c r="O338" s="5" t="str">
        <f t="shared" ca="1" si="31"/>
        <v/>
      </c>
      <c r="P338" s="6"/>
      <c r="V338" t="str">
        <f t="shared" si="32"/>
        <v/>
      </c>
      <c r="W338" t="str">
        <f t="shared" si="33"/>
        <v/>
      </c>
      <c r="X338" t="str">
        <f t="shared" si="34"/>
        <v/>
      </c>
      <c r="Y338" t="str">
        <f t="shared" si="35"/>
        <v/>
      </c>
    </row>
    <row r="339" spans="1:25" ht="14.5" x14ac:dyDescent="0.35">
      <c r="A339" s="3"/>
      <c r="B339" s="2"/>
      <c r="C339" s="2"/>
      <c r="D339" s="4"/>
      <c r="E339" s="2"/>
      <c r="F339" s="2"/>
      <c r="G339" s="3" t="str">
        <f t="shared" si="30"/>
        <v/>
      </c>
      <c r="H339" s="3"/>
      <c r="I339" s="3"/>
      <c r="J339" s="2"/>
      <c r="K339" s="2"/>
      <c r="L339" s="2"/>
      <c r="M339" s="4"/>
      <c r="N339" s="2"/>
      <c r="O339" s="5" t="str">
        <f t="shared" ca="1" si="31"/>
        <v/>
      </c>
      <c r="P339" s="6"/>
      <c r="V339" t="str">
        <f t="shared" si="32"/>
        <v/>
      </c>
      <c r="W339" t="str">
        <f t="shared" si="33"/>
        <v/>
      </c>
      <c r="X339" t="str">
        <f t="shared" si="34"/>
        <v/>
      </c>
      <c r="Y339" t="str">
        <f t="shared" si="35"/>
        <v/>
      </c>
    </row>
    <row r="340" spans="1:25" ht="14.5" x14ac:dyDescent="0.35">
      <c r="A340" s="3"/>
      <c r="B340" s="2"/>
      <c r="C340" s="2"/>
      <c r="D340" s="4"/>
      <c r="E340" s="2"/>
      <c r="F340" s="2"/>
      <c r="G340" s="3" t="str">
        <f t="shared" si="30"/>
        <v/>
      </c>
      <c r="H340" s="3"/>
      <c r="I340" s="3"/>
      <c r="J340" s="2"/>
      <c r="K340" s="2"/>
      <c r="L340" s="2"/>
      <c r="M340" s="4"/>
      <c r="N340" s="2"/>
      <c r="O340" s="5" t="str">
        <f t="shared" ca="1" si="31"/>
        <v/>
      </c>
      <c r="P340" s="6"/>
      <c r="V340" t="str">
        <f t="shared" si="32"/>
        <v/>
      </c>
      <c r="W340" t="str">
        <f t="shared" si="33"/>
        <v/>
      </c>
      <c r="X340" t="str">
        <f t="shared" si="34"/>
        <v/>
      </c>
      <c r="Y340" t="str">
        <f t="shared" si="35"/>
        <v/>
      </c>
    </row>
    <row r="341" spans="1:25" ht="14.5" x14ac:dyDescent="0.35">
      <c r="A341" s="3"/>
      <c r="B341" s="2"/>
      <c r="C341" s="2"/>
      <c r="D341" s="4"/>
      <c r="E341" s="2"/>
      <c r="F341" s="2"/>
      <c r="G341" s="3" t="str">
        <f t="shared" si="30"/>
        <v/>
      </c>
      <c r="H341" s="3"/>
      <c r="I341" s="3"/>
      <c r="J341" s="2"/>
      <c r="K341" s="2"/>
      <c r="L341" s="2"/>
      <c r="M341" s="4"/>
      <c r="N341" s="2"/>
      <c r="O341" s="5" t="str">
        <f t="shared" ca="1" si="31"/>
        <v/>
      </c>
      <c r="P341" s="6"/>
      <c r="V341" t="str">
        <f t="shared" si="32"/>
        <v/>
      </c>
      <c r="W341" t="str">
        <f t="shared" si="33"/>
        <v/>
      </c>
      <c r="X341" t="str">
        <f t="shared" si="34"/>
        <v/>
      </c>
      <c r="Y341" t="str">
        <f t="shared" si="35"/>
        <v/>
      </c>
    </row>
    <row r="342" spans="1:25" ht="14.5" x14ac:dyDescent="0.35">
      <c r="A342" s="3"/>
      <c r="B342" s="2"/>
      <c r="C342" s="2"/>
      <c r="D342" s="4"/>
      <c r="E342" s="2"/>
      <c r="F342" s="2"/>
      <c r="G342" s="3" t="str">
        <f t="shared" si="30"/>
        <v/>
      </c>
      <c r="H342" s="3"/>
      <c r="I342" s="3"/>
      <c r="J342" s="2"/>
      <c r="K342" s="2"/>
      <c r="L342" s="2"/>
      <c r="M342" s="4"/>
      <c r="N342" s="2"/>
      <c r="O342" s="5" t="str">
        <f t="shared" ca="1" si="31"/>
        <v/>
      </c>
      <c r="P342" s="6"/>
      <c r="V342" t="str">
        <f t="shared" si="32"/>
        <v/>
      </c>
      <c r="W342" t="str">
        <f t="shared" si="33"/>
        <v/>
      </c>
      <c r="X342" t="str">
        <f t="shared" si="34"/>
        <v/>
      </c>
      <c r="Y342" t="str">
        <f t="shared" si="35"/>
        <v/>
      </c>
    </row>
    <row r="343" spans="1:25" ht="14.5" x14ac:dyDescent="0.35">
      <c r="A343" s="3"/>
      <c r="B343" s="2"/>
      <c r="C343" s="2"/>
      <c r="D343" s="4"/>
      <c r="E343" s="2"/>
      <c r="F343" s="2"/>
      <c r="G343" s="3" t="str">
        <f t="shared" si="30"/>
        <v/>
      </c>
      <c r="H343" s="3"/>
      <c r="I343" s="3"/>
      <c r="J343" s="2"/>
      <c r="K343" s="2"/>
      <c r="L343" s="2"/>
      <c r="M343" s="4"/>
      <c r="N343" s="2"/>
      <c r="O343" s="5" t="str">
        <f t="shared" ca="1" si="31"/>
        <v/>
      </c>
      <c r="P343" s="6"/>
      <c r="V343" t="str">
        <f t="shared" si="32"/>
        <v/>
      </c>
      <c r="W343" t="str">
        <f t="shared" si="33"/>
        <v/>
      </c>
      <c r="X343" t="str">
        <f t="shared" si="34"/>
        <v/>
      </c>
      <c r="Y343" t="str">
        <f t="shared" si="35"/>
        <v/>
      </c>
    </row>
    <row r="344" spans="1:25" ht="14.5" x14ac:dyDescent="0.35">
      <c r="A344" s="3"/>
      <c r="B344" s="2"/>
      <c r="C344" s="2"/>
      <c r="D344" s="4"/>
      <c r="E344" s="2"/>
      <c r="F344" s="2"/>
      <c r="G344" s="3" t="str">
        <f t="shared" si="30"/>
        <v/>
      </c>
      <c r="H344" s="3"/>
      <c r="I344" s="3"/>
      <c r="J344" s="2"/>
      <c r="K344" s="2"/>
      <c r="L344" s="2"/>
      <c r="M344" s="4"/>
      <c r="N344" s="2"/>
      <c r="O344" s="5" t="str">
        <f t="shared" ca="1" si="31"/>
        <v/>
      </c>
      <c r="P344" s="6"/>
      <c r="V344" t="str">
        <f t="shared" si="32"/>
        <v/>
      </c>
      <c r="W344" t="str">
        <f t="shared" si="33"/>
        <v/>
      </c>
      <c r="X344" t="str">
        <f t="shared" si="34"/>
        <v/>
      </c>
      <c r="Y344" t="str">
        <f t="shared" si="35"/>
        <v/>
      </c>
    </row>
    <row r="345" spans="1:25" ht="14.5" x14ac:dyDescent="0.35">
      <c r="A345" s="3"/>
      <c r="B345" s="2"/>
      <c r="C345" s="2"/>
      <c r="D345" s="4"/>
      <c r="E345" s="2"/>
      <c r="F345" s="2"/>
      <c r="G345" s="3" t="str">
        <f t="shared" si="30"/>
        <v/>
      </c>
      <c r="H345" s="3"/>
      <c r="I345" s="3"/>
      <c r="J345" s="2"/>
      <c r="K345" s="2"/>
      <c r="L345" s="2"/>
      <c r="M345" s="4"/>
      <c r="N345" s="2"/>
      <c r="O345" s="5" t="str">
        <f t="shared" ca="1" si="31"/>
        <v/>
      </c>
      <c r="P345" s="6"/>
      <c r="V345" t="str">
        <f t="shared" si="32"/>
        <v/>
      </c>
      <c r="W345" t="str">
        <f t="shared" si="33"/>
        <v/>
      </c>
      <c r="X345" t="str">
        <f t="shared" si="34"/>
        <v/>
      </c>
      <c r="Y345" t="str">
        <f t="shared" si="35"/>
        <v/>
      </c>
    </row>
    <row r="346" spans="1:25" ht="14.5" x14ac:dyDescent="0.35">
      <c r="A346" s="3"/>
      <c r="B346" s="2"/>
      <c r="C346" s="2"/>
      <c r="D346" s="4"/>
      <c r="E346" s="2"/>
      <c r="F346" s="2"/>
      <c r="G346" s="3" t="str">
        <f t="shared" si="30"/>
        <v/>
      </c>
      <c r="H346" s="3"/>
      <c r="I346" s="3"/>
      <c r="J346" s="2"/>
      <c r="K346" s="2"/>
      <c r="L346" s="2"/>
      <c r="M346" s="4"/>
      <c r="N346" s="2"/>
      <c r="O346" s="5" t="str">
        <f t="shared" ca="1" si="31"/>
        <v/>
      </c>
      <c r="P346" s="6"/>
      <c r="V346" t="str">
        <f t="shared" si="32"/>
        <v/>
      </c>
      <c r="W346" t="str">
        <f t="shared" si="33"/>
        <v/>
      </c>
      <c r="X346" t="str">
        <f t="shared" si="34"/>
        <v/>
      </c>
      <c r="Y346" t="str">
        <f t="shared" si="35"/>
        <v/>
      </c>
    </row>
    <row r="347" spans="1:25" ht="14.5" x14ac:dyDescent="0.35">
      <c r="A347" s="3"/>
      <c r="B347" s="2"/>
      <c r="C347" s="2"/>
      <c r="D347" s="4"/>
      <c r="E347" s="2"/>
      <c r="F347" s="2"/>
      <c r="G347" s="3" t="str">
        <f t="shared" si="30"/>
        <v/>
      </c>
      <c r="H347" s="3"/>
      <c r="I347" s="3"/>
      <c r="J347" s="2"/>
      <c r="K347" s="2"/>
      <c r="L347" s="2"/>
      <c r="M347" s="4"/>
      <c r="N347" s="2"/>
      <c r="O347" s="5" t="str">
        <f t="shared" ca="1" si="31"/>
        <v/>
      </c>
      <c r="P347" s="6"/>
      <c r="V347" t="str">
        <f t="shared" si="32"/>
        <v/>
      </c>
      <c r="W347" t="str">
        <f t="shared" si="33"/>
        <v/>
      </c>
      <c r="X347" t="str">
        <f t="shared" si="34"/>
        <v/>
      </c>
      <c r="Y347" t="str">
        <f t="shared" si="35"/>
        <v/>
      </c>
    </row>
    <row r="348" spans="1:25" ht="14.5" x14ac:dyDescent="0.35">
      <c r="A348" s="3"/>
      <c r="B348" s="2"/>
      <c r="C348" s="2"/>
      <c r="D348" s="4"/>
      <c r="E348" s="2"/>
      <c r="F348" s="2"/>
      <c r="G348" s="3" t="str">
        <f t="shared" si="30"/>
        <v/>
      </c>
      <c r="H348" s="3"/>
      <c r="I348" s="3"/>
      <c r="J348" s="2"/>
      <c r="K348" s="2"/>
      <c r="L348" s="2"/>
      <c r="M348" s="4"/>
      <c r="N348" s="2"/>
      <c r="O348" s="5" t="str">
        <f t="shared" ca="1" si="31"/>
        <v/>
      </c>
      <c r="P348" s="6"/>
      <c r="V348" t="str">
        <f t="shared" si="32"/>
        <v/>
      </c>
      <c r="W348" t="str">
        <f t="shared" si="33"/>
        <v/>
      </c>
      <c r="X348" t="str">
        <f t="shared" si="34"/>
        <v/>
      </c>
      <c r="Y348" t="str">
        <f t="shared" si="35"/>
        <v/>
      </c>
    </row>
    <row r="349" spans="1:25" ht="14.5" x14ac:dyDescent="0.35">
      <c r="A349" s="3"/>
      <c r="B349" s="2"/>
      <c r="C349" s="2"/>
      <c r="D349" s="4"/>
      <c r="E349" s="2"/>
      <c r="F349" s="2"/>
      <c r="G349" s="3" t="str">
        <f t="shared" si="30"/>
        <v/>
      </c>
      <c r="H349" s="3"/>
      <c r="I349" s="3"/>
      <c r="J349" s="2"/>
      <c r="K349" s="2"/>
      <c r="L349" s="2"/>
      <c r="M349" s="4"/>
      <c r="N349" s="2"/>
      <c r="O349" s="5" t="str">
        <f t="shared" ca="1" si="31"/>
        <v/>
      </c>
      <c r="P349" s="6"/>
      <c r="V349" t="str">
        <f t="shared" si="32"/>
        <v/>
      </c>
      <c r="W349" t="str">
        <f t="shared" si="33"/>
        <v/>
      </c>
      <c r="X349" t="str">
        <f t="shared" si="34"/>
        <v/>
      </c>
      <c r="Y349" t="str">
        <f t="shared" si="35"/>
        <v/>
      </c>
    </row>
    <row r="350" spans="1:25" ht="14.5" x14ac:dyDescent="0.35">
      <c r="A350" s="3"/>
      <c r="B350" s="2"/>
      <c r="C350" s="2"/>
      <c r="D350" s="4"/>
      <c r="E350" s="2"/>
      <c r="F350" s="2"/>
      <c r="G350" s="3" t="str">
        <f t="shared" si="30"/>
        <v/>
      </c>
      <c r="H350" s="3"/>
      <c r="I350" s="3"/>
      <c r="J350" s="2"/>
      <c r="K350" s="2"/>
      <c r="L350" s="2"/>
      <c r="M350" s="4"/>
      <c r="N350" s="2"/>
      <c r="O350" s="5" t="str">
        <f t="shared" ca="1" si="31"/>
        <v/>
      </c>
      <c r="P350" s="6"/>
      <c r="V350" t="str">
        <f t="shared" si="32"/>
        <v/>
      </c>
      <c r="W350" t="str">
        <f t="shared" si="33"/>
        <v/>
      </c>
      <c r="X350" t="str">
        <f t="shared" si="34"/>
        <v/>
      </c>
      <c r="Y350" t="str">
        <f t="shared" si="35"/>
        <v/>
      </c>
    </row>
    <row r="351" spans="1:25" ht="14.5" x14ac:dyDescent="0.35">
      <c r="A351" s="3"/>
      <c r="B351" s="2"/>
      <c r="C351" s="2"/>
      <c r="D351" s="4"/>
      <c r="E351" s="2"/>
      <c r="F351" s="2"/>
      <c r="G351" s="3" t="str">
        <f t="shared" si="30"/>
        <v/>
      </c>
      <c r="H351" s="3"/>
      <c r="I351" s="3"/>
      <c r="J351" s="2"/>
      <c r="K351" s="2"/>
      <c r="L351" s="2"/>
      <c r="M351" s="4"/>
      <c r="N351" s="2"/>
      <c r="O351" s="5" t="str">
        <f t="shared" ca="1" si="31"/>
        <v/>
      </c>
      <c r="P351" s="6"/>
      <c r="V351" t="str">
        <f t="shared" si="32"/>
        <v/>
      </c>
      <c r="W351" t="str">
        <f t="shared" si="33"/>
        <v/>
      </c>
      <c r="X351" t="str">
        <f t="shared" si="34"/>
        <v/>
      </c>
      <c r="Y351" t="str">
        <f t="shared" si="35"/>
        <v/>
      </c>
    </row>
    <row r="352" spans="1:25" ht="14.5" x14ac:dyDescent="0.35">
      <c r="A352" s="3"/>
      <c r="B352" s="2"/>
      <c r="C352" s="2"/>
      <c r="D352" s="4"/>
      <c r="E352" s="2"/>
      <c r="F352" s="2"/>
      <c r="G352" s="3" t="str">
        <f t="shared" si="30"/>
        <v/>
      </c>
      <c r="H352" s="3"/>
      <c r="I352" s="3"/>
      <c r="J352" s="2"/>
      <c r="K352" s="2"/>
      <c r="L352" s="2"/>
      <c r="M352" s="4"/>
      <c r="N352" s="2"/>
      <c r="O352" s="5" t="str">
        <f t="shared" ca="1" si="31"/>
        <v/>
      </c>
      <c r="P352" s="6"/>
      <c r="V352" t="str">
        <f t="shared" si="32"/>
        <v/>
      </c>
      <c r="W352" t="str">
        <f t="shared" si="33"/>
        <v/>
      </c>
      <c r="X352" t="str">
        <f t="shared" si="34"/>
        <v/>
      </c>
      <c r="Y352" t="str">
        <f t="shared" si="35"/>
        <v/>
      </c>
    </row>
    <row r="353" spans="1:25" ht="14.5" x14ac:dyDescent="0.35">
      <c r="A353" s="3"/>
      <c r="B353" s="2"/>
      <c r="C353" s="2"/>
      <c r="D353" s="4"/>
      <c r="E353" s="2"/>
      <c r="F353" s="2"/>
      <c r="G353" s="3" t="str">
        <f t="shared" si="30"/>
        <v/>
      </c>
      <c r="H353" s="3"/>
      <c r="I353" s="3"/>
      <c r="J353" s="2"/>
      <c r="K353" s="2"/>
      <c r="L353" s="2"/>
      <c r="M353" s="4"/>
      <c r="N353" s="2"/>
      <c r="O353" s="5" t="str">
        <f t="shared" ca="1" si="31"/>
        <v/>
      </c>
      <c r="P353" s="6"/>
      <c r="V353" t="str">
        <f t="shared" si="32"/>
        <v/>
      </c>
      <c r="W353" t="str">
        <f t="shared" si="33"/>
        <v/>
      </c>
      <c r="X353" t="str">
        <f t="shared" si="34"/>
        <v/>
      </c>
      <c r="Y353" t="str">
        <f t="shared" si="35"/>
        <v/>
      </c>
    </row>
    <row r="354" spans="1:25" ht="14.5" x14ac:dyDescent="0.35">
      <c r="A354" s="3"/>
      <c r="B354" s="2"/>
      <c r="C354" s="2"/>
      <c r="D354" s="4"/>
      <c r="E354" s="2"/>
      <c r="F354" s="2"/>
      <c r="G354" s="3" t="str">
        <f t="shared" si="30"/>
        <v/>
      </c>
      <c r="H354" s="3"/>
      <c r="I354" s="3"/>
      <c r="J354" s="2"/>
      <c r="K354" s="2"/>
      <c r="L354" s="2"/>
      <c r="M354" s="4"/>
      <c r="N354" s="2"/>
      <c r="O354" s="5" t="str">
        <f t="shared" ca="1" si="31"/>
        <v/>
      </c>
      <c r="P354" s="6"/>
      <c r="V354" t="str">
        <f t="shared" si="32"/>
        <v/>
      </c>
      <c r="W354" t="str">
        <f t="shared" si="33"/>
        <v/>
      </c>
      <c r="X354" t="str">
        <f t="shared" si="34"/>
        <v/>
      </c>
      <c r="Y354" t="str">
        <f t="shared" si="35"/>
        <v/>
      </c>
    </row>
    <row r="355" spans="1:25" ht="14.5" x14ac:dyDescent="0.35">
      <c r="A355" s="3"/>
      <c r="B355" s="2"/>
      <c r="C355" s="2"/>
      <c r="D355" s="4"/>
      <c r="E355" s="2"/>
      <c r="F355" s="2"/>
      <c r="G355" s="3" t="str">
        <f t="shared" si="30"/>
        <v/>
      </c>
      <c r="H355" s="3"/>
      <c r="I355" s="3"/>
      <c r="J355" s="2"/>
      <c r="K355" s="2"/>
      <c r="L355" s="2"/>
      <c r="M355" s="4"/>
      <c r="N355" s="2"/>
      <c r="O355" s="5" t="str">
        <f t="shared" ca="1" si="31"/>
        <v/>
      </c>
      <c r="P355" s="6"/>
      <c r="V355" t="str">
        <f t="shared" si="32"/>
        <v/>
      </c>
      <c r="W355" t="str">
        <f t="shared" si="33"/>
        <v/>
      </c>
      <c r="X355" t="str">
        <f t="shared" si="34"/>
        <v/>
      </c>
      <c r="Y355" t="str">
        <f t="shared" si="35"/>
        <v/>
      </c>
    </row>
    <row r="356" spans="1:25" ht="14.5" x14ac:dyDescent="0.35">
      <c r="A356" s="3"/>
      <c r="B356" s="2"/>
      <c r="C356" s="2"/>
      <c r="D356" s="4"/>
      <c r="E356" s="2"/>
      <c r="F356" s="2"/>
      <c r="G356" s="3" t="str">
        <f t="shared" si="30"/>
        <v/>
      </c>
      <c r="H356" s="3"/>
      <c r="I356" s="3"/>
      <c r="J356" s="2"/>
      <c r="K356" s="2"/>
      <c r="L356" s="2"/>
      <c r="M356" s="4"/>
      <c r="N356" s="2"/>
      <c r="O356" s="5" t="str">
        <f t="shared" ca="1" si="31"/>
        <v/>
      </c>
      <c r="P356" s="6"/>
      <c r="V356" t="str">
        <f t="shared" si="32"/>
        <v/>
      </c>
      <c r="W356" t="str">
        <f t="shared" si="33"/>
        <v/>
      </c>
      <c r="X356" t="str">
        <f t="shared" si="34"/>
        <v/>
      </c>
      <c r="Y356" t="str">
        <f t="shared" si="35"/>
        <v/>
      </c>
    </row>
    <row r="357" spans="1:25" ht="14.5" x14ac:dyDescent="0.35">
      <c r="A357" s="3"/>
      <c r="B357" s="2"/>
      <c r="C357" s="2"/>
      <c r="D357" s="4"/>
      <c r="E357" s="2"/>
      <c r="F357" s="2"/>
      <c r="G357" s="3" t="str">
        <f t="shared" si="30"/>
        <v/>
      </c>
      <c r="H357" s="3"/>
      <c r="I357" s="3"/>
      <c r="J357" s="2"/>
      <c r="K357" s="2"/>
      <c r="L357" s="2"/>
      <c r="M357" s="4"/>
      <c r="N357" s="2"/>
      <c r="O357" s="5" t="str">
        <f t="shared" ca="1" si="31"/>
        <v/>
      </c>
      <c r="P357" s="6"/>
      <c r="V357" t="str">
        <f t="shared" si="32"/>
        <v/>
      </c>
      <c r="W357" t="str">
        <f t="shared" si="33"/>
        <v/>
      </c>
      <c r="X357" t="str">
        <f t="shared" si="34"/>
        <v/>
      </c>
      <c r="Y357" t="str">
        <f t="shared" si="35"/>
        <v/>
      </c>
    </row>
    <row r="358" spans="1:25" ht="14.5" x14ac:dyDescent="0.35">
      <c r="A358" s="3"/>
      <c r="B358" s="2"/>
      <c r="C358" s="2"/>
      <c r="D358" s="4"/>
      <c r="E358" s="2"/>
      <c r="F358" s="2"/>
      <c r="G358" s="3" t="str">
        <f t="shared" si="30"/>
        <v/>
      </c>
      <c r="H358" s="3"/>
      <c r="I358" s="3"/>
      <c r="J358" s="2"/>
      <c r="K358" s="2"/>
      <c r="L358" s="2"/>
      <c r="M358" s="4"/>
      <c r="N358" s="2"/>
      <c r="O358" s="5" t="str">
        <f t="shared" ca="1" si="31"/>
        <v/>
      </c>
      <c r="P358" s="6"/>
      <c r="V358" t="str">
        <f t="shared" si="32"/>
        <v/>
      </c>
      <c r="W358" t="str">
        <f t="shared" si="33"/>
        <v/>
      </c>
      <c r="X358" t="str">
        <f t="shared" si="34"/>
        <v/>
      </c>
      <c r="Y358" t="str">
        <f t="shared" si="35"/>
        <v/>
      </c>
    </row>
    <row r="359" spans="1:25" ht="14.5" x14ac:dyDescent="0.35">
      <c r="A359" s="3"/>
      <c r="B359" s="2"/>
      <c r="C359" s="2"/>
      <c r="D359" s="4"/>
      <c r="E359" s="2"/>
      <c r="F359" s="2"/>
      <c r="G359" s="3" t="str">
        <f t="shared" si="30"/>
        <v/>
      </c>
      <c r="H359" s="3"/>
      <c r="I359" s="3"/>
      <c r="J359" s="2"/>
      <c r="K359" s="2"/>
      <c r="L359" s="2"/>
      <c r="M359" s="4"/>
      <c r="N359" s="2"/>
      <c r="O359" s="5" t="str">
        <f t="shared" ca="1" si="31"/>
        <v/>
      </c>
      <c r="P359" s="6"/>
      <c r="V359" t="str">
        <f t="shared" si="32"/>
        <v/>
      </c>
      <c r="W359" t="str">
        <f t="shared" si="33"/>
        <v/>
      </c>
      <c r="X359" t="str">
        <f t="shared" si="34"/>
        <v/>
      </c>
      <c r="Y359" t="str">
        <f t="shared" si="35"/>
        <v/>
      </c>
    </row>
    <row r="360" spans="1:25" ht="14.5" x14ac:dyDescent="0.35">
      <c r="A360" s="3"/>
      <c r="B360" s="2"/>
      <c r="C360" s="2"/>
      <c r="D360" s="4"/>
      <c r="E360" s="2"/>
      <c r="F360" s="2"/>
      <c r="G360" s="3" t="str">
        <f t="shared" si="30"/>
        <v/>
      </c>
      <c r="H360" s="3"/>
      <c r="I360" s="3"/>
      <c r="J360" s="2"/>
      <c r="K360" s="2"/>
      <c r="L360" s="2"/>
      <c r="M360" s="4"/>
      <c r="N360" s="2"/>
      <c r="O360" s="5" t="str">
        <f t="shared" ca="1" si="31"/>
        <v/>
      </c>
      <c r="P360" s="6"/>
      <c r="V360" t="str">
        <f t="shared" si="32"/>
        <v/>
      </c>
      <c r="W360" t="str">
        <f t="shared" si="33"/>
        <v/>
      </c>
      <c r="X360" t="str">
        <f t="shared" si="34"/>
        <v/>
      </c>
      <c r="Y360" t="str">
        <f t="shared" si="35"/>
        <v/>
      </c>
    </row>
    <row r="361" spans="1:25" ht="14.5" x14ac:dyDescent="0.35">
      <c r="A361" s="3"/>
      <c r="B361" s="2"/>
      <c r="C361" s="2"/>
      <c r="D361" s="4"/>
      <c r="E361" s="2"/>
      <c r="F361" s="2"/>
      <c r="G361" s="3" t="str">
        <f t="shared" si="30"/>
        <v/>
      </c>
      <c r="H361" s="3"/>
      <c r="I361" s="3"/>
      <c r="J361" s="2"/>
      <c r="K361" s="2"/>
      <c r="L361" s="2"/>
      <c r="M361" s="4"/>
      <c r="N361" s="2"/>
      <c r="O361" s="5" t="str">
        <f t="shared" ca="1" si="31"/>
        <v/>
      </c>
      <c r="P361" s="6"/>
      <c r="V361" t="str">
        <f t="shared" si="32"/>
        <v/>
      </c>
      <c r="W361" t="str">
        <f t="shared" si="33"/>
        <v/>
      </c>
      <c r="X361" t="str">
        <f t="shared" si="34"/>
        <v/>
      </c>
      <c r="Y361" t="str">
        <f t="shared" si="35"/>
        <v/>
      </c>
    </row>
    <row r="362" spans="1:25" ht="14.5" x14ac:dyDescent="0.35">
      <c r="A362" s="3"/>
      <c r="B362" s="2"/>
      <c r="C362" s="2"/>
      <c r="D362" s="4"/>
      <c r="E362" s="2"/>
      <c r="F362" s="2"/>
      <c r="G362" s="3" t="str">
        <f t="shared" si="30"/>
        <v/>
      </c>
      <c r="H362" s="3"/>
      <c r="I362" s="3"/>
      <c r="J362" s="2"/>
      <c r="K362" s="2"/>
      <c r="L362" s="2"/>
      <c r="M362" s="4"/>
      <c r="N362" s="2"/>
      <c r="O362" s="5" t="str">
        <f t="shared" ca="1" si="31"/>
        <v/>
      </c>
      <c r="P362" s="6"/>
      <c r="V362" t="str">
        <f t="shared" si="32"/>
        <v/>
      </c>
      <c r="W362" t="str">
        <f t="shared" si="33"/>
        <v/>
      </c>
      <c r="X362" t="str">
        <f t="shared" si="34"/>
        <v/>
      </c>
      <c r="Y362" t="str">
        <f t="shared" si="35"/>
        <v/>
      </c>
    </row>
    <row r="363" spans="1:25" ht="14.5" x14ac:dyDescent="0.35">
      <c r="A363" s="3"/>
      <c r="B363" s="2"/>
      <c r="C363" s="2"/>
      <c r="D363" s="4"/>
      <c r="E363" s="2"/>
      <c r="F363" s="2"/>
      <c r="G363" s="3" t="str">
        <f t="shared" si="30"/>
        <v/>
      </c>
      <c r="H363" s="3"/>
      <c r="I363" s="3"/>
      <c r="J363" s="2"/>
      <c r="K363" s="2"/>
      <c r="L363" s="2"/>
      <c r="M363" s="4"/>
      <c r="N363" s="2"/>
      <c r="O363" s="5" t="str">
        <f t="shared" ca="1" si="31"/>
        <v/>
      </c>
      <c r="P363" s="6"/>
      <c r="V363" t="str">
        <f t="shared" si="32"/>
        <v/>
      </c>
      <c r="W363" t="str">
        <f t="shared" si="33"/>
        <v/>
      </c>
      <c r="X363" t="str">
        <f t="shared" si="34"/>
        <v/>
      </c>
      <c r="Y363" t="str">
        <f t="shared" si="35"/>
        <v/>
      </c>
    </row>
    <row r="364" spans="1:25" ht="14.5" x14ac:dyDescent="0.35">
      <c r="A364" s="3"/>
      <c r="B364" s="2"/>
      <c r="C364" s="2"/>
      <c r="D364" s="4"/>
      <c r="E364" s="2"/>
      <c r="F364" s="2"/>
      <c r="G364" s="3" t="str">
        <f t="shared" si="30"/>
        <v/>
      </c>
      <c r="H364" s="3"/>
      <c r="I364" s="3"/>
      <c r="J364" s="2"/>
      <c r="K364" s="2"/>
      <c r="L364" s="2"/>
      <c r="M364" s="4"/>
      <c r="N364" s="2"/>
      <c r="O364" s="5" t="str">
        <f t="shared" ca="1" si="31"/>
        <v/>
      </c>
      <c r="P364" s="6"/>
      <c r="V364" t="str">
        <f t="shared" si="32"/>
        <v/>
      </c>
      <c r="W364" t="str">
        <f t="shared" si="33"/>
        <v/>
      </c>
      <c r="X364" t="str">
        <f t="shared" si="34"/>
        <v/>
      </c>
      <c r="Y364" t="str">
        <f t="shared" si="35"/>
        <v/>
      </c>
    </row>
    <row r="365" spans="1:25" ht="14.5" x14ac:dyDescent="0.35">
      <c r="A365" s="3"/>
      <c r="B365" s="2"/>
      <c r="C365" s="2"/>
      <c r="D365" s="4"/>
      <c r="E365" s="2"/>
      <c r="F365" s="2"/>
      <c r="G365" s="3" t="str">
        <f t="shared" si="30"/>
        <v/>
      </c>
      <c r="H365" s="3"/>
      <c r="I365" s="3"/>
      <c r="J365" s="2"/>
      <c r="K365" s="2"/>
      <c r="L365" s="2"/>
      <c r="M365" s="4"/>
      <c r="N365" s="2"/>
      <c r="O365" s="5" t="str">
        <f t="shared" ca="1" si="31"/>
        <v/>
      </c>
      <c r="P365" s="6"/>
      <c r="V365" t="str">
        <f t="shared" si="32"/>
        <v/>
      </c>
      <c r="W365" t="str">
        <f t="shared" si="33"/>
        <v/>
      </c>
      <c r="X365" t="str">
        <f t="shared" si="34"/>
        <v/>
      </c>
      <c r="Y365" t="str">
        <f t="shared" si="35"/>
        <v/>
      </c>
    </row>
    <row r="366" spans="1:25" ht="14.5" x14ac:dyDescent="0.35">
      <c r="A366" s="3"/>
      <c r="B366" s="2"/>
      <c r="C366" s="2"/>
      <c r="D366" s="4"/>
      <c r="E366" s="2"/>
      <c r="F366" s="2"/>
      <c r="G366" s="3" t="str">
        <f t="shared" si="30"/>
        <v/>
      </c>
      <c r="H366" s="3"/>
      <c r="I366" s="3"/>
      <c r="J366" s="2"/>
      <c r="K366" s="2"/>
      <c r="L366" s="2"/>
      <c r="M366" s="4"/>
      <c r="N366" s="2"/>
      <c r="O366" s="5" t="str">
        <f t="shared" ca="1" si="31"/>
        <v/>
      </c>
      <c r="P366" s="6"/>
      <c r="V366" t="str">
        <f t="shared" si="32"/>
        <v/>
      </c>
      <c r="W366" t="str">
        <f t="shared" si="33"/>
        <v/>
      </c>
      <c r="X366" t="str">
        <f t="shared" si="34"/>
        <v/>
      </c>
      <c r="Y366" t="str">
        <f t="shared" si="35"/>
        <v/>
      </c>
    </row>
    <row r="367" spans="1:25" ht="14.5" x14ac:dyDescent="0.35">
      <c r="A367" s="3"/>
      <c r="B367" s="2"/>
      <c r="C367" s="2"/>
      <c r="D367" s="4"/>
      <c r="E367" s="2"/>
      <c r="F367" s="2"/>
      <c r="G367" s="3" t="str">
        <f t="shared" si="30"/>
        <v/>
      </c>
      <c r="H367" s="3"/>
      <c r="I367" s="3"/>
      <c r="J367" s="2"/>
      <c r="K367" s="2"/>
      <c r="L367" s="2"/>
      <c r="M367" s="4"/>
      <c r="N367" s="2"/>
      <c r="O367" s="5" t="str">
        <f t="shared" ca="1" si="31"/>
        <v/>
      </c>
      <c r="P367" s="6"/>
      <c r="V367" t="str">
        <f t="shared" si="32"/>
        <v/>
      </c>
      <c r="W367" t="str">
        <f t="shared" si="33"/>
        <v/>
      </c>
      <c r="X367" t="str">
        <f t="shared" si="34"/>
        <v/>
      </c>
      <c r="Y367" t="str">
        <f t="shared" si="35"/>
        <v/>
      </c>
    </row>
    <row r="368" spans="1:25" ht="14.5" x14ac:dyDescent="0.35">
      <c r="A368" s="3"/>
      <c r="B368" s="2"/>
      <c r="C368" s="2"/>
      <c r="D368" s="4"/>
      <c r="E368" s="2"/>
      <c r="F368" s="2"/>
      <c r="G368" s="3" t="str">
        <f t="shared" si="30"/>
        <v/>
      </c>
      <c r="H368" s="3"/>
      <c r="I368" s="3"/>
      <c r="J368" s="2"/>
      <c r="K368" s="2"/>
      <c r="L368" s="2"/>
      <c r="M368" s="4"/>
      <c r="N368" s="2"/>
      <c r="O368" s="5" t="str">
        <f t="shared" ca="1" si="31"/>
        <v/>
      </c>
      <c r="P368" s="6"/>
      <c r="V368" t="str">
        <f t="shared" si="32"/>
        <v/>
      </c>
      <c r="W368" t="str">
        <f t="shared" si="33"/>
        <v/>
      </c>
      <c r="X368" t="str">
        <f t="shared" si="34"/>
        <v/>
      </c>
      <c r="Y368" t="str">
        <f t="shared" si="35"/>
        <v/>
      </c>
    </row>
    <row r="369" spans="1:25" ht="14.5" x14ac:dyDescent="0.35">
      <c r="A369" s="3"/>
      <c r="B369" s="2"/>
      <c r="C369" s="2"/>
      <c r="D369" s="4"/>
      <c r="E369" s="2"/>
      <c r="F369" s="2"/>
      <c r="G369" s="3" t="str">
        <f t="shared" si="30"/>
        <v/>
      </c>
      <c r="H369" s="3"/>
      <c r="I369" s="3"/>
      <c r="J369" s="2"/>
      <c r="K369" s="2"/>
      <c r="L369" s="2"/>
      <c r="M369" s="4"/>
      <c r="N369" s="2"/>
      <c r="O369" s="5" t="str">
        <f t="shared" ca="1" si="31"/>
        <v/>
      </c>
      <c r="P369" s="6"/>
      <c r="V369" t="str">
        <f t="shared" si="32"/>
        <v/>
      </c>
      <c r="W369" t="str">
        <f t="shared" si="33"/>
        <v/>
      </c>
      <c r="X369" t="str">
        <f t="shared" si="34"/>
        <v/>
      </c>
      <c r="Y369" t="str">
        <f t="shared" si="35"/>
        <v/>
      </c>
    </row>
    <row r="370" spans="1:25" ht="14.5" x14ac:dyDescent="0.35">
      <c r="A370" s="3"/>
      <c r="B370" s="2"/>
      <c r="C370" s="2"/>
      <c r="D370" s="4"/>
      <c r="E370" s="2"/>
      <c r="F370" s="2"/>
      <c r="G370" s="3" t="str">
        <f t="shared" si="30"/>
        <v/>
      </c>
      <c r="H370" s="3"/>
      <c r="I370" s="3"/>
      <c r="J370" s="2"/>
      <c r="K370" s="2"/>
      <c r="L370" s="2"/>
      <c r="M370" s="4"/>
      <c r="N370" s="2"/>
      <c r="O370" s="5" t="str">
        <f t="shared" ca="1" si="31"/>
        <v/>
      </c>
      <c r="P370" s="6"/>
      <c r="V370" t="str">
        <f t="shared" si="32"/>
        <v/>
      </c>
      <c r="W370" t="str">
        <f t="shared" si="33"/>
        <v/>
      </c>
      <c r="X370" t="str">
        <f t="shared" si="34"/>
        <v/>
      </c>
      <c r="Y370" t="str">
        <f t="shared" si="35"/>
        <v/>
      </c>
    </row>
    <row r="371" spans="1:25" ht="14.5" x14ac:dyDescent="0.35">
      <c r="A371" s="3"/>
      <c r="B371" s="2"/>
      <c r="C371" s="2"/>
      <c r="D371" s="4"/>
      <c r="E371" s="2"/>
      <c r="F371" s="2"/>
      <c r="G371" s="3" t="str">
        <f t="shared" si="30"/>
        <v/>
      </c>
      <c r="H371" s="3"/>
      <c r="I371" s="3"/>
      <c r="J371" s="2"/>
      <c r="K371" s="2"/>
      <c r="L371" s="2"/>
      <c r="M371" s="4"/>
      <c r="N371" s="2"/>
      <c r="O371" s="5" t="str">
        <f t="shared" ca="1" si="31"/>
        <v/>
      </c>
      <c r="P371" s="6"/>
      <c r="V371" t="str">
        <f t="shared" si="32"/>
        <v/>
      </c>
      <c r="W371" t="str">
        <f t="shared" si="33"/>
        <v/>
      </c>
      <c r="X371" t="str">
        <f t="shared" si="34"/>
        <v/>
      </c>
      <c r="Y371" t="str">
        <f t="shared" si="35"/>
        <v/>
      </c>
    </row>
    <row r="372" spans="1:25" ht="14.5" x14ac:dyDescent="0.35">
      <c r="A372" s="3"/>
      <c r="B372" s="2"/>
      <c r="C372" s="2"/>
      <c r="D372" s="4"/>
      <c r="E372" s="2"/>
      <c r="F372" s="2"/>
      <c r="G372" s="3" t="str">
        <f t="shared" si="30"/>
        <v/>
      </c>
      <c r="H372" s="3"/>
      <c r="I372" s="3"/>
      <c r="J372" s="2"/>
      <c r="K372" s="2"/>
      <c r="L372" s="2"/>
      <c r="M372" s="4"/>
      <c r="N372" s="2"/>
      <c r="O372" s="5" t="str">
        <f t="shared" ca="1" si="31"/>
        <v/>
      </c>
      <c r="P372" s="6"/>
      <c r="V372" t="str">
        <f t="shared" si="32"/>
        <v/>
      </c>
      <c r="W372" t="str">
        <f t="shared" si="33"/>
        <v/>
      </c>
      <c r="X372" t="str">
        <f t="shared" si="34"/>
        <v/>
      </c>
      <c r="Y372" t="str">
        <f t="shared" si="35"/>
        <v/>
      </c>
    </row>
    <row r="373" spans="1:25" ht="14.5" x14ac:dyDescent="0.35">
      <c r="A373" s="3"/>
      <c r="B373" s="2"/>
      <c r="C373" s="2"/>
      <c r="D373" s="4"/>
      <c r="E373" s="2"/>
      <c r="F373" s="2"/>
      <c r="G373" s="3" t="str">
        <f t="shared" si="30"/>
        <v/>
      </c>
      <c r="H373" s="3"/>
      <c r="I373" s="3"/>
      <c r="J373" s="2"/>
      <c r="K373" s="2"/>
      <c r="L373" s="2"/>
      <c r="M373" s="4"/>
      <c r="N373" s="2"/>
      <c r="O373" s="5" t="str">
        <f t="shared" ca="1" si="31"/>
        <v/>
      </c>
      <c r="P373" s="6"/>
      <c r="V373" t="str">
        <f t="shared" si="32"/>
        <v/>
      </c>
      <c r="W373" t="str">
        <f t="shared" si="33"/>
        <v/>
      </c>
      <c r="X373" t="str">
        <f t="shared" si="34"/>
        <v/>
      </c>
      <c r="Y373" t="str">
        <f t="shared" si="35"/>
        <v/>
      </c>
    </row>
    <row r="374" spans="1:25" ht="14.5" x14ac:dyDescent="0.35">
      <c r="A374" s="3"/>
      <c r="B374" s="2"/>
      <c r="C374" s="2"/>
      <c r="D374" s="4"/>
      <c r="E374" s="2"/>
      <c r="F374" s="2"/>
      <c r="G374" s="3" t="str">
        <f t="shared" si="30"/>
        <v/>
      </c>
      <c r="H374" s="3"/>
      <c r="I374" s="3"/>
      <c r="J374" s="2"/>
      <c r="K374" s="2"/>
      <c r="L374" s="2"/>
      <c r="M374" s="4"/>
      <c r="N374" s="2"/>
      <c r="O374" s="5" t="str">
        <f t="shared" ca="1" si="31"/>
        <v/>
      </c>
      <c r="P374" s="6"/>
      <c r="V374" t="str">
        <f t="shared" si="32"/>
        <v/>
      </c>
      <c r="W374" t="str">
        <f t="shared" si="33"/>
        <v/>
      </c>
      <c r="X374" t="str">
        <f t="shared" si="34"/>
        <v/>
      </c>
      <c r="Y374" t="str">
        <f t="shared" si="35"/>
        <v/>
      </c>
    </row>
    <row r="375" spans="1:25" ht="14.5" x14ac:dyDescent="0.35">
      <c r="A375" s="3"/>
      <c r="B375" s="2"/>
      <c r="C375" s="2"/>
      <c r="D375" s="4"/>
      <c r="E375" s="2"/>
      <c r="F375" s="2"/>
      <c r="G375" s="3" t="str">
        <f t="shared" si="30"/>
        <v/>
      </c>
      <c r="H375" s="3"/>
      <c r="I375" s="3"/>
      <c r="J375" s="2"/>
      <c r="K375" s="2"/>
      <c r="L375" s="2"/>
      <c r="M375" s="4"/>
      <c r="N375" s="2"/>
      <c r="O375" s="5" t="str">
        <f t="shared" ca="1" si="31"/>
        <v/>
      </c>
      <c r="P375" s="6"/>
      <c r="V375" t="str">
        <f t="shared" si="32"/>
        <v/>
      </c>
      <c r="W375" t="str">
        <f t="shared" si="33"/>
        <v/>
      </c>
      <c r="X375" t="str">
        <f t="shared" si="34"/>
        <v/>
      </c>
      <c r="Y375" t="str">
        <f t="shared" si="35"/>
        <v/>
      </c>
    </row>
    <row r="376" spans="1:25" ht="14.5" x14ac:dyDescent="0.35">
      <c r="A376" s="3"/>
      <c r="B376" s="2"/>
      <c r="C376" s="2"/>
      <c r="D376" s="4"/>
      <c r="E376" s="2"/>
      <c r="F376" s="2"/>
      <c r="G376" s="3" t="str">
        <f t="shared" si="30"/>
        <v/>
      </c>
      <c r="H376" s="3"/>
      <c r="I376" s="3"/>
      <c r="J376" s="2"/>
      <c r="K376" s="2"/>
      <c r="L376" s="2"/>
      <c r="M376" s="4"/>
      <c r="N376" s="2"/>
      <c r="O376" s="5" t="str">
        <f t="shared" ca="1" si="31"/>
        <v/>
      </c>
      <c r="P376" s="6"/>
      <c r="V376" t="str">
        <f t="shared" si="32"/>
        <v/>
      </c>
      <c r="W376" t="str">
        <f t="shared" si="33"/>
        <v/>
      </c>
      <c r="X376" t="str">
        <f t="shared" si="34"/>
        <v/>
      </c>
      <c r="Y376" t="str">
        <f t="shared" si="35"/>
        <v/>
      </c>
    </row>
    <row r="377" spans="1:25" ht="14.5" x14ac:dyDescent="0.35">
      <c r="A377" s="3"/>
      <c r="B377" s="2"/>
      <c r="C377" s="2"/>
      <c r="D377" s="4"/>
      <c r="E377" s="2"/>
      <c r="F377" s="2"/>
      <c r="G377" s="3" t="str">
        <f t="shared" si="30"/>
        <v/>
      </c>
      <c r="H377" s="3"/>
      <c r="I377" s="3"/>
      <c r="J377" s="2"/>
      <c r="K377" s="2"/>
      <c r="L377" s="2"/>
      <c r="M377" s="4"/>
      <c r="N377" s="2"/>
      <c r="O377" s="5" t="str">
        <f t="shared" ca="1" si="31"/>
        <v/>
      </c>
      <c r="P377" s="6"/>
      <c r="V377" t="str">
        <f t="shared" si="32"/>
        <v/>
      </c>
      <c r="W377" t="str">
        <f t="shared" si="33"/>
        <v/>
      </c>
      <c r="X377" t="str">
        <f t="shared" si="34"/>
        <v/>
      </c>
      <c r="Y377" t="str">
        <f t="shared" si="35"/>
        <v/>
      </c>
    </row>
    <row r="378" spans="1:25" ht="14.5" x14ac:dyDescent="0.35">
      <c r="A378" s="3"/>
      <c r="B378" s="2"/>
      <c r="C378" s="2"/>
      <c r="D378" s="4"/>
      <c r="E378" s="2"/>
      <c r="F378" s="2"/>
      <c r="G378" s="3" t="str">
        <f t="shared" si="30"/>
        <v/>
      </c>
      <c r="H378" s="3"/>
      <c r="I378" s="3"/>
      <c r="J378" s="2"/>
      <c r="K378" s="2"/>
      <c r="L378" s="2"/>
      <c r="M378" s="4"/>
      <c r="N378" s="2"/>
      <c r="O378" s="5" t="str">
        <f t="shared" ca="1" si="31"/>
        <v/>
      </c>
      <c r="P378" s="6"/>
      <c r="V378" t="str">
        <f t="shared" si="32"/>
        <v/>
      </c>
      <c r="W378" t="str">
        <f t="shared" si="33"/>
        <v/>
      </c>
      <c r="X378" t="str">
        <f t="shared" si="34"/>
        <v/>
      </c>
      <c r="Y378" t="str">
        <f t="shared" si="35"/>
        <v/>
      </c>
    </row>
    <row r="379" spans="1:25" ht="14.5" x14ac:dyDescent="0.35">
      <c r="A379" s="3"/>
      <c r="B379" s="2"/>
      <c r="C379" s="2"/>
      <c r="D379" s="4"/>
      <c r="E379" s="2"/>
      <c r="F379" s="2"/>
      <c r="G379" s="3" t="str">
        <f t="shared" si="30"/>
        <v/>
      </c>
      <c r="H379" s="3"/>
      <c r="I379" s="3"/>
      <c r="J379" s="2"/>
      <c r="K379" s="2"/>
      <c r="L379" s="2"/>
      <c r="M379" s="4"/>
      <c r="N379" s="2"/>
      <c r="O379" s="5" t="str">
        <f t="shared" ca="1" si="31"/>
        <v/>
      </c>
      <c r="P379" s="6"/>
      <c r="V379" t="str">
        <f t="shared" si="32"/>
        <v/>
      </c>
      <c r="W379" t="str">
        <f t="shared" si="33"/>
        <v/>
      </c>
      <c r="X379" t="str">
        <f t="shared" si="34"/>
        <v/>
      </c>
      <c r="Y379" t="str">
        <f t="shared" si="35"/>
        <v/>
      </c>
    </row>
    <row r="380" spans="1:25" ht="14.5" x14ac:dyDescent="0.35">
      <c r="A380" s="3"/>
      <c r="B380" s="2"/>
      <c r="C380" s="2"/>
      <c r="D380" s="4"/>
      <c r="E380" s="2"/>
      <c r="F380" s="2"/>
      <c r="G380" s="3" t="str">
        <f t="shared" si="30"/>
        <v/>
      </c>
      <c r="H380" s="3"/>
      <c r="I380" s="3"/>
      <c r="J380" s="2"/>
      <c r="K380" s="2"/>
      <c r="L380" s="2"/>
      <c r="M380" s="4"/>
      <c r="N380" s="2"/>
      <c r="O380" s="5" t="str">
        <f t="shared" ca="1" si="31"/>
        <v/>
      </c>
      <c r="P380" s="6"/>
      <c r="V380" t="str">
        <f t="shared" si="32"/>
        <v/>
      </c>
      <c r="W380" t="str">
        <f t="shared" si="33"/>
        <v/>
      </c>
      <c r="X380" t="str">
        <f t="shared" si="34"/>
        <v/>
      </c>
      <c r="Y380" t="str">
        <f t="shared" si="35"/>
        <v/>
      </c>
    </row>
    <row r="381" spans="1:25" ht="14.5" x14ac:dyDescent="0.35">
      <c r="A381" s="3"/>
      <c r="B381" s="2"/>
      <c r="C381" s="2"/>
      <c r="D381" s="4"/>
      <c r="E381" s="2"/>
      <c r="F381" s="2"/>
      <c r="G381" s="3" t="str">
        <f t="shared" si="30"/>
        <v/>
      </c>
      <c r="H381" s="3"/>
      <c r="I381" s="3"/>
      <c r="J381" s="2"/>
      <c r="K381" s="2"/>
      <c r="L381" s="2"/>
      <c r="M381" s="4"/>
      <c r="N381" s="2"/>
      <c r="O381" s="5" t="str">
        <f t="shared" ca="1" si="31"/>
        <v/>
      </c>
      <c r="P381" s="6"/>
      <c r="V381" t="str">
        <f t="shared" si="32"/>
        <v/>
      </c>
      <c r="W381" t="str">
        <f t="shared" si="33"/>
        <v/>
      </c>
      <c r="X381" t="str">
        <f t="shared" si="34"/>
        <v/>
      </c>
      <c r="Y381" t="str">
        <f t="shared" si="35"/>
        <v/>
      </c>
    </row>
    <row r="382" spans="1:25" ht="14.5" x14ac:dyDescent="0.35">
      <c r="A382" s="3"/>
      <c r="B382" s="2"/>
      <c r="C382" s="2"/>
      <c r="D382" s="4"/>
      <c r="E382" s="2"/>
      <c r="F382" s="2"/>
      <c r="G382" s="3" t="str">
        <f t="shared" si="30"/>
        <v/>
      </c>
      <c r="H382" s="3"/>
      <c r="I382" s="3"/>
      <c r="J382" s="2"/>
      <c r="K382" s="2"/>
      <c r="L382" s="2"/>
      <c r="M382" s="4"/>
      <c r="N382" s="2"/>
      <c r="O382" s="5" t="str">
        <f t="shared" ca="1" si="31"/>
        <v/>
      </c>
      <c r="P382" s="6"/>
      <c r="V382" t="str">
        <f t="shared" si="32"/>
        <v/>
      </c>
      <c r="W382" t="str">
        <f t="shared" si="33"/>
        <v/>
      </c>
      <c r="X382" t="str">
        <f t="shared" si="34"/>
        <v/>
      </c>
      <c r="Y382" t="str">
        <f t="shared" si="35"/>
        <v/>
      </c>
    </row>
    <row r="383" spans="1:25" ht="14.5" x14ac:dyDescent="0.35">
      <c r="A383" s="3"/>
      <c r="B383" s="2"/>
      <c r="C383" s="2"/>
      <c r="D383" s="4"/>
      <c r="E383" s="2"/>
      <c r="F383" s="2"/>
      <c r="G383" s="3" t="str">
        <f t="shared" si="30"/>
        <v/>
      </c>
      <c r="H383" s="3"/>
      <c r="I383" s="3"/>
      <c r="J383" s="2"/>
      <c r="K383" s="2"/>
      <c r="L383" s="2"/>
      <c r="M383" s="4"/>
      <c r="N383" s="2"/>
      <c r="O383" s="5" t="str">
        <f t="shared" ca="1" si="31"/>
        <v/>
      </c>
      <c r="P383" s="6"/>
      <c r="V383" t="str">
        <f t="shared" si="32"/>
        <v/>
      </c>
      <c r="W383" t="str">
        <f t="shared" si="33"/>
        <v/>
      </c>
      <c r="X383" t="str">
        <f t="shared" si="34"/>
        <v/>
      </c>
      <c r="Y383" t="str">
        <f t="shared" si="35"/>
        <v/>
      </c>
    </row>
    <row r="384" spans="1:25" ht="14.5" x14ac:dyDescent="0.35">
      <c r="A384" s="3"/>
      <c r="B384" s="2"/>
      <c r="C384" s="2"/>
      <c r="D384" s="4"/>
      <c r="E384" s="2"/>
      <c r="F384" s="2"/>
      <c r="G384" s="3" t="str">
        <f t="shared" si="30"/>
        <v/>
      </c>
      <c r="H384" s="3"/>
      <c r="I384" s="3"/>
      <c r="J384" s="2"/>
      <c r="K384" s="2"/>
      <c r="L384" s="2"/>
      <c r="M384" s="4"/>
      <c r="N384" s="2"/>
      <c r="O384" s="5" t="str">
        <f t="shared" ca="1" si="31"/>
        <v/>
      </c>
      <c r="P384" s="6"/>
      <c r="V384" t="str">
        <f t="shared" si="32"/>
        <v/>
      </c>
      <c r="W384" t="str">
        <f t="shared" si="33"/>
        <v/>
      </c>
      <c r="X384" t="str">
        <f t="shared" si="34"/>
        <v/>
      </c>
      <c r="Y384" t="str">
        <f t="shared" si="35"/>
        <v/>
      </c>
    </row>
    <row r="385" spans="1:25" ht="14.5" x14ac:dyDescent="0.35">
      <c r="A385" s="3"/>
      <c r="B385" s="2"/>
      <c r="C385" s="2"/>
      <c r="D385" s="4"/>
      <c r="E385" s="2"/>
      <c r="F385" s="2"/>
      <c r="G385" s="3" t="str">
        <f t="shared" si="30"/>
        <v/>
      </c>
      <c r="H385" s="3"/>
      <c r="I385" s="3"/>
      <c r="J385" s="2"/>
      <c r="K385" s="2"/>
      <c r="L385" s="2"/>
      <c r="M385" s="4"/>
      <c r="N385" s="2"/>
      <c r="O385" s="5" t="str">
        <f t="shared" ca="1" si="31"/>
        <v/>
      </c>
      <c r="P385" s="6"/>
      <c r="V385" t="str">
        <f t="shared" si="32"/>
        <v/>
      </c>
      <c r="W385" t="str">
        <f t="shared" si="33"/>
        <v/>
      </c>
      <c r="X385" t="str">
        <f t="shared" si="34"/>
        <v/>
      </c>
      <c r="Y385" t="str">
        <f t="shared" si="35"/>
        <v/>
      </c>
    </row>
    <row r="386" spans="1:25" ht="14.5" x14ac:dyDescent="0.35">
      <c r="A386" s="3"/>
      <c r="B386" s="2"/>
      <c r="C386" s="2"/>
      <c r="D386" s="4"/>
      <c r="E386" s="2"/>
      <c r="F386" s="2"/>
      <c r="G386" s="3" t="str">
        <f t="shared" ref="G386:G449" si="36">IF(COUNTIF($A$2:$A$1500,A386&amp;".*")=0,"",COUNTIF($A$2:$A$1500,A386&amp;".*"))</f>
        <v/>
      </c>
      <c r="H386" s="3"/>
      <c r="I386" s="3"/>
      <c r="J386" s="2"/>
      <c r="K386" s="2"/>
      <c r="L386" s="2"/>
      <c r="M386" s="4"/>
      <c r="N386" s="2"/>
      <c r="O386" s="5" t="str">
        <f t="shared" ref="O386:O449" ca="1" si="37">IF(M386="","",INT(M386)-TODAY())</f>
        <v/>
      </c>
      <c r="P386" s="6"/>
      <c r="V386" t="str">
        <f t="shared" ref="V386:V449" si="38">IF(M386="","",M386+Q386/1000000)</f>
        <v/>
      </c>
      <c r="W386" t="str">
        <f t="shared" ref="W386:W449" si="39">IF(U386="","",IF(M386="",9999999+Q386/1000000,M386+Q386/1000000))</f>
        <v/>
      </c>
      <c r="X386" t="str">
        <f t="shared" ref="X386:X449" si="40">IF(U386="","",SUMPRODUCT(($U$2:$U$1500=U386)*($W$2:$W$1500&lt;=W386)))</f>
        <v/>
      </c>
      <c r="Y386" t="str">
        <f t="shared" ref="Y386:Y449" si="41">IF(U386="","",U386&amp;"|"&amp;X386)</f>
        <v/>
      </c>
    </row>
    <row r="387" spans="1:25" ht="14.5" x14ac:dyDescent="0.35">
      <c r="A387" s="3"/>
      <c r="B387" s="2"/>
      <c r="C387" s="2"/>
      <c r="D387" s="4"/>
      <c r="E387" s="2"/>
      <c r="F387" s="2"/>
      <c r="G387" s="3" t="str">
        <f t="shared" si="36"/>
        <v/>
      </c>
      <c r="H387" s="3"/>
      <c r="I387" s="3"/>
      <c r="J387" s="2"/>
      <c r="K387" s="2"/>
      <c r="L387" s="2"/>
      <c r="M387" s="4"/>
      <c r="N387" s="2"/>
      <c r="O387" s="5" t="str">
        <f t="shared" ca="1" si="37"/>
        <v/>
      </c>
      <c r="P387" s="6"/>
      <c r="V387" t="str">
        <f t="shared" si="38"/>
        <v/>
      </c>
      <c r="W387" t="str">
        <f t="shared" si="39"/>
        <v/>
      </c>
      <c r="X387" t="str">
        <f t="shared" si="40"/>
        <v/>
      </c>
      <c r="Y387" t="str">
        <f t="shared" si="41"/>
        <v/>
      </c>
    </row>
    <row r="388" spans="1:25" ht="14.5" x14ac:dyDescent="0.35">
      <c r="A388" s="3"/>
      <c r="B388" s="2"/>
      <c r="C388" s="2"/>
      <c r="D388" s="4"/>
      <c r="E388" s="2"/>
      <c r="F388" s="2"/>
      <c r="G388" s="3" t="str">
        <f t="shared" si="36"/>
        <v/>
      </c>
      <c r="H388" s="3"/>
      <c r="I388" s="3"/>
      <c r="J388" s="2"/>
      <c r="K388" s="2"/>
      <c r="L388" s="2"/>
      <c r="M388" s="4"/>
      <c r="N388" s="2"/>
      <c r="O388" s="5" t="str">
        <f t="shared" ca="1" si="37"/>
        <v/>
      </c>
      <c r="P388" s="6"/>
      <c r="V388" t="str">
        <f t="shared" si="38"/>
        <v/>
      </c>
      <c r="W388" t="str">
        <f t="shared" si="39"/>
        <v/>
      </c>
      <c r="X388" t="str">
        <f t="shared" si="40"/>
        <v/>
      </c>
      <c r="Y388" t="str">
        <f t="shared" si="41"/>
        <v/>
      </c>
    </row>
    <row r="389" spans="1:25" ht="14.5" x14ac:dyDescent="0.35">
      <c r="A389" s="3"/>
      <c r="B389" s="2"/>
      <c r="C389" s="2"/>
      <c r="D389" s="4"/>
      <c r="E389" s="2"/>
      <c r="F389" s="2"/>
      <c r="G389" s="3" t="str">
        <f t="shared" si="36"/>
        <v/>
      </c>
      <c r="H389" s="3"/>
      <c r="I389" s="3"/>
      <c r="J389" s="2"/>
      <c r="K389" s="2"/>
      <c r="L389" s="2"/>
      <c r="M389" s="4"/>
      <c r="N389" s="2"/>
      <c r="O389" s="5" t="str">
        <f t="shared" ca="1" si="37"/>
        <v/>
      </c>
      <c r="P389" s="6"/>
      <c r="V389" t="str">
        <f t="shared" si="38"/>
        <v/>
      </c>
      <c r="W389" t="str">
        <f t="shared" si="39"/>
        <v/>
      </c>
      <c r="X389" t="str">
        <f t="shared" si="40"/>
        <v/>
      </c>
      <c r="Y389" t="str">
        <f t="shared" si="41"/>
        <v/>
      </c>
    </row>
    <row r="390" spans="1:25" ht="14.5" x14ac:dyDescent="0.35">
      <c r="A390" s="3"/>
      <c r="B390" s="2"/>
      <c r="C390" s="2"/>
      <c r="D390" s="4"/>
      <c r="E390" s="2"/>
      <c r="F390" s="2"/>
      <c r="G390" s="3" t="str">
        <f t="shared" si="36"/>
        <v/>
      </c>
      <c r="H390" s="3"/>
      <c r="I390" s="3"/>
      <c r="J390" s="2"/>
      <c r="K390" s="2"/>
      <c r="L390" s="2"/>
      <c r="M390" s="4"/>
      <c r="N390" s="2"/>
      <c r="O390" s="5" t="str">
        <f t="shared" ca="1" si="37"/>
        <v/>
      </c>
      <c r="P390" s="6"/>
      <c r="V390" t="str">
        <f t="shared" si="38"/>
        <v/>
      </c>
      <c r="W390" t="str">
        <f t="shared" si="39"/>
        <v/>
      </c>
      <c r="X390" t="str">
        <f t="shared" si="40"/>
        <v/>
      </c>
      <c r="Y390" t="str">
        <f t="shared" si="41"/>
        <v/>
      </c>
    </row>
    <row r="391" spans="1:25" ht="14.5" x14ac:dyDescent="0.35">
      <c r="A391" s="3"/>
      <c r="B391" s="2"/>
      <c r="C391" s="2"/>
      <c r="D391" s="4"/>
      <c r="E391" s="2"/>
      <c r="F391" s="2"/>
      <c r="G391" s="3" t="str">
        <f t="shared" si="36"/>
        <v/>
      </c>
      <c r="H391" s="3"/>
      <c r="I391" s="3"/>
      <c r="J391" s="2"/>
      <c r="K391" s="2"/>
      <c r="L391" s="2"/>
      <c r="M391" s="4"/>
      <c r="N391" s="2"/>
      <c r="O391" s="5" t="str">
        <f t="shared" ca="1" si="37"/>
        <v/>
      </c>
      <c r="P391" s="6"/>
      <c r="V391" t="str">
        <f t="shared" si="38"/>
        <v/>
      </c>
      <c r="W391" t="str">
        <f t="shared" si="39"/>
        <v/>
      </c>
      <c r="X391" t="str">
        <f t="shared" si="40"/>
        <v/>
      </c>
      <c r="Y391" t="str">
        <f t="shared" si="41"/>
        <v/>
      </c>
    </row>
    <row r="392" spans="1:25" ht="14.5" x14ac:dyDescent="0.35">
      <c r="A392" s="3"/>
      <c r="B392" s="2"/>
      <c r="C392" s="2"/>
      <c r="D392" s="4"/>
      <c r="E392" s="2"/>
      <c r="F392" s="2"/>
      <c r="G392" s="3" t="str">
        <f t="shared" si="36"/>
        <v/>
      </c>
      <c r="H392" s="3"/>
      <c r="I392" s="3"/>
      <c r="J392" s="2"/>
      <c r="K392" s="2"/>
      <c r="L392" s="2"/>
      <c r="M392" s="4"/>
      <c r="N392" s="2"/>
      <c r="O392" s="5" t="str">
        <f t="shared" ca="1" si="37"/>
        <v/>
      </c>
      <c r="P392" s="6"/>
      <c r="V392" t="str">
        <f t="shared" si="38"/>
        <v/>
      </c>
      <c r="W392" t="str">
        <f t="shared" si="39"/>
        <v/>
      </c>
      <c r="X392" t="str">
        <f t="shared" si="40"/>
        <v/>
      </c>
      <c r="Y392" t="str">
        <f t="shared" si="41"/>
        <v/>
      </c>
    </row>
    <row r="393" spans="1:25" ht="14.5" x14ac:dyDescent="0.35">
      <c r="A393" s="3"/>
      <c r="B393" s="2"/>
      <c r="C393" s="2"/>
      <c r="D393" s="4"/>
      <c r="E393" s="2"/>
      <c r="F393" s="2"/>
      <c r="G393" s="3" t="str">
        <f t="shared" si="36"/>
        <v/>
      </c>
      <c r="H393" s="3"/>
      <c r="I393" s="3"/>
      <c r="J393" s="2"/>
      <c r="K393" s="2"/>
      <c r="L393" s="2"/>
      <c r="M393" s="4"/>
      <c r="N393" s="2"/>
      <c r="O393" s="5" t="str">
        <f t="shared" ca="1" si="37"/>
        <v/>
      </c>
      <c r="P393" s="6"/>
      <c r="V393" t="str">
        <f t="shared" si="38"/>
        <v/>
      </c>
      <c r="W393" t="str">
        <f t="shared" si="39"/>
        <v/>
      </c>
      <c r="X393" t="str">
        <f t="shared" si="40"/>
        <v/>
      </c>
      <c r="Y393" t="str">
        <f t="shared" si="41"/>
        <v/>
      </c>
    </row>
    <row r="394" spans="1:25" ht="14.5" x14ac:dyDescent="0.35">
      <c r="A394" s="3"/>
      <c r="B394" s="2"/>
      <c r="C394" s="2"/>
      <c r="D394" s="4"/>
      <c r="E394" s="2"/>
      <c r="F394" s="2"/>
      <c r="G394" s="3" t="str">
        <f t="shared" si="36"/>
        <v/>
      </c>
      <c r="H394" s="3"/>
      <c r="I394" s="3"/>
      <c r="J394" s="2"/>
      <c r="K394" s="2"/>
      <c r="L394" s="2"/>
      <c r="M394" s="4"/>
      <c r="N394" s="2"/>
      <c r="O394" s="5" t="str">
        <f t="shared" ca="1" si="37"/>
        <v/>
      </c>
      <c r="P394" s="6"/>
      <c r="V394" t="str">
        <f t="shared" si="38"/>
        <v/>
      </c>
      <c r="W394" t="str">
        <f t="shared" si="39"/>
        <v/>
      </c>
      <c r="X394" t="str">
        <f t="shared" si="40"/>
        <v/>
      </c>
      <c r="Y394" t="str">
        <f t="shared" si="41"/>
        <v/>
      </c>
    </row>
    <row r="395" spans="1:25" ht="14.5" x14ac:dyDescent="0.35">
      <c r="A395" s="3"/>
      <c r="B395" s="2"/>
      <c r="C395" s="2"/>
      <c r="D395" s="4"/>
      <c r="E395" s="2"/>
      <c r="F395" s="2"/>
      <c r="G395" s="3" t="str">
        <f t="shared" si="36"/>
        <v/>
      </c>
      <c r="H395" s="3"/>
      <c r="I395" s="3"/>
      <c r="J395" s="2"/>
      <c r="K395" s="2"/>
      <c r="L395" s="2"/>
      <c r="M395" s="4"/>
      <c r="N395" s="2"/>
      <c r="O395" s="5" t="str">
        <f t="shared" ca="1" si="37"/>
        <v/>
      </c>
      <c r="P395" s="6"/>
      <c r="V395" t="str">
        <f t="shared" si="38"/>
        <v/>
      </c>
      <c r="W395" t="str">
        <f t="shared" si="39"/>
        <v/>
      </c>
      <c r="X395" t="str">
        <f t="shared" si="40"/>
        <v/>
      </c>
      <c r="Y395" t="str">
        <f t="shared" si="41"/>
        <v/>
      </c>
    </row>
    <row r="396" spans="1:25" ht="14.5" x14ac:dyDescent="0.35">
      <c r="A396" s="3"/>
      <c r="B396" s="2"/>
      <c r="C396" s="2"/>
      <c r="D396" s="4"/>
      <c r="E396" s="2"/>
      <c r="F396" s="2"/>
      <c r="G396" s="3" t="str">
        <f t="shared" si="36"/>
        <v/>
      </c>
      <c r="H396" s="3"/>
      <c r="I396" s="3"/>
      <c r="J396" s="2"/>
      <c r="K396" s="2"/>
      <c r="L396" s="2"/>
      <c r="M396" s="4"/>
      <c r="N396" s="2"/>
      <c r="O396" s="5" t="str">
        <f t="shared" ca="1" si="37"/>
        <v/>
      </c>
      <c r="P396" s="6"/>
      <c r="V396" t="str">
        <f t="shared" si="38"/>
        <v/>
      </c>
      <c r="W396" t="str">
        <f t="shared" si="39"/>
        <v/>
      </c>
      <c r="X396" t="str">
        <f t="shared" si="40"/>
        <v/>
      </c>
      <c r="Y396" t="str">
        <f t="shared" si="41"/>
        <v/>
      </c>
    </row>
    <row r="397" spans="1:25" ht="14.5" x14ac:dyDescent="0.35">
      <c r="A397" s="3"/>
      <c r="B397" s="2"/>
      <c r="C397" s="2"/>
      <c r="D397" s="4"/>
      <c r="E397" s="2"/>
      <c r="F397" s="2"/>
      <c r="G397" s="3" t="str">
        <f t="shared" si="36"/>
        <v/>
      </c>
      <c r="H397" s="3"/>
      <c r="I397" s="3"/>
      <c r="J397" s="2"/>
      <c r="K397" s="2"/>
      <c r="L397" s="2"/>
      <c r="M397" s="4"/>
      <c r="N397" s="2"/>
      <c r="O397" s="5" t="str">
        <f t="shared" ca="1" si="37"/>
        <v/>
      </c>
      <c r="P397" s="6"/>
      <c r="V397" t="str">
        <f t="shared" si="38"/>
        <v/>
      </c>
      <c r="W397" t="str">
        <f t="shared" si="39"/>
        <v/>
      </c>
      <c r="X397" t="str">
        <f t="shared" si="40"/>
        <v/>
      </c>
      <c r="Y397" t="str">
        <f t="shared" si="41"/>
        <v/>
      </c>
    </row>
    <row r="398" spans="1:25" ht="14.5" x14ac:dyDescent="0.35">
      <c r="A398" s="3"/>
      <c r="B398" s="2"/>
      <c r="C398" s="2"/>
      <c r="D398" s="4"/>
      <c r="E398" s="2"/>
      <c r="F398" s="2"/>
      <c r="G398" s="3" t="str">
        <f t="shared" si="36"/>
        <v/>
      </c>
      <c r="H398" s="3"/>
      <c r="I398" s="3"/>
      <c r="J398" s="2"/>
      <c r="K398" s="2"/>
      <c r="L398" s="2"/>
      <c r="M398" s="4"/>
      <c r="N398" s="2"/>
      <c r="O398" s="5" t="str">
        <f t="shared" ca="1" si="37"/>
        <v/>
      </c>
      <c r="P398" s="6"/>
      <c r="V398" t="str">
        <f t="shared" si="38"/>
        <v/>
      </c>
      <c r="W398" t="str">
        <f t="shared" si="39"/>
        <v/>
      </c>
      <c r="X398" t="str">
        <f t="shared" si="40"/>
        <v/>
      </c>
      <c r="Y398" t="str">
        <f t="shared" si="41"/>
        <v/>
      </c>
    </row>
    <row r="399" spans="1:25" ht="14.5" x14ac:dyDescent="0.35">
      <c r="A399" s="3"/>
      <c r="B399" s="2"/>
      <c r="C399" s="2"/>
      <c r="D399" s="4"/>
      <c r="E399" s="2"/>
      <c r="F399" s="2"/>
      <c r="G399" s="3" t="str">
        <f t="shared" si="36"/>
        <v/>
      </c>
      <c r="H399" s="3"/>
      <c r="I399" s="3"/>
      <c r="J399" s="2"/>
      <c r="K399" s="2"/>
      <c r="L399" s="2"/>
      <c r="M399" s="4"/>
      <c r="N399" s="2"/>
      <c r="O399" s="5" t="str">
        <f t="shared" ca="1" si="37"/>
        <v/>
      </c>
      <c r="P399" s="6"/>
      <c r="V399" t="str">
        <f t="shared" si="38"/>
        <v/>
      </c>
      <c r="W399" t="str">
        <f t="shared" si="39"/>
        <v/>
      </c>
      <c r="X399" t="str">
        <f t="shared" si="40"/>
        <v/>
      </c>
      <c r="Y399" t="str">
        <f t="shared" si="41"/>
        <v/>
      </c>
    </row>
    <row r="400" spans="1:25" ht="14.5" x14ac:dyDescent="0.35">
      <c r="A400" s="3"/>
      <c r="B400" s="2"/>
      <c r="C400" s="2"/>
      <c r="D400" s="4"/>
      <c r="E400" s="2"/>
      <c r="F400" s="2"/>
      <c r="G400" s="3" t="str">
        <f t="shared" si="36"/>
        <v/>
      </c>
      <c r="H400" s="3"/>
      <c r="I400" s="3"/>
      <c r="J400" s="2"/>
      <c r="K400" s="2"/>
      <c r="L400" s="2"/>
      <c r="M400" s="4"/>
      <c r="N400" s="2"/>
      <c r="O400" s="5" t="str">
        <f t="shared" ca="1" si="37"/>
        <v/>
      </c>
      <c r="P400" s="6"/>
      <c r="V400" t="str">
        <f t="shared" si="38"/>
        <v/>
      </c>
      <c r="W400" t="str">
        <f t="shared" si="39"/>
        <v/>
      </c>
      <c r="X400" t="str">
        <f t="shared" si="40"/>
        <v/>
      </c>
      <c r="Y400" t="str">
        <f t="shared" si="41"/>
        <v/>
      </c>
    </row>
    <row r="401" spans="1:25" ht="14.5" x14ac:dyDescent="0.35">
      <c r="A401" s="3"/>
      <c r="B401" s="2"/>
      <c r="C401" s="2"/>
      <c r="D401" s="4"/>
      <c r="E401" s="2"/>
      <c r="F401" s="2"/>
      <c r="G401" s="3" t="str">
        <f t="shared" si="36"/>
        <v/>
      </c>
      <c r="H401" s="3"/>
      <c r="I401" s="3"/>
      <c r="J401" s="2"/>
      <c r="K401" s="2"/>
      <c r="L401" s="2"/>
      <c r="M401" s="4"/>
      <c r="N401" s="2"/>
      <c r="O401" s="5" t="str">
        <f t="shared" ca="1" si="37"/>
        <v/>
      </c>
      <c r="P401" s="6"/>
      <c r="V401" t="str">
        <f t="shared" si="38"/>
        <v/>
      </c>
      <c r="W401" t="str">
        <f t="shared" si="39"/>
        <v/>
      </c>
      <c r="X401" t="str">
        <f t="shared" si="40"/>
        <v/>
      </c>
      <c r="Y401" t="str">
        <f t="shared" si="41"/>
        <v/>
      </c>
    </row>
    <row r="402" spans="1:25" ht="14.5" x14ac:dyDescent="0.35">
      <c r="A402" s="3"/>
      <c r="B402" s="2"/>
      <c r="C402" s="2"/>
      <c r="D402" s="4"/>
      <c r="E402" s="2"/>
      <c r="F402" s="2"/>
      <c r="G402" s="3" t="str">
        <f t="shared" si="36"/>
        <v/>
      </c>
      <c r="H402" s="3"/>
      <c r="I402" s="3"/>
      <c r="J402" s="2"/>
      <c r="K402" s="2"/>
      <c r="L402" s="2"/>
      <c r="M402" s="4"/>
      <c r="N402" s="2"/>
      <c r="O402" s="5" t="str">
        <f t="shared" ca="1" si="37"/>
        <v/>
      </c>
      <c r="P402" s="6"/>
      <c r="V402" t="str">
        <f t="shared" si="38"/>
        <v/>
      </c>
      <c r="W402" t="str">
        <f t="shared" si="39"/>
        <v/>
      </c>
      <c r="X402" t="str">
        <f t="shared" si="40"/>
        <v/>
      </c>
      <c r="Y402" t="str">
        <f t="shared" si="41"/>
        <v/>
      </c>
    </row>
    <row r="403" spans="1:25" ht="14.5" x14ac:dyDescent="0.35">
      <c r="A403" s="3"/>
      <c r="B403" s="2"/>
      <c r="C403" s="2"/>
      <c r="D403" s="4"/>
      <c r="E403" s="2"/>
      <c r="F403" s="2"/>
      <c r="G403" s="3" t="str">
        <f t="shared" si="36"/>
        <v/>
      </c>
      <c r="H403" s="3"/>
      <c r="I403" s="3"/>
      <c r="J403" s="2"/>
      <c r="K403" s="2"/>
      <c r="L403" s="2"/>
      <c r="M403" s="4"/>
      <c r="N403" s="2"/>
      <c r="O403" s="5" t="str">
        <f t="shared" ca="1" si="37"/>
        <v/>
      </c>
      <c r="P403" s="6"/>
      <c r="V403" t="str">
        <f t="shared" si="38"/>
        <v/>
      </c>
      <c r="W403" t="str">
        <f t="shared" si="39"/>
        <v/>
      </c>
      <c r="X403" t="str">
        <f t="shared" si="40"/>
        <v/>
      </c>
      <c r="Y403" t="str">
        <f t="shared" si="41"/>
        <v/>
      </c>
    </row>
    <row r="404" spans="1:25" ht="14.5" x14ac:dyDescent="0.35">
      <c r="A404" s="3"/>
      <c r="B404" s="2"/>
      <c r="C404" s="2"/>
      <c r="D404" s="4"/>
      <c r="E404" s="2"/>
      <c r="F404" s="2"/>
      <c r="G404" s="3" t="str">
        <f t="shared" si="36"/>
        <v/>
      </c>
      <c r="H404" s="3"/>
      <c r="I404" s="3"/>
      <c r="J404" s="2"/>
      <c r="K404" s="2"/>
      <c r="L404" s="2"/>
      <c r="M404" s="4"/>
      <c r="N404" s="2"/>
      <c r="O404" s="5" t="str">
        <f t="shared" ca="1" si="37"/>
        <v/>
      </c>
      <c r="P404" s="6"/>
      <c r="V404" t="str">
        <f t="shared" si="38"/>
        <v/>
      </c>
      <c r="W404" t="str">
        <f t="shared" si="39"/>
        <v/>
      </c>
      <c r="X404" t="str">
        <f t="shared" si="40"/>
        <v/>
      </c>
      <c r="Y404" t="str">
        <f t="shared" si="41"/>
        <v/>
      </c>
    </row>
    <row r="405" spans="1:25" ht="14.5" x14ac:dyDescent="0.35">
      <c r="A405" s="3"/>
      <c r="B405" s="2"/>
      <c r="C405" s="2"/>
      <c r="D405" s="4"/>
      <c r="E405" s="2"/>
      <c r="F405" s="2"/>
      <c r="G405" s="3" t="str">
        <f t="shared" si="36"/>
        <v/>
      </c>
      <c r="H405" s="3"/>
      <c r="I405" s="3"/>
      <c r="J405" s="2"/>
      <c r="K405" s="2"/>
      <c r="L405" s="2"/>
      <c r="M405" s="4"/>
      <c r="N405" s="2"/>
      <c r="O405" s="5" t="str">
        <f t="shared" ca="1" si="37"/>
        <v/>
      </c>
      <c r="P405" s="6"/>
      <c r="V405" t="str">
        <f t="shared" si="38"/>
        <v/>
      </c>
      <c r="W405" t="str">
        <f t="shared" si="39"/>
        <v/>
      </c>
      <c r="X405" t="str">
        <f t="shared" si="40"/>
        <v/>
      </c>
      <c r="Y405" t="str">
        <f t="shared" si="41"/>
        <v/>
      </c>
    </row>
    <row r="406" spans="1:25" ht="14.5" x14ac:dyDescent="0.35">
      <c r="A406" s="3"/>
      <c r="B406" s="2"/>
      <c r="C406" s="2"/>
      <c r="D406" s="4"/>
      <c r="E406" s="2"/>
      <c r="F406" s="2"/>
      <c r="G406" s="3" t="str">
        <f t="shared" si="36"/>
        <v/>
      </c>
      <c r="H406" s="3"/>
      <c r="I406" s="3"/>
      <c r="J406" s="2"/>
      <c r="K406" s="2"/>
      <c r="L406" s="2"/>
      <c r="M406" s="4"/>
      <c r="N406" s="2"/>
      <c r="O406" s="5" t="str">
        <f t="shared" ca="1" si="37"/>
        <v/>
      </c>
      <c r="P406" s="6"/>
      <c r="V406" t="str">
        <f t="shared" si="38"/>
        <v/>
      </c>
      <c r="W406" t="str">
        <f t="shared" si="39"/>
        <v/>
      </c>
      <c r="X406" t="str">
        <f t="shared" si="40"/>
        <v/>
      </c>
      <c r="Y406" t="str">
        <f t="shared" si="41"/>
        <v/>
      </c>
    </row>
    <row r="407" spans="1:25" ht="14.5" x14ac:dyDescent="0.35">
      <c r="A407" s="3"/>
      <c r="B407" s="2"/>
      <c r="C407" s="2"/>
      <c r="D407" s="4"/>
      <c r="E407" s="2"/>
      <c r="F407" s="2"/>
      <c r="G407" s="3" t="str">
        <f t="shared" si="36"/>
        <v/>
      </c>
      <c r="H407" s="3"/>
      <c r="I407" s="3"/>
      <c r="J407" s="2"/>
      <c r="K407" s="2"/>
      <c r="L407" s="2"/>
      <c r="M407" s="4"/>
      <c r="N407" s="2"/>
      <c r="O407" s="5" t="str">
        <f t="shared" ca="1" si="37"/>
        <v/>
      </c>
      <c r="P407" s="6"/>
      <c r="V407" t="str">
        <f t="shared" si="38"/>
        <v/>
      </c>
      <c r="W407" t="str">
        <f t="shared" si="39"/>
        <v/>
      </c>
      <c r="X407" t="str">
        <f t="shared" si="40"/>
        <v/>
      </c>
      <c r="Y407" t="str">
        <f t="shared" si="41"/>
        <v/>
      </c>
    </row>
    <row r="408" spans="1:25" ht="14.5" x14ac:dyDescent="0.35">
      <c r="A408" s="3"/>
      <c r="B408" s="2"/>
      <c r="C408" s="2"/>
      <c r="D408" s="4"/>
      <c r="E408" s="2"/>
      <c r="F408" s="2"/>
      <c r="G408" s="3" t="str">
        <f t="shared" si="36"/>
        <v/>
      </c>
      <c r="H408" s="3"/>
      <c r="I408" s="3"/>
      <c r="J408" s="2"/>
      <c r="K408" s="2"/>
      <c r="L408" s="2"/>
      <c r="M408" s="4"/>
      <c r="N408" s="2"/>
      <c r="O408" s="5" t="str">
        <f t="shared" ca="1" si="37"/>
        <v/>
      </c>
      <c r="P408" s="6"/>
      <c r="V408" t="str">
        <f t="shared" si="38"/>
        <v/>
      </c>
      <c r="W408" t="str">
        <f t="shared" si="39"/>
        <v/>
      </c>
      <c r="X408" t="str">
        <f t="shared" si="40"/>
        <v/>
      </c>
      <c r="Y408" t="str">
        <f t="shared" si="41"/>
        <v/>
      </c>
    </row>
    <row r="409" spans="1:25" ht="14.5" x14ac:dyDescent="0.35">
      <c r="A409" s="3"/>
      <c r="B409" s="2"/>
      <c r="C409" s="2"/>
      <c r="D409" s="4"/>
      <c r="E409" s="2"/>
      <c r="F409" s="2"/>
      <c r="G409" s="3" t="str">
        <f t="shared" si="36"/>
        <v/>
      </c>
      <c r="H409" s="3"/>
      <c r="I409" s="3"/>
      <c r="J409" s="2"/>
      <c r="K409" s="2"/>
      <c r="L409" s="2"/>
      <c r="M409" s="4"/>
      <c r="N409" s="2"/>
      <c r="O409" s="5" t="str">
        <f t="shared" ca="1" si="37"/>
        <v/>
      </c>
      <c r="P409" s="6"/>
      <c r="V409" t="str">
        <f t="shared" si="38"/>
        <v/>
      </c>
      <c r="W409" t="str">
        <f t="shared" si="39"/>
        <v/>
      </c>
      <c r="X409" t="str">
        <f t="shared" si="40"/>
        <v/>
      </c>
      <c r="Y409" t="str">
        <f t="shared" si="41"/>
        <v/>
      </c>
    </row>
    <row r="410" spans="1:25" ht="14.5" x14ac:dyDescent="0.35">
      <c r="A410" s="3"/>
      <c r="B410" s="2"/>
      <c r="C410" s="2"/>
      <c r="D410" s="4"/>
      <c r="E410" s="2"/>
      <c r="F410" s="2"/>
      <c r="G410" s="3" t="str">
        <f t="shared" si="36"/>
        <v/>
      </c>
      <c r="H410" s="3"/>
      <c r="I410" s="3"/>
      <c r="J410" s="2"/>
      <c r="K410" s="2"/>
      <c r="L410" s="2"/>
      <c r="M410" s="4"/>
      <c r="N410" s="2"/>
      <c r="O410" s="5" t="str">
        <f t="shared" ca="1" si="37"/>
        <v/>
      </c>
      <c r="P410" s="6"/>
      <c r="V410" t="str">
        <f t="shared" si="38"/>
        <v/>
      </c>
      <c r="W410" t="str">
        <f t="shared" si="39"/>
        <v/>
      </c>
      <c r="X410" t="str">
        <f t="shared" si="40"/>
        <v/>
      </c>
      <c r="Y410" t="str">
        <f t="shared" si="41"/>
        <v/>
      </c>
    </row>
    <row r="411" spans="1:25" ht="14.5" x14ac:dyDescent="0.35">
      <c r="A411" s="3"/>
      <c r="B411" s="2"/>
      <c r="C411" s="2"/>
      <c r="D411" s="4"/>
      <c r="E411" s="2"/>
      <c r="F411" s="2"/>
      <c r="G411" s="3" t="str">
        <f t="shared" si="36"/>
        <v/>
      </c>
      <c r="H411" s="3"/>
      <c r="I411" s="3"/>
      <c r="J411" s="2"/>
      <c r="K411" s="2"/>
      <c r="L411" s="2"/>
      <c r="M411" s="4"/>
      <c r="N411" s="2"/>
      <c r="O411" s="5" t="str">
        <f t="shared" ca="1" si="37"/>
        <v/>
      </c>
      <c r="P411" s="6"/>
      <c r="V411" t="str">
        <f t="shared" si="38"/>
        <v/>
      </c>
      <c r="W411" t="str">
        <f t="shared" si="39"/>
        <v/>
      </c>
      <c r="X411" t="str">
        <f t="shared" si="40"/>
        <v/>
      </c>
      <c r="Y411" t="str">
        <f t="shared" si="41"/>
        <v/>
      </c>
    </row>
    <row r="412" spans="1:25" ht="14.5" x14ac:dyDescent="0.35">
      <c r="A412" s="3"/>
      <c r="B412" s="2"/>
      <c r="C412" s="2"/>
      <c r="D412" s="4"/>
      <c r="E412" s="2"/>
      <c r="F412" s="2"/>
      <c r="G412" s="3" t="str">
        <f t="shared" si="36"/>
        <v/>
      </c>
      <c r="H412" s="3"/>
      <c r="I412" s="3"/>
      <c r="J412" s="2"/>
      <c r="K412" s="2"/>
      <c r="L412" s="2"/>
      <c r="M412" s="4"/>
      <c r="N412" s="2"/>
      <c r="O412" s="5" t="str">
        <f t="shared" ca="1" si="37"/>
        <v/>
      </c>
      <c r="P412" s="6"/>
      <c r="V412" t="str">
        <f t="shared" si="38"/>
        <v/>
      </c>
      <c r="W412" t="str">
        <f t="shared" si="39"/>
        <v/>
      </c>
      <c r="X412" t="str">
        <f t="shared" si="40"/>
        <v/>
      </c>
      <c r="Y412" t="str">
        <f t="shared" si="41"/>
        <v/>
      </c>
    </row>
    <row r="413" spans="1:25" ht="14.5" x14ac:dyDescent="0.35">
      <c r="A413" s="3"/>
      <c r="B413" s="2"/>
      <c r="C413" s="2"/>
      <c r="D413" s="4"/>
      <c r="E413" s="2"/>
      <c r="F413" s="2"/>
      <c r="G413" s="3" t="str">
        <f t="shared" si="36"/>
        <v/>
      </c>
      <c r="H413" s="3"/>
      <c r="I413" s="3"/>
      <c r="J413" s="2"/>
      <c r="K413" s="2"/>
      <c r="L413" s="2"/>
      <c r="M413" s="4"/>
      <c r="N413" s="2"/>
      <c r="O413" s="5" t="str">
        <f t="shared" ca="1" si="37"/>
        <v/>
      </c>
      <c r="P413" s="6"/>
      <c r="V413" t="str">
        <f t="shared" si="38"/>
        <v/>
      </c>
      <c r="W413" t="str">
        <f t="shared" si="39"/>
        <v/>
      </c>
      <c r="X413" t="str">
        <f t="shared" si="40"/>
        <v/>
      </c>
      <c r="Y413" t="str">
        <f t="shared" si="41"/>
        <v/>
      </c>
    </row>
    <row r="414" spans="1:25" ht="14.5" x14ac:dyDescent="0.35">
      <c r="A414" s="3"/>
      <c r="B414" s="2"/>
      <c r="C414" s="2"/>
      <c r="D414" s="4"/>
      <c r="E414" s="2"/>
      <c r="F414" s="2"/>
      <c r="G414" s="3" t="str">
        <f t="shared" si="36"/>
        <v/>
      </c>
      <c r="H414" s="3"/>
      <c r="I414" s="3"/>
      <c r="J414" s="2"/>
      <c r="K414" s="2"/>
      <c r="L414" s="2"/>
      <c r="M414" s="4"/>
      <c r="N414" s="2"/>
      <c r="O414" s="5" t="str">
        <f t="shared" ca="1" si="37"/>
        <v/>
      </c>
      <c r="P414" s="6"/>
      <c r="V414" t="str">
        <f t="shared" si="38"/>
        <v/>
      </c>
      <c r="W414" t="str">
        <f t="shared" si="39"/>
        <v/>
      </c>
      <c r="X414" t="str">
        <f t="shared" si="40"/>
        <v/>
      </c>
      <c r="Y414" t="str">
        <f t="shared" si="41"/>
        <v/>
      </c>
    </row>
    <row r="415" spans="1:25" ht="14.5" x14ac:dyDescent="0.35">
      <c r="A415" s="3"/>
      <c r="B415" s="2"/>
      <c r="C415" s="2"/>
      <c r="D415" s="4"/>
      <c r="E415" s="2"/>
      <c r="F415" s="2"/>
      <c r="G415" s="3" t="str">
        <f t="shared" si="36"/>
        <v/>
      </c>
      <c r="H415" s="3"/>
      <c r="I415" s="3"/>
      <c r="J415" s="2"/>
      <c r="K415" s="2"/>
      <c r="L415" s="2"/>
      <c r="M415" s="4"/>
      <c r="N415" s="2"/>
      <c r="O415" s="5" t="str">
        <f t="shared" ca="1" si="37"/>
        <v/>
      </c>
      <c r="P415" s="6"/>
      <c r="V415" t="str">
        <f t="shared" si="38"/>
        <v/>
      </c>
      <c r="W415" t="str">
        <f t="shared" si="39"/>
        <v/>
      </c>
      <c r="X415" t="str">
        <f t="shared" si="40"/>
        <v/>
      </c>
      <c r="Y415" t="str">
        <f t="shared" si="41"/>
        <v/>
      </c>
    </row>
    <row r="416" spans="1:25" ht="14.5" x14ac:dyDescent="0.35">
      <c r="A416" s="3"/>
      <c r="B416" s="2"/>
      <c r="C416" s="2"/>
      <c r="D416" s="4"/>
      <c r="E416" s="2"/>
      <c r="F416" s="2"/>
      <c r="G416" s="3" t="str">
        <f t="shared" si="36"/>
        <v/>
      </c>
      <c r="H416" s="3"/>
      <c r="I416" s="3"/>
      <c r="J416" s="2"/>
      <c r="K416" s="2"/>
      <c r="L416" s="2"/>
      <c r="M416" s="4"/>
      <c r="N416" s="2"/>
      <c r="O416" s="5" t="str">
        <f t="shared" ca="1" si="37"/>
        <v/>
      </c>
      <c r="P416" s="6"/>
      <c r="V416" t="str">
        <f t="shared" si="38"/>
        <v/>
      </c>
      <c r="W416" t="str">
        <f t="shared" si="39"/>
        <v/>
      </c>
      <c r="X416" t="str">
        <f t="shared" si="40"/>
        <v/>
      </c>
      <c r="Y416" t="str">
        <f t="shared" si="41"/>
        <v/>
      </c>
    </row>
    <row r="417" spans="1:25" ht="14.5" x14ac:dyDescent="0.35">
      <c r="A417" s="3"/>
      <c r="B417" s="2"/>
      <c r="C417" s="2"/>
      <c r="D417" s="4"/>
      <c r="E417" s="2"/>
      <c r="F417" s="2"/>
      <c r="G417" s="3" t="str">
        <f t="shared" si="36"/>
        <v/>
      </c>
      <c r="H417" s="3"/>
      <c r="I417" s="3"/>
      <c r="J417" s="2"/>
      <c r="K417" s="2"/>
      <c r="L417" s="2"/>
      <c r="M417" s="4"/>
      <c r="N417" s="2"/>
      <c r="O417" s="5" t="str">
        <f t="shared" ca="1" si="37"/>
        <v/>
      </c>
      <c r="P417" s="6"/>
      <c r="V417" t="str">
        <f t="shared" si="38"/>
        <v/>
      </c>
      <c r="W417" t="str">
        <f t="shared" si="39"/>
        <v/>
      </c>
      <c r="X417" t="str">
        <f t="shared" si="40"/>
        <v/>
      </c>
      <c r="Y417" t="str">
        <f t="shared" si="41"/>
        <v/>
      </c>
    </row>
    <row r="418" spans="1:25" ht="14.5" x14ac:dyDescent="0.35">
      <c r="A418" s="3"/>
      <c r="B418" s="2"/>
      <c r="C418" s="2"/>
      <c r="D418" s="4"/>
      <c r="E418" s="2"/>
      <c r="F418" s="2"/>
      <c r="G418" s="3" t="str">
        <f t="shared" si="36"/>
        <v/>
      </c>
      <c r="H418" s="3"/>
      <c r="I418" s="3"/>
      <c r="J418" s="2"/>
      <c r="K418" s="2"/>
      <c r="L418" s="2"/>
      <c r="M418" s="4"/>
      <c r="N418" s="2"/>
      <c r="O418" s="5" t="str">
        <f t="shared" ca="1" si="37"/>
        <v/>
      </c>
      <c r="P418" s="6"/>
      <c r="V418" t="str">
        <f t="shared" si="38"/>
        <v/>
      </c>
      <c r="W418" t="str">
        <f t="shared" si="39"/>
        <v/>
      </c>
      <c r="X418" t="str">
        <f t="shared" si="40"/>
        <v/>
      </c>
      <c r="Y418" t="str">
        <f t="shared" si="41"/>
        <v/>
      </c>
    </row>
    <row r="419" spans="1:25" ht="14.5" x14ac:dyDescent="0.35">
      <c r="A419" s="3"/>
      <c r="B419" s="2"/>
      <c r="C419" s="2"/>
      <c r="D419" s="4"/>
      <c r="E419" s="2"/>
      <c r="F419" s="2"/>
      <c r="G419" s="3" t="str">
        <f t="shared" si="36"/>
        <v/>
      </c>
      <c r="H419" s="3"/>
      <c r="I419" s="3"/>
      <c r="J419" s="2"/>
      <c r="K419" s="2"/>
      <c r="L419" s="2"/>
      <c r="M419" s="4"/>
      <c r="N419" s="2"/>
      <c r="O419" s="5" t="str">
        <f t="shared" ca="1" si="37"/>
        <v/>
      </c>
      <c r="P419" s="6"/>
      <c r="V419" t="str">
        <f t="shared" si="38"/>
        <v/>
      </c>
      <c r="W419" t="str">
        <f t="shared" si="39"/>
        <v/>
      </c>
      <c r="X419" t="str">
        <f t="shared" si="40"/>
        <v/>
      </c>
      <c r="Y419" t="str">
        <f t="shared" si="41"/>
        <v/>
      </c>
    </row>
    <row r="420" spans="1:25" ht="14.5" x14ac:dyDescent="0.35">
      <c r="A420" s="3"/>
      <c r="B420" s="2"/>
      <c r="C420" s="2"/>
      <c r="D420" s="4"/>
      <c r="E420" s="2"/>
      <c r="F420" s="2"/>
      <c r="G420" s="3" t="str">
        <f t="shared" si="36"/>
        <v/>
      </c>
      <c r="H420" s="3"/>
      <c r="I420" s="3"/>
      <c r="J420" s="2"/>
      <c r="K420" s="2"/>
      <c r="L420" s="2"/>
      <c r="M420" s="4"/>
      <c r="N420" s="2"/>
      <c r="O420" s="5" t="str">
        <f t="shared" ca="1" si="37"/>
        <v/>
      </c>
      <c r="P420" s="6"/>
      <c r="V420" t="str">
        <f t="shared" si="38"/>
        <v/>
      </c>
      <c r="W420" t="str">
        <f t="shared" si="39"/>
        <v/>
      </c>
      <c r="X420" t="str">
        <f t="shared" si="40"/>
        <v/>
      </c>
      <c r="Y420" t="str">
        <f t="shared" si="41"/>
        <v/>
      </c>
    </row>
    <row r="421" spans="1:25" ht="14.5" x14ac:dyDescent="0.35">
      <c r="A421" s="3"/>
      <c r="B421" s="2"/>
      <c r="C421" s="2"/>
      <c r="D421" s="4"/>
      <c r="E421" s="2"/>
      <c r="F421" s="2"/>
      <c r="G421" s="3" t="str">
        <f t="shared" si="36"/>
        <v/>
      </c>
      <c r="H421" s="3"/>
      <c r="I421" s="3"/>
      <c r="J421" s="2"/>
      <c r="K421" s="2"/>
      <c r="L421" s="2"/>
      <c r="M421" s="4"/>
      <c r="N421" s="2"/>
      <c r="O421" s="5" t="str">
        <f t="shared" ca="1" si="37"/>
        <v/>
      </c>
      <c r="P421" s="6"/>
      <c r="V421" t="str">
        <f t="shared" si="38"/>
        <v/>
      </c>
      <c r="W421" t="str">
        <f t="shared" si="39"/>
        <v/>
      </c>
      <c r="X421" t="str">
        <f t="shared" si="40"/>
        <v/>
      </c>
      <c r="Y421" t="str">
        <f t="shared" si="41"/>
        <v/>
      </c>
    </row>
    <row r="422" spans="1:25" ht="14.5" x14ac:dyDescent="0.35">
      <c r="A422" s="3"/>
      <c r="B422" s="2"/>
      <c r="C422" s="2"/>
      <c r="D422" s="4"/>
      <c r="E422" s="2"/>
      <c r="F422" s="2"/>
      <c r="G422" s="3" t="str">
        <f t="shared" si="36"/>
        <v/>
      </c>
      <c r="H422" s="3"/>
      <c r="I422" s="3"/>
      <c r="J422" s="2"/>
      <c r="K422" s="2"/>
      <c r="L422" s="2"/>
      <c r="M422" s="4"/>
      <c r="N422" s="2"/>
      <c r="O422" s="5" t="str">
        <f t="shared" ca="1" si="37"/>
        <v/>
      </c>
      <c r="P422" s="6"/>
      <c r="V422" t="str">
        <f t="shared" si="38"/>
        <v/>
      </c>
      <c r="W422" t="str">
        <f t="shared" si="39"/>
        <v/>
      </c>
      <c r="X422" t="str">
        <f t="shared" si="40"/>
        <v/>
      </c>
      <c r="Y422" t="str">
        <f t="shared" si="41"/>
        <v/>
      </c>
    </row>
    <row r="423" spans="1:25" ht="14.5" x14ac:dyDescent="0.35">
      <c r="A423" s="3"/>
      <c r="B423" s="2"/>
      <c r="C423" s="2"/>
      <c r="D423" s="4"/>
      <c r="E423" s="2"/>
      <c r="F423" s="2"/>
      <c r="G423" s="3" t="str">
        <f t="shared" si="36"/>
        <v/>
      </c>
      <c r="H423" s="3"/>
      <c r="I423" s="3"/>
      <c r="J423" s="2"/>
      <c r="K423" s="2"/>
      <c r="L423" s="2"/>
      <c r="M423" s="4"/>
      <c r="N423" s="2"/>
      <c r="O423" s="5" t="str">
        <f t="shared" ca="1" si="37"/>
        <v/>
      </c>
      <c r="P423" s="6"/>
      <c r="V423" t="str">
        <f t="shared" si="38"/>
        <v/>
      </c>
      <c r="W423" t="str">
        <f t="shared" si="39"/>
        <v/>
      </c>
      <c r="X423" t="str">
        <f t="shared" si="40"/>
        <v/>
      </c>
      <c r="Y423" t="str">
        <f t="shared" si="41"/>
        <v/>
      </c>
    </row>
    <row r="424" spans="1:25" ht="14.5" x14ac:dyDescent="0.35">
      <c r="A424" s="3"/>
      <c r="B424" s="2"/>
      <c r="C424" s="2"/>
      <c r="D424" s="4"/>
      <c r="E424" s="2"/>
      <c r="F424" s="2"/>
      <c r="G424" s="3" t="str">
        <f t="shared" si="36"/>
        <v/>
      </c>
      <c r="H424" s="3"/>
      <c r="I424" s="3"/>
      <c r="J424" s="2"/>
      <c r="K424" s="2"/>
      <c r="L424" s="2"/>
      <c r="M424" s="4"/>
      <c r="N424" s="2"/>
      <c r="O424" s="5" t="str">
        <f t="shared" ca="1" si="37"/>
        <v/>
      </c>
      <c r="P424" s="6"/>
      <c r="V424" t="str">
        <f t="shared" si="38"/>
        <v/>
      </c>
      <c r="W424" t="str">
        <f t="shared" si="39"/>
        <v/>
      </c>
      <c r="X424" t="str">
        <f t="shared" si="40"/>
        <v/>
      </c>
      <c r="Y424" t="str">
        <f t="shared" si="41"/>
        <v/>
      </c>
    </row>
    <row r="425" spans="1:25" ht="14.5" x14ac:dyDescent="0.35">
      <c r="A425" s="3"/>
      <c r="B425" s="2"/>
      <c r="C425" s="2"/>
      <c r="D425" s="4"/>
      <c r="E425" s="2"/>
      <c r="F425" s="2"/>
      <c r="G425" s="3" t="str">
        <f t="shared" si="36"/>
        <v/>
      </c>
      <c r="H425" s="3"/>
      <c r="I425" s="3"/>
      <c r="J425" s="2"/>
      <c r="K425" s="2"/>
      <c r="L425" s="2"/>
      <c r="M425" s="4"/>
      <c r="N425" s="2"/>
      <c r="O425" s="5" t="str">
        <f t="shared" ca="1" si="37"/>
        <v/>
      </c>
      <c r="P425" s="6"/>
      <c r="V425" t="str">
        <f t="shared" si="38"/>
        <v/>
      </c>
      <c r="W425" t="str">
        <f t="shared" si="39"/>
        <v/>
      </c>
      <c r="X425" t="str">
        <f t="shared" si="40"/>
        <v/>
      </c>
      <c r="Y425" t="str">
        <f t="shared" si="41"/>
        <v/>
      </c>
    </row>
    <row r="426" spans="1:25" ht="14.5" x14ac:dyDescent="0.35">
      <c r="A426" s="3"/>
      <c r="B426" s="2"/>
      <c r="C426" s="2"/>
      <c r="D426" s="4"/>
      <c r="E426" s="2"/>
      <c r="F426" s="2"/>
      <c r="G426" s="3" t="str">
        <f t="shared" si="36"/>
        <v/>
      </c>
      <c r="H426" s="3"/>
      <c r="I426" s="3"/>
      <c r="J426" s="2"/>
      <c r="K426" s="2"/>
      <c r="L426" s="2"/>
      <c r="M426" s="4"/>
      <c r="N426" s="2"/>
      <c r="O426" s="5" t="str">
        <f t="shared" ca="1" si="37"/>
        <v/>
      </c>
      <c r="P426" s="6"/>
      <c r="V426" t="str">
        <f t="shared" si="38"/>
        <v/>
      </c>
      <c r="W426" t="str">
        <f t="shared" si="39"/>
        <v/>
      </c>
      <c r="X426" t="str">
        <f t="shared" si="40"/>
        <v/>
      </c>
      <c r="Y426" t="str">
        <f t="shared" si="41"/>
        <v/>
      </c>
    </row>
    <row r="427" spans="1:25" ht="14.5" x14ac:dyDescent="0.35">
      <c r="A427" s="3"/>
      <c r="B427" s="2"/>
      <c r="C427" s="2"/>
      <c r="D427" s="4"/>
      <c r="E427" s="2"/>
      <c r="F427" s="2"/>
      <c r="G427" s="3" t="str">
        <f t="shared" si="36"/>
        <v/>
      </c>
      <c r="H427" s="3"/>
      <c r="I427" s="3"/>
      <c r="J427" s="2"/>
      <c r="K427" s="2"/>
      <c r="L427" s="2"/>
      <c r="M427" s="4"/>
      <c r="N427" s="2"/>
      <c r="O427" s="5" t="str">
        <f t="shared" ca="1" si="37"/>
        <v/>
      </c>
      <c r="P427" s="6"/>
      <c r="V427" t="str">
        <f t="shared" si="38"/>
        <v/>
      </c>
      <c r="W427" t="str">
        <f t="shared" si="39"/>
        <v/>
      </c>
      <c r="X427" t="str">
        <f t="shared" si="40"/>
        <v/>
      </c>
      <c r="Y427" t="str">
        <f t="shared" si="41"/>
        <v/>
      </c>
    </row>
    <row r="428" spans="1:25" ht="14.5" x14ac:dyDescent="0.35">
      <c r="A428" s="3"/>
      <c r="B428" s="2"/>
      <c r="C428" s="2"/>
      <c r="D428" s="4"/>
      <c r="E428" s="2"/>
      <c r="F428" s="2"/>
      <c r="G428" s="3" t="str">
        <f t="shared" si="36"/>
        <v/>
      </c>
      <c r="H428" s="3"/>
      <c r="I428" s="3"/>
      <c r="J428" s="2"/>
      <c r="K428" s="2"/>
      <c r="L428" s="2"/>
      <c r="M428" s="4"/>
      <c r="N428" s="2"/>
      <c r="O428" s="5" t="str">
        <f t="shared" ca="1" si="37"/>
        <v/>
      </c>
      <c r="P428" s="6"/>
      <c r="V428" t="str">
        <f t="shared" si="38"/>
        <v/>
      </c>
      <c r="W428" t="str">
        <f t="shared" si="39"/>
        <v/>
      </c>
      <c r="X428" t="str">
        <f t="shared" si="40"/>
        <v/>
      </c>
      <c r="Y428" t="str">
        <f t="shared" si="41"/>
        <v/>
      </c>
    </row>
    <row r="429" spans="1:25" ht="14.5" x14ac:dyDescent="0.35">
      <c r="A429" s="3"/>
      <c r="B429" s="2"/>
      <c r="C429" s="2"/>
      <c r="D429" s="4"/>
      <c r="E429" s="2"/>
      <c r="F429" s="2"/>
      <c r="G429" s="3" t="str">
        <f t="shared" si="36"/>
        <v/>
      </c>
      <c r="H429" s="3"/>
      <c r="I429" s="3"/>
      <c r="J429" s="2"/>
      <c r="K429" s="2"/>
      <c r="L429" s="2"/>
      <c r="M429" s="4"/>
      <c r="N429" s="2"/>
      <c r="O429" s="5" t="str">
        <f t="shared" ca="1" si="37"/>
        <v/>
      </c>
      <c r="P429" s="6"/>
      <c r="V429" t="str">
        <f t="shared" si="38"/>
        <v/>
      </c>
      <c r="W429" t="str">
        <f t="shared" si="39"/>
        <v/>
      </c>
      <c r="X429" t="str">
        <f t="shared" si="40"/>
        <v/>
      </c>
      <c r="Y429" t="str">
        <f t="shared" si="41"/>
        <v/>
      </c>
    </row>
    <row r="430" spans="1:25" ht="14.5" x14ac:dyDescent="0.35">
      <c r="A430" s="3"/>
      <c r="B430" s="2"/>
      <c r="C430" s="2"/>
      <c r="D430" s="4"/>
      <c r="E430" s="2"/>
      <c r="F430" s="2"/>
      <c r="G430" s="3" t="str">
        <f t="shared" si="36"/>
        <v/>
      </c>
      <c r="H430" s="3"/>
      <c r="I430" s="3"/>
      <c r="J430" s="2"/>
      <c r="K430" s="2"/>
      <c r="L430" s="2"/>
      <c r="M430" s="4"/>
      <c r="N430" s="2"/>
      <c r="O430" s="5" t="str">
        <f t="shared" ca="1" si="37"/>
        <v/>
      </c>
      <c r="P430" s="6"/>
      <c r="V430" t="str">
        <f t="shared" si="38"/>
        <v/>
      </c>
      <c r="W430" t="str">
        <f t="shared" si="39"/>
        <v/>
      </c>
      <c r="X430" t="str">
        <f t="shared" si="40"/>
        <v/>
      </c>
      <c r="Y430" t="str">
        <f t="shared" si="41"/>
        <v/>
      </c>
    </row>
    <row r="431" spans="1:25" ht="14.5" x14ac:dyDescent="0.35">
      <c r="A431" s="3"/>
      <c r="B431" s="2"/>
      <c r="C431" s="2"/>
      <c r="D431" s="4"/>
      <c r="E431" s="2"/>
      <c r="F431" s="2"/>
      <c r="G431" s="3" t="str">
        <f t="shared" si="36"/>
        <v/>
      </c>
      <c r="H431" s="3"/>
      <c r="I431" s="3"/>
      <c r="J431" s="2"/>
      <c r="K431" s="2"/>
      <c r="L431" s="2"/>
      <c r="M431" s="4"/>
      <c r="N431" s="2"/>
      <c r="O431" s="5" t="str">
        <f t="shared" ca="1" si="37"/>
        <v/>
      </c>
      <c r="P431" s="6"/>
      <c r="V431" t="str">
        <f t="shared" si="38"/>
        <v/>
      </c>
      <c r="W431" t="str">
        <f t="shared" si="39"/>
        <v/>
      </c>
      <c r="X431" t="str">
        <f t="shared" si="40"/>
        <v/>
      </c>
      <c r="Y431" t="str">
        <f t="shared" si="41"/>
        <v/>
      </c>
    </row>
    <row r="432" spans="1:25" ht="14.5" x14ac:dyDescent="0.35">
      <c r="A432" s="3"/>
      <c r="B432" s="2"/>
      <c r="C432" s="2"/>
      <c r="D432" s="4"/>
      <c r="E432" s="2"/>
      <c r="F432" s="2"/>
      <c r="G432" s="3" t="str">
        <f t="shared" si="36"/>
        <v/>
      </c>
      <c r="H432" s="3"/>
      <c r="I432" s="3"/>
      <c r="J432" s="2"/>
      <c r="K432" s="2"/>
      <c r="L432" s="2"/>
      <c r="M432" s="4"/>
      <c r="N432" s="2"/>
      <c r="O432" s="5" t="str">
        <f t="shared" ca="1" si="37"/>
        <v/>
      </c>
      <c r="P432" s="6"/>
      <c r="V432" t="str">
        <f t="shared" si="38"/>
        <v/>
      </c>
      <c r="W432" t="str">
        <f t="shared" si="39"/>
        <v/>
      </c>
      <c r="X432" t="str">
        <f t="shared" si="40"/>
        <v/>
      </c>
      <c r="Y432" t="str">
        <f t="shared" si="41"/>
        <v/>
      </c>
    </row>
    <row r="433" spans="1:25" ht="14.5" x14ac:dyDescent="0.35">
      <c r="A433" s="3"/>
      <c r="B433" s="2"/>
      <c r="C433" s="2"/>
      <c r="D433" s="4"/>
      <c r="E433" s="2"/>
      <c r="F433" s="2"/>
      <c r="G433" s="3" t="str">
        <f t="shared" si="36"/>
        <v/>
      </c>
      <c r="H433" s="3"/>
      <c r="I433" s="3"/>
      <c r="J433" s="2"/>
      <c r="K433" s="2"/>
      <c r="L433" s="2"/>
      <c r="M433" s="4"/>
      <c r="N433" s="2"/>
      <c r="O433" s="5" t="str">
        <f t="shared" ca="1" si="37"/>
        <v/>
      </c>
      <c r="P433" s="6"/>
      <c r="V433" t="str">
        <f t="shared" si="38"/>
        <v/>
      </c>
      <c r="W433" t="str">
        <f t="shared" si="39"/>
        <v/>
      </c>
      <c r="X433" t="str">
        <f t="shared" si="40"/>
        <v/>
      </c>
      <c r="Y433" t="str">
        <f t="shared" si="41"/>
        <v/>
      </c>
    </row>
    <row r="434" spans="1:25" ht="14.5" x14ac:dyDescent="0.35">
      <c r="A434" s="3"/>
      <c r="B434" s="2"/>
      <c r="C434" s="2"/>
      <c r="D434" s="4"/>
      <c r="E434" s="2"/>
      <c r="F434" s="2"/>
      <c r="G434" s="3" t="str">
        <f t="shared" si="36"/>
        <v/>
      </c>
      <c r="H434" s="3"/>
      <c r="I434" s="3"/>
      <c r="J434" s="2"/>
      <c r="K434" s="2"/>
      <c r="L434" s="2"/>
      <c r="M434" s="4"/>
      <c r="N434" s="2"/>
      <c r="O434" s="5" t="str">
        <f t="shared" ca="1" si="37"/>
        <v/>
      </c>
      <c r="P434" s="6"/>
      <c r="V434" t="str">
        <f t="shared" si="38"/>
        <v/>
      </c>
      <c r="W434" t="str">
        <f t="shared" si="39"/>
        <v/>
      </c>
      <c r="X434" t="str">
        <f t="shared" si="40"/>
        <v/>
      </c>
      <c r="Y434" t="str">
        <f t="shared" si="41"/>
        <v/>
      </c>
    </row>
    <row r="435" spans="1:25" ht="14.5" x14ac:dyDescent="0.35">
      <c r="A435" s="3"/>
      <c r="B435" s="2"/>
      <c r="C435" s="2"/>
      <c r="D435" s="4"/>
      <c r="E435" s="2"/>
      <c r="F435" s="2"/>
      <c r="G435" s="3" t="str">
        <f t="shared" si="36"/>
        <v/>
      </c>
      <c r="H435" s="3"/>
      <c r="I435" s="3"/>
      <c r="J435" s="2"/>
      <c r="K435" s="2"/>
      <c r="L435" s="2"/>
      <c r="M435" s="4"/>
      <c r="N435" s="2"/>
      <c r="O435" s="5" t="str">
        <f t="shared" ca="1" si="37"/>
        <v/>
      </c>
      <c r="P435" s="6"/>
      <c r="V435" t="str">
        <f t="shared" si="38"/>
        <v/>
      </c>
      <c r="W435" t="str">
        <f t="shared" si="39"/>
        <v/>
      </c>
      <c r="X435" t="str">
        <f t="shared" si="40"/>
        <v/>
      </c>
      <c r="Y435" t="str">
        <f t="shared" si="41"/>
        <v/>
      </c>
    </row>
    <row r="436" spans="1:25" ht="14.5" x14ac:dyDescent="0.35">
      <c r="A436" s="3"/>
      <c r="B436" s="2"/>
      <c r="C436" s="2"/>
      <c r="D436" s="4"/>
      <c r="E436" s="2"/>
      <c r="F436" s="2"/>
      <c r="G436" s="3" t="str">
        <f t="shared" si="36"/>
        <v/>
      </c>
      <c r="H436" s="3"/>
      <c r="I436" s="3"/>
      <c r="J436" s="2"/>
      <c r="K436" s="2"/>
      <c r="L436" s="2"/>
      <c r="M436" s="4"/>
      <c r="N436" s="2"/>
      <c r="O436" s="5" t="str">
        <f t="shared" ca="1" si="37"/>
        <v/>
      </c>
      <c r="P436" s="6"/>
      <c r="V436" t="str">
        <f t="shared" si="38"/>
        <v/>
      </c>
      <c r="W436" t="str">
        <f t="shared" si="39"/>
        <v/>
      </c>
      <c r="X436" t="str">
        <f t="shared" si="40"/>
        <v/>
      </c>
      <c r="Y436" t="str">
        <f t="shared" si="41"/>
        <v/>
      </c>
    </row>
    <row r="437" spans="1:25" ht="14.5" x14ac:dyDescent="0.35">
      <c r="A437" s="3"/>
      <c r="B437" s="2"/>
      <c r="C437" s="2"/>
      <c r="D437" s="4"/>
      <c r="E437" s="2"/>
      <c r="F437" s="2"/>
      <c r="G437" s="3" t="str">
        <f t="shared" si="36"/>
        <v/>
      </c>
      <c r="H437" s="3"/>
      <c r="I437" s="3"/>
      <c r="J437" s="2"/>
      <c r="K437" s="2"/>
      <c r="L437" s="2"/>
      <c r="M437" s="4"/>
      <c r="N437" s="2"/>
      <c r="O437" s="5" t="str">
        <f t="shared" ca="1" si="37"/>
        <v/>
      </c>
      <c r="P437" s="6"/>
      <c r="V437" t="str">
        <f t="shared" si="38"/>
        <v/>
      </c>
      <c r="W437" t="str">
        <f t="shared" si="39"/>
        <v/>
      </c>
      <c r="X437" t="str">
        <f t="shared" si="40"/>
        <v/>
      </c>
      <c r="Y437" t="str">
        <f t="shared" si="41"/>
        <v/>
      </c>
    </row>
    <row r="438" spans="1:25" ht="14.5" x14ac:dyDescent="0.35">
      <c r="A438" s="3"/>
      <c r="B438" s="2"/>
      <c r="C438" s="2"/>
      <c r="D438" s="4"/>
      <c r="E438" s="2"/>
      <c r="F438" s="2"/>
      <c r="G438" s="3" t="str">
        <f t="shared" si="36"/>
        <v/>
      </c>
      <c r="H438" s="3"/>
      <c r="I438" s="3"/>
      <c r="J438" s="2"/>
      <c r="K438" s="2"/>
      <c r="L438" s="2"/>
      <c r="M438" s="4"/>
      <c r="N438" s="2"/>
      <c r="O438" s="5" t="str">
        <f t="shared" ca="1" si="37"/>
        <v/>
      </c>
      <c r="P438" s="6"/>
      <c r="V438" t="str">
        <f t="shared" si="38"/>
        <v/>
      </c>
      <c r="W438" t="str">
        <f t="shared" si="39"/>
        <v/>
      </c>
      <c r="X438" t="str">
        <f t="shared" si="40"/>
        <v/>
      </c>
      <c r="Y438" t="str">
        <f t="shared" si="41"/>
        <v/>
      </c>
    </row>
    <row r="439" spans="1:25" ht="14.5" x14ac:dyDescent="0.35">
      <c r="A439" s="3"/>
      <c r="B439" s="2"/>
      <c r="C439" s="2"/>
      <c r="D439" s="4"/>
      <c r="E439" s="2"/>
      <c r="F439" s="2"/>
      <c r="G439" s="3" t="str">
        <f t="shared" si="36"/>
        <v/>
      </c>
      <c r="H439" s="3"/>
      <c r="I439" s="3"/>
      <c r="J439" s="2"/>
      <c r="K439" s="2"/>
      <c r="L439" s="2"/>
      <c r="M439" s="4"/>
      <c r="N439" s="2"/>
      <c r="O439" s="5" t="str">
        <f t="shared" ca="1" si="37"/>
        <v/>
      </c>
      <c r="P439" s="6"/>
      <c r="V439" t="str">
        <f t="shared" si="38"/>
        <v/>
      </c>
      <c r="W439" t="str">
        <f t="shared" si="39"/>
        <v/>
      </c>
      <c r="X439" t="str">
        <f t="shared" si="40"/>
        <v/>
      </c>
      <c r="Y439" t="str">
        <f t="shared" si="41"/>
        <v/>
      </c>
    </row>
    <row r="440" spans="1:25" ht="14.5" x14ac:dyDescent="0.35">
      <c r="A440" s="3"/>
      <c r="B440" s="2"/>
      <c r="C440" s="2"/>
      <c r="D440" s="4"/>
      <c r="E440" s="2"/>
      <c r="F440" s="2"/>
      <c r="G440" s="3" t="str">
        <f t="shared" si="36"/>
        <v/>
      </c>
      <c r="H440" s="3"/>
      <c r="I440" s="3"/>
      <c r="J440" s="2"/>
      <c r="K440" s="2"/>
      <c r="L440" s="2"/>
      <c r="M440" s="4"/>
      <c r="N440" s="2"/>
      <c r="O440" s="5" t="str">
        <f t="shared" ca="1" si="37"/>
        <v/>
      </c>
      <c r="P440" s="6"/>
      <c r="V440" t="str">
        <f t="shared" si="38"/>
        <v/>
      </c>
      <c r="W440" t="str">
        <f t="shared" si="39"/>
        <v/>
      </c>
      <c r="X440" t="str">
        <f t="shared" si="40"/>
        <v/>
      </c>
      <c r="Y440" t="str">
        <f t="shared" si="41"/>
        <v/>
      </c>
    </row>
    <row r="441" spans="1:25" ht="14.5" x14ac:dyDescent="0.35">
      <c r="A441" s="3"/>
      <c r="B441" s="2"/>
      <c r="C441" s="2"/>
      <c r="D441" s="4"/>
      <c r="E441" s="2"/>
      <c r="F441" s="2"/>
      <c r="G441" s="3" t="str">
        <f t="shared" si="36"/>
        <v/>
      </c>
      <c r="H441" s="3"/>
      <c r="I441" s="3"/>
      <c r="J441" s="2"/>
      <c r="K441" s="2"/>
      <c r="L441" s="2"/>
      <c r="M441" s="4"/>
      <c r="N441" s="2"/>
      <c r="O441" s="5" t="str">
        <f t="shared" ca="1" si="37"/>
        <v/>
      </c>
      <c r="P441" s="6"/>
      <c r="V441" t="str">
        <f t="shared" si="38"/>
        <v/>
      </c>
      <c r="W441" t="str">
        <f t="shared" si="39"/>
        <v/>
      </c>
      <c r="X441" t="str">
        <f t="shared" si="40"/>
        <v/>
      </c>
      <c r="Y441" t="str">
        <f t="shared" si="41"/>
        <v/>
      </c>
    </row>
    <row r="442" spans="1:25" ht="14.5" x14ac:dyDescent="0.35">
      <c r="A442" s="3"/>
      <c r="B442" s="2"/>
      <c r="C442" s="2"/>
      <c r="D442" s="4"/>
      <c r="E442" s="2"/>
      <c r="F442" s="2"/>
      <c r="G442" s="3" t="str">
        <f t="shared" si="36"/>
        <v/>
      </c>
      <c r="H442" s="3"/>
      <c r="I442" s="3"/>
      <c r="J442" s="2"/>
      <c r="K442" s="2"/>
      <c r="L442" s="2"/>
      <c r="M442" s="4"/>
      <c r="N442" s="2"/>
      <c r="O442" s="5" t="str">
        <f t="shared" ca="1" si="37"/>
        <v/>
      </c>
      <c r="P442" s="6"/>
      <c r="V442" t="str">
        <f t="shared" si="38"/>
        <v/>
      </c>
      <c r="W442" t="str">
        <f t="shared" si="39"/>
        <v/>
      </c>
      <c r="X442" t="str">
        <f t="shared" si="40"/>
        <v/>
      </c>
      <c r="Y442" t="str">
        <f t="shared" si="41"/>
        <v/>
      </c>
    </row>
    <row r="443" spans="1:25" ht="14.5" x14ac:dyDescent="0.35">
      <c r="A443" s="3"/>
      <c r="B443" s="2"/>
      <c r="C443" s="2"/>
      <c r="D443" s="4"/>
      <c r="E443" s="2"/>
      <c r="F443" s="2"/>
      <c r="G443" s="3" t="str">
        <f t="shared" si="36"/>
        <v/>
      </c>
      <c r="H443" s="3"/>
      <c r="I443" s="3"/>
      <c r="J443" s="2"/>
      <c r="K443" s="2"/>
      <c r="L443" s="2"/>
      <c r="M443" s="4"/>
      <c r="N443" s="2"/>
      <c r="O443" s="5" t="str">
        <f t="shared" ca="1" si="37"/>
        <v/>
      </c>
      <c r="P443" s="6"/>
      <c r="V443" t="str">
        <f t="shared" si="38"/>
        <v/>
      </c>
      <c r="W443" t="str">
        <f t="shared" si="39"/>
        <v/>
      </c>
      <c r="X443" t="str">
        <f t="shared" si="40"/>
        <v/>
      </c>
      <c r="Y443" t="str">
        <f t="shared" si="41"/>
        <v/>
      </c>
    </row>
    <row r="444" spans="1:25" ht="14.5" x14ac:dyDescent="0.35">
      <c r="A444" s="3"/>
      <c r="B444" s="2"/>
      <c r="C444" s="2"/>
      <c r="D444" s="4"/>
      <c r="E444" s="2"/>
      <c r="F444" s="2"/>
      <c r="G444" s="3" t="str">
        <f t="shared" si="36"/>
        <v/>
      </c>
      <c r="H444" s="3"/>
      <c r="I444" s="3"/>
      <c r="J444" s="2"/>
      <c r="K444" s="2"/>
      <c r="L444" s="2"/>
      <c r="M444" s="4"/>
      <c r="N444" s="2"/>
      <c r="O444" s="5" t="str">
        <f t="shared" ca="1" si="37"/>
        <v/>
      </c>
      <c r="P444" s="6"/>
      <c r="V444" t="str">
        <f t="shared" si="38"/>
        <v/>
      </c>
      <c r="W444" t="str">
        <f t="shared" si="39"/>
        <v/>
      </c>
      <c r="X444" t="str">
        <f t="shared" si="40"/>
        <v/>
      </c>
      <c r="Y444" t="str">
        <f t="shared" si="41"/>
        <v/>
      </c>
    </row>
    <row r="445" spans="1:25" ht="14.5" x14ac:dyDescent="0.35">
      <c r="A445" s="3"/>
      <c r="B445" s="2"/>
      <c r="C445" s="2"/>
      <c r="D445" s="4"/>
      <c r="E445" s="2"/>
      <c r="F445" s="2"/>
      <c r="G445" s="3" t="str">
        <f t="shared" si="36"/>
        <v/>
      </c>
      <c r="H445" s="3"/>
      <c r="I445" s="3"/>
      <c r="J445" s="2"/>
      <c r="K445" s="2"/>
      <c r="L445" s="2"/>
      <c r="M445" s="4"/>
      <c r="N445" s="2"/>
      <c r="O445" s="5" t="str">
        <f t="shared" ca="1" si="37"/>
        <v/>
      </c>
      <c r="P445" s="6"/>
      <c r="V445" t="str">
        <f t="shared" si="38"/>
        <v/>
      </c>
      <c r="W445" t="str">
        <f t="shared" si="39"/>
        <v/>
      </c>
      <c r="X445" t="str">
        <f t="shared" si="40"/>
        <v/>
      </c>
      <c r="Y445" t="str">
        <f t="shared" si="41"/>
        <v/>
      </c>
    </row>
    <row r="446" spans="1:25" ht="14.5" x14ac:dyDescent="0.35">
      <c r="A446" s="3"/>
      <c r="B446" s="2"/>
      <c r="C446" s="2"/>
      <c r="D446" s="4"/>
      <c r="E446" s="2"/>
      <c r="F446" s="2"/>
      <c r="G446" s="3" t="str">
        <f t="shared" si="36"/>
        <v/>
      </c>
      <c r="H446" s="3"/>
      <c r="I446" s="3"/>
      <c r="J446" s="2"/>
      <c r="K446" s="2"/>
      <c r="L446" s="2"/>
      <c r="M446" s="4"/>
      <c r="N446" s="2"/>
      <c r="O446" s="5" t="str">
        <f t="shared" ca="1" si="37"/>
        <v/>
      </c>
      <c r="P446" s="6"/>
      <c r="V446" t="str">
        <f t="shared" si="38"/>
        <v/>
      </c>
      <c r="W446" t="str">
        <f t="shared" si="39"/>
        <v/>
      </c>
      <c r="X446" t="str">
        <f t="shared" si="40"/>
        <v/>
      </c>
      <c r="Y446" t="str">
        <f t="shared" si="41"/>
        <v/>
      </c>
    </row>
    <row r="447" spans="1:25" ht="14.5" x14ac:dyDescent="0.35">
      <c r="A447" s="3"/>
      <c r="B447" s="2"/>
      <c r="C447" s="2"/>
      <c r="D447" s="4"/>
      <c r="E447" s="2"/>
      <c r="F447" s="2"/>
      <c r="G447" s="3" t="str">
        <f t="shared" si="36"/>
        <v/>
      </c>
      <c r="H447" s="3"/>
      <c r="I447" s="3"/>
      <c r="J447" s="2"/>
      <c r="K447" s="2"/>
      <c r="L447" s="2"/>
      <c r="M447" s="4"/>
      <c r="N447" s="2"/>
      <c r="O447" s="5" t="str">
        <f t="shared" ca="1" si="37"/>
        <v/>
      </c>
      <c r="P447" s="6"/>
      <c r="V447" t="str">
        <f t="shared" si="38"/>
        <v/>
      </c>
      <c r="W447" t="str">
        <f t="shared" si="39"/>
        <v/>
      </c>
      <c r="X447" t="str">
        <f t="shared" si="40"/>
        <v/>
      </c>
      <c r="Y447" t="str">
        <f t="shared" si="41"/>
        <v/>
      </c>
    </row>
    <row r="448" spans="1:25" ht="14.5" x14ac:dyDescent="0.35">
      <c r="A448" s="3"/>
      <c r="B448" s="2"/>
      <c r="C448" s="2"/>
      <c r="D448" s="4"/>
      <c r="E448" s="2"/>
      <c r="F448" s="2"/>
      <c r="G448" s="3" t="str">
        <f t="shared" si="36"/>
        <v/>
      </c>
      <c r="H448" s="3"/>
      <c r="I448" s="3"/>
      <c r="J448" s="2"/>
      <c r="K448" s="2"/>
      <c r="L448" s="2"/>
      <c r="M448" s="4"/>
      <c r="N448" s="2"/>
      <c r="O448" s="5" t="str">
        <f t="shared" ca="1" si="37"/>
        <v/>
      </c>
      <c r="P448" s="6"/>
      <c r="V448" t="str">
        <f t="shared" si="38"/>
        <v/>
      </c>
      <c r="W448" t="str">
        <f t="shared" si="39"/>
        <v/>
      </c>
      <c r="X448" t="str">
        <f t="shared" si="40"/>
        <v/>
      </c>
      <c r="Y448" t="str">
        <f t="shared" si="41"/>
        <v/>
      </c>
    </row>
    <row r="449" spans="1:25" ht="14.5" x14ac:dyDescent="0.35">
      <c r="A449" s="3"/>
      <c r="B449" s="2"/>
      <c r="C449" s="2"/>
      <c r="D449" s="4"/>
      <c r="E449" s="2"/>
      <c r="F449" s="2"/>
      <c r="G449" s="3" t="str">
        <f t="shared" si="36"/>
        <v/>
      </c>
      <c r="H449" s="3"/>
      <c r="I449" s="3"/>
      <c r="J449" s="2"/>
      <c r="K449" s="2"/>
      <c r="L449" s="2"/>
      <c r="M449" s="4"/>
      <c r="N449" s="2"/>
      <c r="O449" s="5" t="str">
        <f t="shared" ca="1" si="37"/>
        <v/>
      </c>
      <c r="P449" s="6"/>
      <c r="V449" t="str">
        <f t="shared" si="38"/>
        <v/>
      </c>
      <c r="W449" t="str">
        <f t="shared" si="39"/>
        <v/>
      </c>
      <c r="X449" t="str">
        <f t="shared" si="40"/>
        <v/>
      </c>
      <c r="Y449" t="str">
        <f t="shared" si="41"/>
        <v/>
      </c>
    </row>
    <row r="450" spans="1:25" ht="14.5" x14ac:dyDescent="0.35">
      <c r="A450" s="3"/>
      <c r="B450" s="2"/>
      <c r="C450" s="2"/>
      <c r="D450" s="4"/>
      <c r="E450" s="2"/>
      <c r="F450" s="2"/>
      <c r="G450" s="3" t="str">
        <f t="shared" ref="G450:G513" si="42">IF(COUNTIF($A$2:$A$1500,A450&amp;".*")=0,"",COUNTIF($A$2:$A$1500,A450&amp;".*"))</f>
        <v/>
      </c>
      <c r="H450" s="3"/>
      <c r="I450" s="3"/>
      <c r="J450" s="2"/>
      <c r="K450" s="2"/>
      <c r="L450" s="2"/>
      <c r="M450" s="4"/>
      <c r="N450" s="2"/>
      <c r="O450" s="5" t="str">
        <f t="shared" ref="O450:O513" ca="1" si="43">IF(M450="","",INT(M450)-TODAY())</f>
        <v/>
      </c>
      <c r="P450" s="6"/>
      <c r="V450" t="str">
        <f t="shared" ref="V450:V513" si="44">IF(M450="","",M450+Q450/1000000)</f>
        <v/>
      </c>
      <c r="W450" t="str">
        <f t="shared" ref="W450:W513" si="45">IF(U450="","",IF(M450="",9999999+Q450/1000000,M450+Q450/1000000))</f>
        <v/>
      </c>
      <c r="X450" t="str">
        <f t="shared" ref="X450:X513" si="46">IF(U450="","",SUMPRODUCT(($U$2:$U$1500=U450)*($W$2:$W$1500&lt;=W450)))</f>
        <v/>
      </c>
      <c r="Y450" t="str">
        <f t="shared" ref="Y450:Y513" si="47">IF(U450="","",U450&amp;"|"&amp;X450)</f>
        <v/>
      </c>
    </row>
    <row r="451" spans="1:25" ht="14.5" x14ac:dyDescent="0.35">
      <c r="A451" s="3"/>
      <c r="B451" s="2"/>
      <c r="C451" s="2"/>
      <c r="D451" s="4"/>
      <c r="E451" s="2"/>
      <c r="F451" s="2"/>
      <c r="G451" s="3" t="str">
        <f t="shared" si="42"/>
        <v/>
      </c>
      <c r="H451" s="3"/>
      <c r="I451" s="3"/>
      <c r="J451" s="2"/>
      <c r="K451" s="2"/>
      <c r="L451" s="2"/>
      <c r="M451" s="4"/>
      <c r="N451" s="2"/>
      <c r="O451" s="5" t="str">
        <f t="shared" ca="1" si="43"/>
        <v/>
      </c>
      <c r="P451" s="6"/>
      <c r="V451" t="str">
        <f t="shared" si="44"/>
        <v/>
      </c>
      <c r="W451" t="str">
        <f t="shared" si="45"/>
        <v/>
      </c>
      <c r="X451" t="str">
        <f t="shared" si="46"/>
        <v/>
      </c>
      <c r="Y451" t="str">
        <f t="shared" si="47"/>
        <v/>
      </c>
    </row>
    <row r="452" spans="1:25" ht="14.5" x14ac:dyDescent="0.35">
      <c r="A452" s="3"/>
      <c r="B452" s="2"/>
      <c r="C452" s="2"/>
      <c r="D452" s="4"/>
      <c r="E452" s="2"/>
      <c r="F452" s="2"/>
      <c r="G452" s="3" t="str">
        <f t="shared" si="42"/>
        <v/>
      </c>
      <c r="H452" s="3"/>
      <c r="I452" s="3"/>
      <c r="J452" s="2"/>
      <c r="K452" s="2"/>
      <c r="L452" s="2"/>
      <c r="M452" s="4"/>
      <c r="N452" s="2"/>
      <c r="O452" s="5" t="str">
        <f t="shared" ca="1" si="43"/>
        <v/>
      </c>
      <c r="P452" s="6"/>
      <c r="V452" t="str">
        <f t="shared" si="44"/>
        <v/>
      </c>
      <c r="W452" t="str">
        <f t="shared" si="45"/>
        <v/>
      </c>
      <c r="X452" t="str">
        <f t="shared" si="46"/>
        <v/>
      </c>
      <c r="Y452" t="str">
        <f t="shared" si="47"/>
        <v/>
      </c>
    </row>
    <row r="453" spans="1:25" ht="14.5" x14ac:dyDescent="0.35">
      <c r="A453" s="3"/>
      <c r="B453" s="2"/>
      <c r="C453" s="2"/>
      <c r="D453" s="4"/>
      <c r="E453" s="2"/>
      <c r="F453" s="2"/>
      <c r="G453" s="3" t="str">
        <f t="shared" si="42"/>
        <v/>
      </c>
      <c r="H453" s="3"/>
      <c r="I453" s="3"/>
      <c r="J453" s="2"/>
      <c r="K453" s="2"/>
      <c r="L453" s="2"/>
      <c r="M453" s="4"/>
      <c r="N453" s="2"/>
      <c r="O453" s="5" t="str">
        <f t="shared" ca="1" si="43"/>
        <v/>
      </c>
      <c r="P453" s="6"/>
      <c r="V453" t="str">
        <f t="shared" si="44"/>
        <v/>
      </c>
      <c r="W453" t="str">
        <f t="shared" si="45"/>
        <v/>
      </c>
      <c r="X453" t="str">
        <f t="shared" si="46"/>
        <v/>
      </c>
      <c r="Y453" t="str">
        <f t="shared" si="47"/>
        <v/>
      </c>
    </row>
    <row r="454" spans="1:25" ht="14.5" x14ac:dyDescent="0.35">
      <c r="A454" s="3"/>
      <c r="B454" s="2"/>
      <c r="C454" s="2"/>
      <c r="D454" s="4"/>
      <c r="E454" s="2"/>
      <c r="F454" s="2"/>
      <c r="G454" s="3" t="str">
        <f t="shared" si="42"/>
        <v/>
      </c>
      <c r="H454" s="3"/>
      <c r="I454" s="3"/>
      <c r="J454" s="2"/>
      <c r="K454" s="2"/>
      <c r="L454" s="2"/>
      <c r="M454" s="4"/>
      <c r="N454" s="2"/>
      <c r="O454" s="5" t="str">
        <f t="shared" ca="1" si="43"/>
        <v/>
      </c>
      <c r="P454" s="6"/>
      <c r="V454" t="str">
        <f t="shared" si="44"/>
        <v/>
      </c>
      <c r="W454" t="str">
        <f t="shared" si="45"/>
        <v/>
      </c>
      <c r="X454" t="str">
        <f t="shared" si="46"/>
        <v/>
      </c>
      <c r="Y454" t="str">
        <f t="shared" si="47"/>
        <v/>
      </c>
    </row>
    <row r="455" spans="1:25" ht="14.5" x14ac:dyDescent="0.35">
      <c r="A455" s="3"/>
      <c r="B455" s="2"/>
      <c r="C455" s="2"/>
      <c r="D455" s="4"/>
      <c r="E455" s="2"/>
      <c r="F455" s="2"/>
      <c r="G455" s="3" t="str">
        <f t="shared" si="42"/>
        <v/>
      </c>
      <c r="H455" s="3"/>
      <c r="I455" s="3"/>
      <c r="J455" s="2"/>
      <c r="K455" s="2"/>
      <c r="L455" s="2"/>
      <c r="M455" s="4"/>
      <c r="N455" s="2"/>
      <c r="O455" s="5" t="str">
        <f t="shared" ca="1" si="43"/>
        <v/>
      </c>
      <c r="P455" s="6"/>
      <c r="V455" t="str">
        <f t="shared" si="44"/>
        <v/>
      </c>
      <c r="W455" t="str">
        <f t="shared" si="45"/>
        <v/>
      </c>
      <c r="X455" t="str">
        <f t="shared" si="46"/>
        <v/>
      </c>
      <c r="Y455" t="str">
        <f t="shared" si="47"/>
        <v/>
      </c>
    </row>
    <row r="456" spans="1:25" ht="14.5" x14ac:dyDescent="0.35">
      <c r="A456" s="3"/>
      <c r="B456" s="2"/>
      <c r="C456" s="2"/>
      <c r="D456" s="4"/>
      <c r="E456" s="2"/>
      <c r="F456" s="2"/>
      <c r="G456" s="3" t="str">
        <f t="shared" si="42"/>
        <v/>
      </c>
      <c r="H456" s="3"/>
      <c r="I456" s="3"/>
      <c r="J456" s="2"/>
      <c r="K456" s="2"/>
      <c r="L456" s="2"/>
      <c r="M456" s="4"/>
      <c r="N456" s="2"/>
      <c r="O456" s="5" t="str">
        <f t="shared" ca="1" si="43"/>
        <v/>
      </c>
      <c r="P456" s="6"/>
      <c r="V456" t="str">
        <f t="shared" si="44"/>
        <v/>
      </c>
      <c r="W456" t="str">
        <f t="shared" si="45"/>
        <v/>
      </c>
      <c r="X456" t="str">
        <f t="shared" si="46"/>
        <v/>
      </c>
      <c r="Y456" t="str">
        <f t="shared" si="47"/>
        <v/>
      </c>
    </row>
    <row r="457" spans="1:25" ht="14.5" x14ac:dyDescent="0.35">
      <c r="A457" s="3"/>
      <c r="B457" s="2"/>
      <c r="C457" s="2"/>
      <c r="D457" s="4"/>
      <c r="E457" s="2"/>
      <c r="F457" s="2"/>
      <c r="G457" s="3" t="str">
        <f t="shared" si="42"/>
        <v/>
      </c>
      <c r="H457" s="3"/>
      <c r="I457" s="3"/>
      <c r="J457" s="2"/>
      <c r="K457" s="2"/>
      <c r="L457" s="2"/>
      <c r="M457" s="4"/>
      <c r="N457" s="2"/>
      <c r="O457" s="5" t="str">
        <f t="shared" ca="1" si="43"/>
        <v/>
      </c>
      <c r="P457" s="6"/>
      <c r="V457" t="str">
        <f t="shared" si="44"/>
        <v/>
      </c>
      <c r="W457" t="str">
        <f t="shared" si="45"/>
        <v/>
      </c>
      <c r="X457" t="str">
        <f t="shared" si="46"/>
        <v/>
      </c>
      <c r="Y457" t="str">
        <f t="shared" si="47"/>
        <v/>
      </c>
    </row>
    <row r="458" spans="1:25" ht="14.5" x14ac:dyDescent="0.35">
      <c r="A458" s="3"/>
      <c r="B458" s="2"/>
      <c r="C458" s="2"/>
      <c r="D458" s="4"/>
      <c r="E458" s="2"/>
      <c r="F458" s="2"/>
      <c r="G458" s="3" t="str">
        <f t="shared" si="42"/>
        <v/>
      </c>
      <c r="H458" s="3"/>
      <c r="I458" s="3"/>
      <c r="J458" s="2"/>
      <c r="K458" s="2"/>
      <c r="L458" s="2"/>
      <c r="M458" s="4"/>
      <c r="N458" s="2"/>
      <c r="O458" s="5" t="str">
        <f t="shared" ca="1" si="43"/>
        <v/>
      </c>
      <c r="P458" s="6"/>
      <c r="V458" t="str">
        <f t="shared" si="44"/>
        <v/>
      </c>
      <c r="W458" t="str">
        <f t="shared" si="45"/>
        <v/>
      </c>
      <c r="X458" t="str">
        <f t="shared" si="46"/>
        <v/>
      </c>
      <c r="Y458" t="str">
        <f t="shared" si="47"/>
        <v/>
      </c>
    </row>
    <row r="459" spans="1:25" ht="14.5" x14ac:dyDescent="0.35">
      <c r="A459" s="3"/>
      <c r="B459" s="2"/>
      <c r="C459" s="2"/>
      <c r="D459" s="4"/>
      <c r="E459" s="2"/>
      <c r="F459" s="2"/>
      <c r="G459" s="3" t="str">
        <f t="shared" si="42"/>
        <v/>
      </c>
      <c r="H459" s="3"/>
      <c r="I459" s="3"/>
      <c r="J459" s="2"/>
      <c r="K459" s="2"/>
      <c r="L459" s="2"/>
      <c r="M459" s="4"/>
      <c r="N459" s="2"/>
      <c r="O459" s="5" t="str">
        <f t="shared" ca="1" si="43"/>
        <v/>
      </c>
      <c r="P459" s="6"/>
      <c r="V459" t="str">
        <f t="shared" si="44"/>
        <v/>
      </c>
      <c r="W459" t="str">
        <f t="shared" si="45"/>
        <v/>
      </c>
      <c r="X459" t="str">
        <f t="shared" si="46"/>
        <v/>
      </c>
      <c r="Y459" t="str">
        <f t="shared" si="47"/>
        <v/>
      </c>
    </row>
    <row r="460" spans="1:25" ht="14.5" x14ac:dyDescent="0.35">
      <c r="A460" s="3"/>
      <c r="B460" s="2"/>
      <c r="C460" s="2"/>
      <c r="D460" s="4"/>
      <c r="E460" s="2"/>
      <c r="F460" s="2"/>
      <c r="G460" s="3" t="str">
        <f t="shared" si="42"/>
        <v/>
      </c>
      <c r="H460" s="3"/>
      <c r="I460" s="3"/>
      <c r="J460" s="2"/>
      <c r="K460" s="2"/>
      <c r="L460" s="2"/>
      <c r="M460" s="4"/>
      <c r="N460" s="2"/>
      <c r="O460" s="5" t="str">
        <f t="shared" ca="1" si="43"/>
        <v/>
      </c>
      <c r="P460" s="6"/>
      <c r="V460" t="str">
        <f t="shared" si="44"/>
        <v/>
      </c>
      <c r="W460" t="str">
        <f t="shared" si="45"/>
        <v/>
      </c>
      <c r="X460" t="str">
        <f t="shared" si="46"/>
        <v/>
      </c>
      <c r="Y460" t="str">
        <f t="shared" si="47"/>
        <v/>
      </c>
    </row>
    <row r="461" spans="1:25" ht="14.5" x14ac:dyDescent="0.35">
      <c r="A461" s="3"/>
      <c r="B461" s="2"/>
      <c r="C461" s="2"/>
      <c r="D461" s="4"/>
      <c r="E461" s="2"/>
      <c r="F461" s="2"/>
      <c r="G461" s="3" t="str">
        <f t="shared" si="42"/>
        <v/>
      </c>
      <c r="H461" s="3"/>
      <c r="I461" s="3"/>
      <c r="J461" s="2"/>
      <c r="K461" s="2"/>
      <c r="L461" s="2"/>
      <c r="M461" s="4"/>
      <c r="N461" s="2"/>
      <c r="O461" s="5" t="str">
        <f t="shared" ca="1" si="43"/>
        <v/>
      </c>
      <c r="P461" s="6"/>
      <c r="V461" t="str">
        <f t="shared" si="44"/>
        <v/>
      </c>
      <c r="W461" t="str">
        <f t="shared" si="45"/>
        <v/>
      </c>
      <c r="X461" t="str">
        <f t="shared" si="46"/>
        <v/>
      </c>
      <c r="Y461" t="str">
        <f t="shared" si="47"/>
        <v/>
      </c>
    </row>
    <row r="462" spans="1:25" ht="14.5" x14ac:dyDescent="0.35">
      <c r="A462" s="3"/>
      <c r="B462" s="2"/>
      <c r="C462" s="2"/>
      <c r="D462" s="4"/>
      <c r="E462" s="2"/>
      <c r="F462" s="2"/>
      <c r="G462" s="3" t="str">
        <f t="shared" si="42"/>
        <v/>
      </c>
      <c r="H462" s="3"/>
      <c r="I462" s="3"/>
      <c r="J462" s="2"/>
      <c r="K462" s="2"/>
      <c r="L462" s="2"/>
      <c r="M462" s="4"/>
      <c r="N462" s="2"/>
      <c r="O462" s="5" t="str">
        <f t="shared" ca="1" si="43"/>
        <v/>
      </c>
      <c r="P462" s="6"/>
      <c r="V462" t="str">
        <f t="shared" si="44"/>
        <v/>
      </c>
      <c r="W462" t="str">
        <f t="shared" si="45"/>
        <v/>
      </c>
      <c r="X462" t="str">
        <f t="shared" si="46"/>
        <v/>
      </c>
      <c r="Y462" t="str">
        <f t="shared" si="47"/>
        <v/>
      </c>
    </row>
    <row r="463" spans="1:25" ht="14.5" x14ac:dyDescent="0.35">
      <c r="A463" s="3"/>
      <c r="B463" s="2"/>
      <c r="C463" s="2"/>
      <c r="D463" s="4"/>
      <c r="E463" s="2"/>
      <c r="F463" s="2"/>
      <c r="G463" s="3" t="str">
        <f t="shared" si="42"/>
        <v/>
      </c>
      <c r="H463" s="3"/>
      <c r="I463" s="3"/>
      <c r="J463" s="2"/>
      <c r="K463" s="2"/>
      <c r="L463" s="2"/>
      <c r="M463" s="4"/>
      <c r="N463" s="2"/>
      <c r="O463" s="5" t="str">
        <f t="shared" ca="1" si="43"/>
        <v/>
      </c>
      <c r="P463" s="6"/>
      <c r="V463" t="str">
        <f t="shared" si="44"/>
        <v/>
      </c>
      <c r="W463" t="str">
        <f t="shared" si="45"/>
        <v/>
      </c>
      <c r="X463" t="str">
        <f t="shared" si="46"/>
        <v/>
      </c>
      <c r="Y463" t="str">
        <f t="shared" si="47"/>
        <v/>
      </c>
    </row>
    <row r="464" spans="1:25" ht="14.5" x14ac:dyDescent="0.35">
      <c r="A464" s="3"/>
      <c r="B464" s="2"/>
      <c r="C464" s="2"/>
      <c r="D464" s="4"/>
      <c r="E464" s="2"/>
      <c r="F464" s="2"/>
      <c r="G464" s="3" t="str">
        <f t="shared" si="42"/>
        <v/>
      </c>
      <c r="H464" s="3"/>
      <c r="I464" s="3"/>
      <c r="J464" s="2"/>
      <c r="K464" s="2"/>
      <c r="L464" s="2"/>
      <c r="M464" s="4"/>
      <c r="N464" s="2"/>
      <c r="O464" s="5" t="str">
        <f t="shared" ca="1" si="43"/>
        <v/>
      </c>
      <c r="P464" s="6"/>
      <c r="V464" t="str">
        <f t="shared" si="44"/>
        <v/>
      </c>
      <c r="W464" t="str">
        <f t="shared" si="45"/>
        <v/>
      </c>
      <c r="X464" t="str">
        <f t="shared" si="46"/>
        <v/>
      </c>
      <c r="Y464" t="str">
        <f t="shared" si="47"/>
        <v/>
      </c>
    </row>
    <row r="465" spans="1:25" ht="14.5" x14ac:dyDescent="0.35">
      <c r="A465" s="3"/>
      <c r="B465" s="2"/>
      <c r="C465" s="2"/>
      <c r="D465" s="4"/>
      <c r="E465" s="2"/>
      <c r="F465" s="2"/>
      <c r="G465" s="3" t="str">
        <f t="shared" si="42"/>
        <v/>
      </c>
      <c r="H465" s="3"/>
      <c r="I465" s="3"/>
      <c r="J465" s="2"/>
      <c r="K465" s="2"/>
      <c r="L465" s="2"/>
      <c r="M465" s="4"/>
      <c r="N465" s="2"/>
      <c r="O465" s="5" t="str">
        <f t="shared" ca="1" si="43"/>
        <v/>
      </c>
      <c r="P465" s="6"/>
      <c r="V465" t="str">
        <f t="shared" si="44"/>
        <v/>
      </c>
      <c r="W465" t="str">
        <f t="shared" si="45"/>
        <v/>
      </c>
      <c r="X465" t="str">
        <f t="shared" si="46"/>
        <v/>
      </c>
      <c r="Y465" t="str">
        <f t="shared" si="47"/>
        <v/>
      </c>
    </row>
    <row r="466" spans="1:25" ht="14.5" x14ac:dyDescent="0.35">
      <c r="A466" s="3"/>
      <c r="B466" s="2"/>
      <c r="C466" s="2"/>
      <c r="D466" s="4"/>
      <c r="E466" s="2"/>
      <c r="F466" s="2"/>
      <c r="G466" s="3" t="str">
        <f t="shared" si="42"/>
        <v/>
      </c>
      <c r="H466" s="3"/>
      <c r="I466" s="3"/>
      <c r="J466" s="2"/>
      <c r="K466" s="2"/>
      <c r="L466" s="2"/>
      <c r="M466" s="4"/>
      <c r="N466" s="2"/>
      <c r="O466" s="5" t="str">
        <f t="shared" ca="1" si="43"/>
        <v/>
      </c>
      <c r="P466" s="6"/>
      <c r="V466" t="str">
        <f t="shared" si="44"/>
        <v/>
      </c>
      <c r="W466" t="str">
        <f t="shared" si="45"/>
        <v/>
      </c>
      <c r="X466" t="str">
        <f t="shared" si="46"/>
        <v/>
      </c>
      <c r="Y466" t="str">
        <f t="shared" si="47"/>
        <v/>
      </c>
    </row>
    <row r="467" spans="1:25" ht="14.5" x14ac:dyDescent="0.35">
      <c r="A467" s="3"/>
      <c r="B467" s="2"/>
      <c r="C467" s="2"/>
      <c r="D467" s="4"/>
      <c r="E467" s="2"/>
      <c r="F467" s="2"/>
      <c r="G467" s="3" t="str">
        <f t="shared" si="42"/>
        <v/>
      </c>
      <c r="H467" s="3"/>
      <c r="I467" s="3"/>
      <c r="J467" s="2"/>
      <c r="K467" s="2"/>
      <c r="L467" s="2"/>
      <c r="M467" s="4"/>
      <c r="N467" s="2"/>
      <c r="O467" s="5" t="str">
        <f t="shared" ca="1" si="43"/>
        <v/>
      </c>
      <c r="P467" s="6"/>
      <c r="V467" t="str">
        <f t="shared" si="44"/>
        <v/>
      </c>
      <c r="W467" t="str">
        <f t="shared" si="45"/>
        <v/>
      </c>
      <c r="X467" t="str">
        <f t="shared" si="46"/>
        <v/>
      </c>
      <c r="Y467" t="str">
        <f t="shared" si="47"/>
        <v/>
      </c>
    </row>
    <row r="468" spans="1:25" ht="14.5" x14ac:dyDescent="0.35">
      <c r="A468" s="3"/>
      <c r="B468" s="2"/>
      <c r="C468" s="2"/>
      <c r="D468" s="4"/>
      <c r="E468" s="2"/>
      <c r="F468" s="2"/>
      <c r="G468" s="3" t="str">
        <f t="shared" si="42"/>
        <v/>
      </c>
      <c r="H468" s="3"/>
      <c r="I468" s="3"/>
      <c r="J468" s="2"/>
      <c r="K468" s="2"/>
      <c r="L468" s="2"/>
      <c r="M468" s="4"/>
      <c r="N468" s="2"/>
      <c r="O468" s="5" t="str">
        <f t="shared" ca="1" si="43"/>
        <v/>
      </c>
      <c r="P468" s="6"/>
      <c r="V468" t="str">
        <f t="shared" si="44"/>
        <v/>
      </c>
      <c r="W468" t="str">
        <f t="shared" si="45"/>
        <v/>
      </c>
      <c r="X468" t="str">
        <f t="shared" si="46"/>
        <v/>
      </c>
      <c r="Y468" t="str">
        <f t="shared" si="47"/>
        <v/>
      </c>
    </row>
    <row r="469" spans="1:25" ht="14.5" x14ac:dyDescent="0.35">
      <c r="A469" s="3"/>
      <c r="B469" s="2"/>
      <c r="C469" s="2"/>
      <c r="D469" s="4"/>
      <c r="E469" s="2"/>
      <c r="F469" s="2"/>
      <c r="G469" s="3" t="str">
        <f t="shared" si="42"/>
        <v/>
      </c>
      <c r="H469" s="3"/>
      <c r="I469" s="3"/>
      <c r="J469" s="2"/>
      <c r="K469" s="2"/>
      <c r="L469" s="2"/>
      <c r="M469" s="4"/>
      <c r="N469" s="2"/>
      <c r="O469" s="5" t="str">
        <f t="shared" ca="1" si="43"/>
        <v/>
      </c>
      <c r="P469" s="6"/>
      <c r="V469" t="str">
        <f t="shared" si="44"/>
        <v/>
      </c>
      <c r="W469" t="str">
        <f t="shared" si="45"/>
        <v/>
      </c>
      <c r="X469" t="str">
        <f t="shared" si="46"/>
        <v/>
      </c>
      <c r="Y469" t="str">
        <f t="shared" si="47"/>
        <v/>
      </c>
    </row>
    <row r="470" spans="1:25" ht="14.5" x14ac:dyDescent="0.35">
      <c r="A470" s="3"/>
      <c r="B470" s="2"/>
      <c r="C470" s="2"/>
      <c r="D470" s="4"/>
      <c r="E470" s="2"/>
      <c r="F470" s="2"/>
      <c r="G470" s="3" t="str">
        <f t="shared" si="42"/>
        <v/>
      </c>
      <c r="H470" s="3"/>
      <c r="I470" s="3"/>
      <c r="J470" s="2"/>
      <c r="K470" s="2"/>
      <c r="L470" s="2"/>
      <c r="M470" s="4"/>
      <c r="N470" s="2"/>
      <c r="O470" s="5" t="str">
        <f t="shared" ca="1" si="43"/>
        <v/>
      </c>
      <c r="P470" s="6"/>
      <c r="V470" t="str">
        <f t="shared" si="44"/>
        <v/>
      </c>
      <c r="W470" t="str">
        <f t="shared" si="45"/>
        <v/>
      </c>
      <c r="X470" t="str">
        <f t="shared" si="46"/>
        <v/>
      </c>
      <c r="Y470" t="str">
        <f t="shared" si="47"/>
        <v/>
      </c>
    </row>
    <row r="471" spans="1:25" ht="14.5" x14ac:dyDescent="0.35">
      <c r="A471" s="3"/>
      <c r="B471" s="2"/>
      <c r="C471" s="2"/>
      <c r="D471" s="4"/>
      <c r="E471" s="2"/>
      <c r="F471" s="2"/>
      <c r="G471" s="3" t="str">
        <f t="shared" si="42"/>
        <v/>
      </c>
      <c r="H471" s="3"/>
      <c r="I471" s="3"/>
      <c r="J471" s="2"/>
      <c r="K471" s="2"/>
      <c r="L471" s="2"/>
      <c r="M471" s="4"/>
      <c r="N471" s="2"/>
      <c r="O471" s="5" t="str">
        <f t="shared" ca="1" si="43"/>
        <v/>
      </c>
      <c r="P471" s="6"/>
      <c r="V471" t="str">
        <f t="shared" si="44"/>
        <v/>
      </c>
      <c r="W471" t="str">
        <f t="shared" si="45"/>
        <v/>
      </c>
      <c r="X471" t="str">
        <f t="shared" si="46"/>
        <v/>
      </c>
      <c r="Y471" t="str">
        <f t="shared" si="47"/>
        <v/>
      </c>
    </row>
    <row r="472" spans="1:25" ht="14.5" x14ac:dyDescent="0.35">
      <c r="A472" s="3"/>
      <c r="B472" s="2"/>
      <c r="C472" s="2"/>
      <c r="D472" s="4"/>
      <c r="E472" s="2"/>
      <c r="F472" s="2"/>
      <c r="G472" s="3" t="str">
        <f t="shared" si="42"/>
        <v/>
      </c>
      <c r="H472" s="3"/>
      <c r="I472" s="3"/>
      <c r="J472" s="2"/>
      <c r="K472" s="2"/>
      <c r="L472" s="2"/>
      <c r="M472" s="4"/>
      <c r="N472" s="2"/>
      <c r="O472" s="5" t="str">
        <f t="shared" ca="1" si="43"/>
        <v/>
      </c>
      <c r="P472" s="6"/>
      <c r="V472" t="str">
        <f t="shared" si="44"/>
        <v/>
      </c>
      <c r="W472" t="str">
        <f t="shared" si="45"/>
        <v/>
      </c>
      <c r="X472" t="str">
        <f t="shared" si="46"/>
        <v/>
      </c>
      <c r="Y472" t="str">
        <f t="shared" si="47"/>
        <v/>
      </c>
    </row>
    <row r="473" spans="1:25" ht="14.5" x14ac:dyDescent="0.35">
      <c r="A473" s="3"/>
      <c r="B473" s="2"/>
      <c r="C473" s="2"/>
      <c r="D473" s="4"/>
      <c r="E473" s="2"/>
      <c r="F473" s="2"/>
      <c r="G473" s="3" t="str">
        <f t="shared" si="42"/>
        <v/>
      </c>
      <c r="H473" s="3"/>
      <c r="I473" s="3"/>
      <c r="J473" s="2"/>
      <c r="K473" s="2"/>
      <c r="L473" s="2"/>
      <c r="M473" s="4"/>
      <c r="N473" s="2"/>
      <c r="O473" s="5" t="str">
        <f t="shared" ca="1" si="43"/>
        <v/>
      </c>
      <c r="P473" s="6"/>
      <c r="V473" t="str">
        <f t="shared" si="44"/>
        <v/>
      </c>
      <c r="W473" t="str">
        <f t="shared" si="45"/>
        <v/>
      </c>
      <c r="X473" t="str">
        <f t="shared" si="46"/>
        <v/>
      </c>
      <c r="Y473" t="str">
        <f t="shared" si="47"/>
        <v/>
      </c>
    </row>
    <row r="474" spans="1:25" ht="14.5" x14ac:dyDescent="0.35">
      <c r="A474" s="3"/>
      <c r="B474" s="2"/>
      <c r="C474" s="2"/>
      <c r="D474" s="4"/>
      <c r="E474" s="2"/>
      <c r="F474" s="2"/>
      <c r="G474" s="3" t="str">
        <f t="shared" si="42"/>
        <v/>
      </c>
      <c r="H474" s="3"/>
      <c r="I474" s="3"/>
      <c r="J474" s="2"/>
      <c r="K474" s="2"/>
      <c r="L474" s="2"/>
      <c r="M474" s="4"/>
      <c r="N474" s="2"/>
      <c r="O474" s="5" t="str">
        <f t="shared" ca="1" si="43"/>
        <v/>
      </c>
      <c r="P474" s="6"/>
      <c r="V474" t="str">
        <f t="shared" si="44"/>
        <v/>
      </c>
      <c r="W474" t="str">
        <f t="shared" si="45"/>
        <v/>
      </c>
      <c r="X474" t="str">
        <f t="shared" si="46"/>
        <v/>
      </c>
      <c r="Y474" t="str">
        <f t="shared" si="47"/>
        <v/>
      </c>
    </row>
    <row r="475" spans="1:25" ht="14.5" x14ac:dyDescent="0.35">
      <c r="A475" s="3"/>
      <c r="B475" s="2"/>
      <c r="C475" s="2"/>
      <c r="D475" s="4"/>
      <c r="E475" s="2"/>
      <c r="F475" s="2"/>
      <c r="G475" s="3" t="str">
        <f t="shared" si="42"/>
        <v/>
      </c>
      <c r="H475" s="3"/>
      <c r="I475" s="3"/>
      <c r="J475" s="2"/>
      <c r="K475" s="2"/>
      <c r="L475" s="2"/>
      <c r="M475" s="4"/>
      <c r="N475" s="2"/>
      <c r="O475" s="5" t="str">
        <f t="shared" ca="1" si="43"/>
        <v/>
      </c>
      <c r="P475" s="6"/>
      <c r="V475" t="str">
        <f t="shared" si="44"/>
        <v/>
      </c>
      <c r="W475" t="str">
        <f t="shared" si="45"/>
        <v/>
      </c>
      <c r="X475" t="str">
        <f t="shared" si="46"/>
        <v/>
      </c>
      <c r="Y475" t="str">
        <f t="shared" si="47"/>
        <v/>
      </c>
    </row>
    <row r="476" spans="1:25" ht="14.5" x14ac:dyDescent="0.35">
      <c r="A476" s="3"/>
      <c r="B476" s="2"/>
      <c r="C476" s="2"/>
      <c r="D476" s="4"/>
      <c r="E476" s="2"/>
      <c r="F476" s="2"/>
      <c r="G476" s="3" t="str">
        <f t="shared" si="42"/>
        <v/>
      </c>
      <c r="H476" s="3"/>
      <c r="I476" s="3"/>
      <c r="J476" s="2"/>
      <c r="K476" s="2"/>
      <c r="L476" s="2"/>
      <c r="M476" s="4"/>
      <c r="N476" s="2"/>
      <c r="O476" s="5" t="str">
        <f t="shared" ca="1" si="43"/>
        <v/>
      </c>
      <c r="P476" s="6"/>
      <c r="V476" t="str">
        <f t="shared" si="44"/>
        <v/>
      </c>
      <c r="W476" t="str">
        <f t="shared" si="45"/>
        <v/>
      </c>
      <c r="X476" t="str">
        <f t="shared" si="46"/>
        <v/>
      </c>
      <c r="Y476" t="str">
        <f t="shared" si="47"/>
        <v/>
      </c>
    </row>
    <row r="477" spans="1:25" ht="14.5" x14ac:dyDescent="0.35">
      <c r="A477" s="3"/>
      <c r="B477" s="2"/>
      <c r="C477" s="2"/>
      <c r="D477" s="4"/>
      <c r="E477" s="2"/>
      <c r="F477" s="2"/>
      <c r="G477" s="3" t="str">
        <f t="shared" si="42"/>
        <v/>
      </c>
      <c r="H477" s="3"/>
      <c r="I477" s="3"/>
      <c r="J477" s="2"/>
      <c r="K477" s="2"/>
      <c r="L477" s="2"/>
      <c r="M477" s="4"/>
      <c r="N477" s="2"/>
      <c r="O477" s="5" t="str">
        <f t="shared" ca="1" si="43"/>
        <v/>
      </c>
      <c r="P477" s="6"/>
      <c r="V477" t="str">
        <f t="shared" si="44"/>
        <v/>
      </c>
      <c r="W477" t="str">
        <f t="shared" si="45"/>
        <v/>
      </c>
      <c r="X477" t="str">
        <f t="shared" si="46"/>
        <v/>
      </c>
      <c r="Y477" t="str">
        <f t="shared" si="47"/>
        <v/>
      </c>
    </row>
    <row r="478" spans="1:25" ht="14.5" x14ac:dyDescent="0.35">
      <c r="A478" s="3"/>
      <c r="B478" s="2"/>
      <c r="C478" s="2"/>
      <c r="D478" s="4"/>
      <c r="E478" s="2"/>
      <c r="F478" s="2"/>
      <c r="G478" s="3" t="str">
        <f t="shared" si="42"/>
        <v/>
      </c>
      <c r="H478" s="3"/>
      <c r="I478" s="3"/>
      <c r="J478" s="2"/>
      <c r="K478" s="2"/>
      <c r="L478" s="2"/>
      <c r="M478" s="4"/>
      <c r="N478" s="2"/>
      <c r="O478" s="5" t="str">
        <f t="shared" ca="1" si="43"/>
        <v/>
      </c>
      <c r="P478" s="6"/>
      <c r="V478" t="str">
        <f t="shared" si="44"/>
        <v/>
      </c>
      <c r="W478" t="str">
        <f t="shared" si="45"/>
        <v/>
      </c>
      <c r="X478" t="str">
        <f t="shared" si="46"/>
        <v/>
      </c>
      <c r="Y478" t="str">
        <f t="shared" si="47"/>
        <v/>
      </c>
    </row>
    <row r="479" spans="1:25" ht="14.5" x14ac:dyDescent="0.35">
      <c r="A479" s="3"/>
      <c r="B479" s="2"/>
      <c r="C479" s="2"/>
      <c r="D479" s="4"/>
      <c r="E479" s="2"/>
      <c r="F479" s="2"/>
      <c r="G479" s="3" t="str">
        <f t="shared" si="42"/>
        <v/>
      </c>
      <c r="H479" s="3"/>
      <c r="I479" s="3"/>
      <c r="J479" s="2"/>
      <c r="K479" s="2"/>
      <c r="L479" s="2"/>
      <c r="M479" s="4"/>
      <c r="N479" s="2"/>
      <c r="O479" s="5" t="str">
        <f t="shared" ca="1" si="43"/>
        <v/>
      </c>
      <c r="P479" s="6"/>
      <c r="V479" t="str">
        <f t="shared" si="44"/>
        <v/>
      </c>
      <c r="W479" t="str">
        <f t="shared" si="45"/>
        <v/>
      </c>
      <c r="X479" t="str">
        <f t="shared" si="46"/>
        <v/>
      </c>
      <c r="Y479" t="str">
        <f t="shared" si="47"/>
        <v/>
      </c>
    </row>
    <row r="480" spans="1:25" ht="14.5" x14ac:dyDescent="0.35">
      <c r="A480" s="3"/>
      <c r="B480" s="2"/>
      <c r="C480" s="2"/>
      <c r="D480" s="4"/>
      <c r="E480" s="2"/>
      <c r="F480" s="2"/>
      <c r="G480" s="3" t="str">
        <f t="shared" si="42"/>
        <v/>
      </c>
      <c r="H480" s="3"/>
      <c r="I480" s="3"/>
      <c r="J480" s="2"/>
      <c r="K480" s="2"/>
      <c r="L480" s="2"/>
      <c r="M480" s="4"/>
      <c r="N480" s="2"/>
      <c r="O480" s="5" t="str">
        <f t="shared" ca="1" si="43"/>
        <v/>
      </c>
      <c r="P480" s="6"/>
      <c r="V480" t="str">
        <f t="shared" si="44"/>
        <v/>
      </c>
      <c r="W480" t="str">
        <f t="shared" si="45"/>
        <v/>
      </c>
      <c r="X480" t="str">
        <f t="shared" si="46"/>
        <v/>
      </c>
      <c r="Y480" t="str">
        <f t="shared" si="47"/>
        <v/>
      </c>
    </row>
    <row r="481" spans="1:25" ht="14.5" x14ac:dyDescent="0.35">
      <c r="A481" s="3"/>
      <c r="B481" s="2"/>
      <c r="C481" s="2"/>
      <c r="D481" s="4"/>
      <c r="E481" s="2"/>
      <c r="F481" s="2"/>
      <c r="G481" s="3" t="str">
        <f t="shared" si="42"/>
        <v/>
      </c>
      <c r="H481" s="3"/>
      <c r="I481" s="3"/>
      <c r="J481" s="2"/>
      <c r="K481" s="2"/>
      <c r="L481" s="2"/>
      <c r="M481" s="4"/>
      <c r="N481" s="2"/>
      <c r="O481" s="5" t="str">
        <f t="shared" ca="1" si="43"/>
        <v/>
      </c>
      <c r="P481" s="6"/>
      <c r="V481" t="str">
        <f t="shared" si="44"/>
        <v/>
      </c>
      <c r="W481" t="str">
        <f t="shared" si="45"/>
        <v/>
      </c>
      <c r="X481" t="str">
        <f t="shared" si="46"/>
        <v/>
      </c>
      <c r="Y481" t="str">
        <f t="shared" si="47"/>
        <v/>
      </c>
    </row>
    <row r="482" spans="1:25" ht="14.5" x14ac:dyDescent="0.35">
      <c r="A482" s="3"/>
      <c r="B482" s="2"/>
      <c r="C482" s="2"/>
      <c r="D482" s="4"/>
      <c r="E482" s="2"/>
      <c r="F482" s="2"/>
      <c r="G482" s="3" t="str">
        <f t="shared" si="42"/>
        <v/>
      </c>
      <c r="H482" s="3"/>
      <c r="I482" s="3"/>
      <c r="J482" s="2"/>
      <c r="K482" s="2"/>
      <c r="L482" s="2"/>
      <c r="M482" s="4"/>
      <c r="N482" s="2"/>
      <c r="O482" s="5" t="str">
        <f t="shared" ca="1" si="43"/>
        <v/>
      </c>
      <c r="P482" s="6"/>
      <c r="V482" t="str">
        <f t="shared" si="44"/>
        <v/>
      </c>
      <c r="W482" t="str">
        <f t="shared" si="45"/>
        <v/>
      </c>
      <c r="X482" t="str">
        <f t="shared" si="46"/>
        <v/>
      </c>
      <c r="Y482" t="str">
        <f t="shared" si="47"/>
        <v/>
      </c>
    </row>
    <row r="483" spans="1:25" ht="14.5" x14ac:dyDescent="0.35">
      <c r="A483" s="3"/>
      <c r="B483" s="2"/>
      <c r="C483" s="2"/>
      <c r="D483" s="4"/>
      <c r="E483" s="2"/>
      <c r="F483" s="2"/>
      <c r="G483" s="3" t="str">
        <f t="shared" si="42"/>
        <v/>
      </c>
      <c r="H483" s="3"/>
      <c r="I483" s="3"/>
      <c r="J483" s="2"/>
      <c r="K483" s="2"/>
      <c r="L483" s="2"/>
      <c r="M483" s="4"/>
      <c r="N483" s="2"/>
      <c r="O483" s="5" t="str">
        <f t="shared" ca="1" si="43"/>
        <v/>
      </c>
      <c r="P483" s="6"/>
      <c r="V483" t="str">
        <f t="shared" si="44"/>
        <v/>
      </c>
      <c r="W483" t="str">
        <f t="shared" si="45"/>
        <v/>
      </c>
      <c r="X483" t="str">
        <f t="shared" si="46"/>
        <v/>
      </c>
      <c r="Y483" t="str">
        <f t="shared" si="47"/>
        <v/>
      </c>
    </row>
    <row r="484" spans="1:25" ht="14.5" x14ac:dyDescent="0.35">
      <c r="A484" s="3"/>
      <c r="B484" s="2"/>
      <c r="C484" s="2"/>
      <c r="D484" s="4"/>
      <c r="E484" s="2"/>
      <c r="F484" s="2"/>
      <c r="G484" s="3" t="str">
        <f t="shared" si="42"/>
        <v/>
      </c>
      <c r="H484" s="3"/>
      <c r="I484" s="3"/>
      <c r="J484" s="2"/>
      <c r="K484" s="2"/>
      <c r="L484" s="2"/>
      <c r="M484" s="4"/>
      <c r="N484" s="2"/>
      <c r="O484" s="5" t="str">
        <f t="shared" ca="1" si="43"/>
        <v/>
      </c>
      <c r="P484" s="6"/>
      <c r="V484" t="str">
        <f t="shared" si="44"/>
        <v/>
      </c>
      <c r="W484" t="str">
        <f t="shared" si="45"/>
        <v/>
      </c>
      <c r="X484" t="str">
        <f t="shared" si="46"/>
        <v/>
      </c>
      <c r="Y484" t="str">
        <f t="shared" si="47"/>
        <v/>
      </c>
    </row>
    <row r="485" spans="1:25" ht="14.5" x14ac:dyDescent="0.35">
      <c r="A485" s="3"/>
      <c r="B485" s="2"/>
      <c r="C485" s="2"/>
      <c r="D485" s="4"/>
      <c r="E485" s="2"/>
      <c r="F485" s="2"/>
      <c r="G485" s="3" t="str">
        <f t="shared" si="42"/>
        <v/>
      </c>
      <c r="H485" s="3"/>
      <c r="I485" s="3"/>
      <c r="J485" s="2"/>
      <c r="K485" s="2"/>
      <c r="L485" s="2"/>
      <c r="M485" s="4"/>
      <c r="N485" s="2"/>
      <c r="O485" s="5" t="str">
        <f t="shared" ca="1" si="43"/>
        <v/>
      </c>
      <c r="P485" s="6"/>
      <c r="V485" t="str">
        <f t="shared" si="44"/>
        <v/>
      </c>
      <c r="W485" t="str">
        <f t="shared" si="45"/>
        <v/>
      </c>
      <c r="X485" t="str">
        <f t="shared" si="46"/>
        <v/>
      </c>
      <c r="Y485" t="str">
        <f t="shared" si="47"/>
        <v/>
      </c>
    </row>
    <row r="486" spans="1:25" ht="14.5" x14ac:dyDescent="0.35">
      <c r="A486" s="3"/>
      <c r="B486" s="2"/>
      <c r="C486" s="2"/>
      <c r="D486" s="4"/>
      <c r="E486" s="2"/>
      <c r="F486" s="2"/>
      <c r="G486" s="3" t="str">
        <f t="shared" si="42"/>
        <v/>
      </c>
      <c r="H486" s="3"/>
      <c r="I486" s="3"/>
      <c r="J486" s="2"/>
      <c r="K486" s="2"/>
      <c r="L486" s="2"/>
      <c r="M486" s="4"/>
      <c r="N486" s="2"/>
      <c r="O486" s="5" t="str">
        <f t="shared" ca="1" si="43"/>
        <v/>
      </c>
      <c r="P486" s="6"/>
      <c r="V486" t="str">
        <f t="shared" si="44"/>
        <v/>
      </c>
      <c r="W486" t="str">
        <f t="shared" si="45"/>
        <v/>
      </c>
      <c r="X486" t="str">
        <f t="shared" si="46"/>
        <v/>
      </c>
      <c r="Y486" t="str">
        <f t="shared" si="47"/>
        <v/>
      </c>
    </row>
    <row r="487" spans="1:25" ht="14.5" x14ac:dyDescent="0.35">
      <c r="A487" s="3"/>
      <c r="B487" s="2"/>
      <c r="C487" s="2"/>
      <c r="D487" s="4"/>
      <c r="E487" s="2"/>
      <c r="F487" s="2"/>
      <c r="G487" s="3" t="str">
        <f t="shared" si="42"/>
        <v/>
      </c>
      <c r="H487" s="3"/>
      <c r="I487" s="3"/>
      <c r="J487" s="2"/>
      <c r="K487" s="2"/>
      <c r="L487" s="2"/>
      <c r="M487" s="4"/>
      <c r="N487" s="2"/>
      <c r="O487" s="5" t="str">
        <f t="shared" ca="1" si="43"/>
        <v/>
      </c>
      <c r="P487" s="6"/>
      <c r="V487" t="str">
        <f t="shared" si="44"/>
        <v/>
      </c>
      <c r="W487" t="str">
        <f t="shared" si="45"/>
        <v/>
      </c>
      <c r="X487" t="str">
        <f t="shared" si="46"/>
        <v/>
      </c>
      <c r="Y487" t="str">
        <f t="shared" si="47"/>
        <v/>
      </c>
    </row>
    <row r="488" spans="1:25" ht="14.5" x14ac:dyDescent="0.35">
      <c r="A488" s="3"/>
      <c r="B488" s="2"/>
      <c r="C488" s="2"/>
      <c r="D488" s="4"/>
      <c r="E488" s="2"/>
      <c r="F488" s="2"/>
      <c r="G488" s="3" t="str">
        <f t="shared" si="42"/>
        <v/>
      </c>
      <c r="H488" s="3"/>
      <c r="I488" s="3"/>
      <c r="J488" s="2"/>
      <c r="K488" s="2"/>
      <c r="L488" s="2"/>
      <c r="M488" s="4"/>
      <c r="N488" s="2"/>
      <c r="O488" s="5" t="str">
        <f t="shared" ca="1" si="43"/>
        <v/>
      </c>
      <c r="P488" s="6"/>
      <c r="V488" t="str">
        <f t="shared" si="44"/>
        <v/>
      </c>
      <c r="W488" t="str">
        <f t="shared" si="45"/>
        <v/>
      </c>
      <c r="X488" t="str">
        <f t="shared" si="46"/>
        <v/>
      </c>
      <c r="Y488" t="str">
        <f t="shared" si="47"/>
        <v/>
      </c>
    </row>
    <row r="489" spans="1:25" ht="14.5" x14ac:dyDescent="0.35">
      <c r="A489" s="3"/>
      <c r="B489" s="2"/>
      <c r="C489" s="2"/>
      <c r="D489" s="4"/>
      <c r="E489" s="2"/>
      <c r="F489" s="2"/>
      <c r="G489" s="3" t="str">
        <f t="shared" si="42"/>
        <v/>
      </c>
      <c r="H489" s="3"/>
      <c r="I489" s="3"/>
      <c r="J489" s="2"/>
      <c r="K489" s="2"/>
      <c r="L489" s="2"/>
      <c r="M489" s="4"/>
      <c r="N489" s="2"/>
      <c r="O489" s="5" t="str">
        <f t="shared" ca="1" si="43"/>
        <v/>
      </c>
      <c r="P489" s="6"/>
      <c r="V489" t="str">
        <f t="shared" si="44"/>
        <v/>
      </c>
      <c r="W489" t="str">
        <f t="shared" si="45"/>
        <v/>
      </c>
      <c r="X489" t="str">
        <f t="shared" si="46"/>
        <v/>
      </c>
      <c r="Y489" t="str">
        <f t="shared" si="47"/>
        <v/>
      </c>
    </row>
    <row r="490" spans="1:25" ht="14.5" x14ac:dyDescent="0.35">
      <c r="A490" s="3"/>
      <c r="B490" s="2"/>
      <c r="C490" s="2"/>
      <c r="D490" s="4"/>
      <c r="E490" s="2"/>
      <c r="F490" s="2"/>
      <c r="G490" s="3" t="str">
        <f t="shared" si="42"/>
        <v/>
      </c>
      <c r="H490" s="3"/>
      <c r="I490" s="3"/>
      <c r="J490" s="2"/>
      <c r="K490" s="2"/>
      <c r="L490" s="2"/>
      <c r="M490" s="4"/>
      <c r="N490" s="2"/>
      <c r="O490" s="5" t="str">
        <f t="shared" ca="1" si="43"/>
        <v/>
      </c>
      <c r="P490" s="6"/>
      <c r="V490" t="str">
        <f t="shared" si="44"/>
        <v/>
      </c>
      <c r="W490" t="str">
        <f t="shared" si="45"/>
        <v/>
      </c>
      <c r="X490" t="str">
        <f t="shared" si="46"/>
        <v/>
      </c>
      <c r="Y490" t="str">
        <f t="shared" si="47"/>
        <v/>
      </c>
    </row>
    <row r="491" spans="1:25" ht="14.5" x14ac:dyDescent="0.35">
      <c r="A491" s="3"/>
      <c r="B491" s="2"/>
      <c r="C491" s="2"/>
      <c r="D491" s="4"/>
      <c r="E491" s="2"/>
      <c r="F491" s="2"/>
      <c r="G491" s="3" t="str">
        <f t="shared" si="42"/>
        <v/>
      </c>
      <c r="H491" s="3"/>
      <c r="I491" s="3"/>
      <c r="J491" s="2"/>
      <c r="K491" s="2"/>
      <c r="L491" s="2"/>
      <c r="M491" s="4"/>
      <c r="N491" s="2"/>
      <c r="O491" s="5" t="str">
        <f t="shared" ca="1" si="43"/>
        <v/>
      </c>
      <c r="P491" s="6"/>
      <c r="V491" t="str">
        <f t="shared" si="44"/>
        <v/>
      </c>
      <c r="W491" t="str">
        <f t="shared" si="45"/>
        <v/>
      </c>
      <c r="X491" t="str">
        <f t="shared" si="46"/>
        <v/>
      </c>
      <c r="Y491" t="str">
        <f t="shared" si="47"/>
        <v/>
      </c>
    </row>
    <row r="492" spans="1:25" ht="14.5" x14ac:dyDescent="0.35">
      <c r="A492" s="3"/>
      <c r="B492" s="2"/>
      <c r="C492" s="2"/>
      <c r="D492" s="4"/>
      <c r="E492" s="2"/>
      <c r="F492" s="2"/>
      <c r="G492" s="3" t="str">
        <f t="shared" si="42"/>
        <v/>
      </c>
      <c r="H492" s="3"/>
      <c r="I492" s="3"/>
      <c r="J492" s="2"/>
      <c r="K492" s="2"/>
      <c r="L492" s="2"/>
      <c r="M492" s="4"/>
      <c r="N492" s="2"/>
      <c r="O492" s="5" t="str">
        <f t="shared" ca="1" si="43"/>
        <v/>
      </c>
      <c r="P492" s="6"/>
      <c r="V492" t="str">
        <f t="shared" si="44"/>
        <v/>
      </c>
      <c r="W492" t="str">
        <f t="shared" si="45"/>
        <v/>
      </c>
      <c r="X492" t="str">
        <f t="shared" si="46"/>
        <v/>
      </c>
      <c r="Y492" t="str">
        <f t="shared" si="47"/>
        <v/>
      </c>
    </row>
    <row r="493" spans="1:25" ht="14.5" x14ac:dyDescent="0.35">
      <c r="A493" s="3"/>
      <c r="B493" s="2"/>
      <c r="C493" s="2"/>
      <c r="D493" s="4"/>
      <c r="E493" s="2"/>
      <c r="F493" s="2"/>
      <c r="G493" s="3" t="str">
        <f t="shared" si="42"/>
        <v/>
      </c>
      <c r="H493" s="3"/>
      <c r="I493" s="3"/>
      <c r="J493" s="2"/>
      <c r="K493" s="2"/>
      <c r="L493" s="2"/>
      <c r="M493" s="4"/>
      <c r="N493" s="2"/>
      <c r="O493" s="5" t="str">
        <f t="shared" ca="1" si="43"/>
        <v/>
      </c>
      <c r="P493" s="6"/>
      <c r="V493" t="str">
        <f t="shared" si="44"/>
        <v/>
      </c>
      <c r="W493" t="str">
        <f t="shared" si="45"/>
        <v/>
      </c>
      <c r="X493" t="str">
        <f t="shared" si="46"/>
        <v/>
      </c>
      <c r="Y493" t="str">
        <f t="shared" si="47"/>
        <v/>
      </c>
    </row>
    <row r="494" spans="1:25" ht="14.5" x14ac:dyDescent="0.35">
      <c r="A494" s="3"/>
      <c r="B494" s="2"/>
      <c r="C494" s="2"/>
      <c r="D494" s="4"/>
      <c r="E494" s="2"/>
      <c r="F494" s="2"/>
      <c r="G494" s="3" t="str">
        <f t="shared" si="42"/>
        <v/>
      </c>
      <c r="H494" s="3"/>
      <c r="I494" s="3"/>
      <c r="J494" s="2"/>
      <c r="K494" s="2"/>
      <c r="L494" s="2"/>
      <c r="M494" s="4"/>
      <c r="N494" s="2"/>
      <c r="O494" s="5" t="str">
        <f t="shared" ca="1" si="43"/>
        <v/>
      </c>
      <c r="P494" s="6"/>
      <c r="V494" t="str">
        <f t="shared" si="44"/>
        <v/>
      </c>
      <c r="W494" t="str">
        <f t="shared" si="45"/>
        <v/>
      </c>
      <c r="X494" t="str">
        <f t="shared" si="46"/>
        <v/>
      </c>
      <c r="Y494" t="str">
        <f t="shared" si="47"/>
        <v/>
      </c>
    </row>
    <row r="495" spans="1:25" ht="14.5" x14ac:dyDescent="0.35">
      <c r="A495" s="3"/>
      <c r="B495" s="2"/>
      <c r="C495" s="2"/>
      <c r="D495" s="4"/>
      <c r="E495" s="2"/>
      <c r="F495" s="2"/>
      <c r="G495" s="3" t="str">
        <f t="shared" si="42"/>
        <v/>
      </c>
      <c r="H495" s="3"/>
      <c r="I495" s="3"/>
      <c r="J495" s="2"/>
      <c r="K495" s="2"/>
      <c r="L495" s="2"/>
      <c r="M495" s="4"/>
      <c r="N495" s="2"/>
      <c r="O495" s="5" t="str">
        <f t="shared" ca="1" si="43"/>
        <v/>
      </c>
      <c r="P495" s="6"/>
      <c r="V495" t="str">
        <f t="shared" si="44"/>
        <v/>
      </c>
      <c r="W495" t="str">
        <f t="shared" si="45"/>
        <v/>
      </c>
      <c r="X495" t="str">
        <f t="shared" si="46"/>
        <v/>
      </c>
      <c r="Y495" t="str">
        <f t="shared" si="47"/>
        <v/>
      </c>
    </row>
    <row r="496" spans="1:25" ht="14.5" x14ac:dyDescent="0.35">
      <c r="A496" s="3"/>
      <c r="B496" s="2"/>
      <c r="C496" s="2"/>
      <c r="D496" s="4"/>
      <c r="E496" s="2"/>
      <c r="F496" s="2"/>
      <c r="G496" s="3" t="str">
        <f t="shared" si="42"/>
        <v/>
      </c>
      <c r="H496" s="3"/>
      <c r="I496" s="3"/>
      <c r="J496" s="2"/>
      <c r="K496" s="2"/>
      <c r="L496" s="2"/>
      <c r="M496" s="4"/>
      <c r="N496" s="2"/>
      <c r="O496" s="5" t="str">
        <f t="shared" ca="1" si="43"/>
        <v/>
      </c>
      <c r="P496" s="6"/>
      <c r="V496" t="str">
        <f t="shared" si="44"/>
        <v/>
      </c>
      <c r="W496" t="str">
        <f t="shared" si="45"/>
        <v/>
      </c>
      <c r="X496" t="str">
        <f t="shared" si="46"/>
        <v/>
      </c>
      <c r="Y496" t="str">
        <f t="shared" si="47"/>
        <v/>
      </c>
    </row>
    <row r="497" spans="1:25" ht="14.5" x14ac:dyDescent="0.35">
      <c r="A497" s="3"/>
      <c r="B497" s="2"/>
      <c r="C497" s="2"/>
      <c r="D497" s="4"/>
      <c r="E497" s="2"/>
      <c r="F497" s="2"/>
      <c r="G497" s="3" t="str">
        <f t="shared" si="42"/>
        <v/>
      </c>
      <c r="H497" s="3"/>
      <c r="I497" s="3"/>
      <c r="J497" s="2"/>
      <c r="K497" s="2"/>
      <c r="L497" s="2"/>
      <c r="M497" s="4"/>
      <c r="N497" s="2"/>
      <c r="O497" s="5" t="str">
        <f t="shared" ca="1" si="43"/>
        <v/>
      </c>
      <c r="P497" s="6"/>
      <c r="V497" t="str">
        <f t="shared" si="44"/>
        <v/>
      </c>
      <c r="W497" t="str">
        <f t="shared" si="45"/>
        <v/>
      </c>
      <c r="X497" t="str">
        <f t="shared" si="46"/>
        <v/>
      </c>
      <c r="Y497" t="str">
        <f t="shared" si="47"/>
        <v/>
      </c>
    </row>
    <row r="498" spans="1:25" ht="14.5" x14ac:dyDescent="0.35">
      <c r="A498" s="3"/>
      <c r="B498" s="2"/>
      <c r="C498" s="2"/>
      <c r="D498" s="4"/>
      <c r="E498" s="2"/>
      <c r="F498" s="2"/>
      <c r="G498" s="3" t="str">
        <f t="shared" si="42"/>
        <v/>
      </c>
      <c r="H498" s="3"/>
      <c r="I498" s="3"/>
      <c r="J498" s="2"/>
      <c r="K498" s="2"/>
      <c r="L498" s="2"/>
      <c r="M498" s="4"/>
      <c r="N498" s="2"/>
      <c r="O498" s="5" t="str">
        <f t="shared" ca="1" si="43"/>
        <v/>
      </c>
      <c r="P498" s="6"/>
      <c r="V498" t="str">
        <f t="shared" si="44"/>
        <v/>
      </c>
      <c r="W498" t="str">
        <f t="shared" si="45"/>
        <v/>
      </c>
      <c r="X498" t="str">
        <f t="shared" si="46"/>
        <v/>
      </c>
      <c r="Y498" t="str">
        <f t="shared" si="47"/>
        <v/>
      </c>
    </row>
    <row r="499" spans="1:25" ht="14.5" x14ac:dyDescent="0.35">
      <c r="A499" s="3"/>
      <c r="B499" s="2"/>
      <c r="C499" s="2"/>
      <c r="D499" s="4"/>
      <c r="E499" s="2"/>
      <c r="F499" s="2"/>
      <c r="G499" s="3" t="str">
        <f t="shared" si="42"/>
        <v/>
      </c>
      <c r="H499" s="3"/>
      <c r="I499" s="3"/>
      <c r="J499" s="2"/>
      <c r="K499" s="2"/>
      <c r="L499" s="2"/>
      <c r="M499" s="4"/>
      <c r="N499" s="2"/>
      <c r="O499" s="5" t="str">
        <f t="shared" ca="1" si="43"/>
        <v/>
      </c>
      <c r="P499" s="6"/>
      <c r="V499" t="str">
        <f t="shared" si="44"/>
        <v/>
      </c>
      <c r="W499" t="str">
        <f t="shared" si="45"/>
        <v/>
      </c>
      <c r="X499" t="str">
        <f t="shared" si="46"/>
        <v/>
      </c>
      <c r="Y499" t="str">
        <f t="shared" si="47"/>
        <v/>
      </c>
    </row>
    <row r="500" spans="1:25" ht="14.5" x14ac:dyDescent="0.35">
      <c r="A500" s="3"/>
      <c r="B500" s="2"/>
      <c r="C500" s="2"/>
      <c r="D500" s="4"/>
      <c r="E500" s="2"/>
      <c r="F500" s="2"/>
      <c r="G500" s="3" t="str">
        <f t="shared" si="42"/>
        <v/>
      </c>
      <c r="H500" s="3"/>
      <c r="I500" s="3"/>
      <c r="J500" s="2"/>
      <c r="K500" s="2"/>
      <c r="L500" s="2"/>
      <c r="M500" s="4"/>
      <c r="N500" s="2"/>
      <c r="O500" s="5" t="str">
        <f t="shared" ca="1" si="43"/>
        <v/>
      </c>
      <c r="P500" s="6"/>
      <c r="V500" t="str">
        <f t="shared" si="44"/>
        <v/>
      </c>
      <c r="W500" t="str">
        <f t="shared" si="45"/>
        <v/>
      </c>
      <c r="X500" t="str">
        <f t="shared" si="46"/>
        <v/>
      </c>
      <c r="Y500" t="str">
        <f t="shared" si="47"/>
        <v/>
      </c>
    </row>
    <row r="501" spans="1:25" ht="14.5" x14ac:dyDescent="0.35">
      <c r="A501" s="3"/>
      <c r="B501" s="2"/>
      <c r="C501" s="2"/>
      <c r="D501" s="4"/>
      <c r="E501" s="2"/>
      <c r="F501" s="2"/>
      <c r="G501" s="3" t="str">
        <f t="shared" si="42"/>
        <v/>
      </c>
      <c r="H501" s="3"/>
      <c r="I501" s="3"/>
      <c r="J501" s="2"/>
      <c r="K501" s="2"/>
      <c r="L501" s="2"/>
      <c r="M501" s="4"/>
      <c r="N501" s="2"/>
      <c r="O501" s="5" t="str">
        <f t="shared" ca="1" si="43"/>
        <v/>
      </c>
      <c r="P501" s="6"/>
      <c r="V501" t="str">
        <f t="shared" si="44"/>
        <v/>
      </c>
      <c r="W501" t="str">
        <f t="shared" si="45"/>
        <v/>
      </c>
      <c r="X501" t="str">
        <f t="shared" si="46"/>
        <v/>
      </c>
      <c r="Y501" t="str">
        <f t="shared" si="47"/>
        <v/>
      </c>
    </row>
    <row r="502" spans="1:25" ht="14.5" x14ac:dyDescent="0.35">
      <c r="A502" s="3"/>
      <c r="B502" s="2"/>
      <c r="C502" s="2"/>
      <c r="D502" s="4"/>
      <c r="E502" s="2"/>
      <c r="F502" s="2"/>
      <c r="G502" s="3" t="str">
        <f t="shared" si="42"/>
        <v/>
      </c>
      <c r="H502" s="3"/>
      <c r="I502" s="3"/>
      <c r="J502" s="2"/>
      <c r="K502" s="2"/>
      <c r="L502" s="2"/>
      <c r="M502" s="4"/>
      <c r="N502" s="2"/>
      <c r="O502" s="5" t="str">
        <f t="shared" ca="1" si="43"/>
        <v/>
      </c>
      <c r="P502" s="6"/>
      <c r="V502" t="str">
        <f t="shared" si="44"/>
        <v/>
      </c>
      <c r="W502" t="str">
        <f t="shared" si="45"/>
        <v/>
      </c>
      <c r="X502" t="str">
        <f t="shared" si="46"/>
        <v/>
      </c>
      <c r="Y502" t="str">
        <f t="shared" si="47"/>
        <v/>
      </c>
    </row>
    <row r="503" spans="1:25" ht="14.5" x14ac:dyDescent="0.35">
      <c r="A503" s="3"/>
      <c r="B503" s="2"/>
      <c r="C503" s="2"/>
      <c r="D503" s="4"/>
      <c r="E503" s="2"/>
      <c r="F503" s="2"/>
      <c r="G503" s="3" t="str">
        <f t="shared" si="42"/>
        <v/>
      </c>
      <c r="H503" s="3"/>
      <c r="I503" s="3"/>
      <c r="J503" s="2"/>
      <c r="K503" s="2"/>
      <c r="L503" s="2"/>
      <c r="M503" s="4"/>
      <c r="N503" s="2"/>
      <c r="O503" s="5" t="str">
        <f t="shared" ca="1" si="43"/>
        <v/>
      </c>
      <c r="P503" s="6"/>
      <c r="V503" t="str">
        <f t="shared" si="44"/>
        <v/>
      </c>
      <c r="W503" t="str">
        <f t="shared" si="45"/>
        <v/>
      </c>
      <c r="X503" t="str">
        <f t="shared" si="46"/>
        <v/>
      </c>
      <c r="Y503" t="str">
        <f t="shared" si="47"/>
        <v/>
      </c>
    </row>
    <row r="504" spans="1:25" ht="14.5" x14ac:dyDescent="0.35">
      <c r="A504" s="3"/>
      <c r="B504" s="2"/>
      <c r="C504" s="2"/>
      <c r="D504" s="4"/>
      <c r="E504" s="2"/>
      <c r="F504" s="2"/>
      <c r="G504" s="3" t="str">
        <f t="shared" si="42"/>
        <v/>
      </c>
      <c r="H504" s="3"/>
      <c r="I504" s="3"/>
      <c r="J504" s="2"/>
      <c r="K504" s="2"/>
      <c r="L504" s="2"/>
      <c r="M504" s="4"/>
      <c r="N504" s="2"/>
      <c r="O504" s="5" t="str">
        <f t="shared" ca="1" si="43"/>
        <v/>
      </c>
      <c r="P504" s="6"/>
      <c r="V504" t="str">
        <f t="shared" si="44"/>
        <v/>
      </c>
      <c r="W504" t="str">
        <f t="shared" si="45"/>
        <v/>
      </c>
      <c r="X504" t="str">
        <f t="shared" si="46"/>
        <v/>
      </c>
      <c r="Y504" t="str">
        <f t="shared" si="47"/>
        <v/>
      </c>
    </row>
    <row r="505" spans="1:25" ht="14.5" x14ac:dyDescent="0.35">
      <c r="A505" s="3"/>
      <c r="B505" s="2"/>
      <c r="C505" s="2"/>
      <c r="D505" s="4"/>
      <c r="E505" s="2"/>
      <c r="F505" s="2"/>
      <c r="G505" s="3" t="str">
        <f t="shared" si="42"/>
        <v/>
      </c>
      <c r="H505" s="3"/>
      <c r="I505" s="3"/>
      <c r="J505" s="2"/>
      <c r="K505" s="2"/>
      <c r="L505" s="2"/>
      <c r="M505" s="4"/>
      <c r="N505" s="2"/>
      <c r="O505" s="5" t="str">
        <f t="shared" ca="1" si="43"/>
        <v/>
      </c>
      <c r="P505" s="6"/>
      <c r="V505" t="str">
        <f t="shared" si="44"/>
        <v/>
      </c>
      <c r="W505" t="str">
        <f t="shared" si="45"/>
        <v/>
      </c>
      <c r="X505" t="str">
        <f t="shared" si="46"/>
        <v/>
      </c>
      <c r="Y505" t="str">
        <f t="shared" si="47"/>
        <v/>
      </c>
    </row>
    <row r="506" spans="1:25" ht="14.5" x14ac:dyDescent="0.35">
      <c r="A506" s="3"/>
      <c r="B506" s="2"/>
      <c r="C506" s="2"/>
      <c r="D506" s="4"/>
      <c r="E506" s="2"/>
      <c r="F506" s="2"/>
      <c r="G506" s="3" t="str">
        <f t="shared" si="42"/>
        <v/>
      </c>
      <c r="H506" s="3"/>
      <c r="I506" s="3"/>
      <c r="J506" s="2"/>
      <c r="K506" s="2"/>
      <c r="L506" s="2"/>
      <c r="M506" s="4"/>
      <c r="N506" s="2"/>
      <c r="O506" s="5" t="str">
        <f t="shared" ca="1" si="43"/>
        <v/>
      </c>
      <c r="P506" s="6"/>
      <c r="V506" t="str">
        <f t="shared" si="44"/>
        <v/>
      </c>
      <c r="W506" t="str">
        <f t="shared" si="45"/>
        <v/>
      </c>
      <c r="X506" t="str">
        <f t="shared" si="46"/>
        <v/>
      </c>
      <c r="Y506" t="str">
        <f t="shared" si="47"/>
        <v/>
      </c>
    </row>
    <row r="507" spans="1:25" ht="14.5" x14ac:dyDescent="0.35">
      <c r="A507" s="3"/>
      <c r="B507" s="2"/>
      <c r="C507" s="2"/>
      <c r="D507" s="4"/>
      <c r="E507" s="2"/>
      <c r="F507" s="2"/>
      <c r="G507" s="3" t="str">
        <f t="shared" si="42"/>
        <v/>
      </c>
      <c r="H507" s="3"/>
      <c r="I507" s="3"/>
      <c r="J507" s="2"/>
      <c r="K507" s="2"/>
      <c r="L507" s="2"/>
      <c r="M507" s="4"/>
      <c r="N507" s="2"/>
      <c r="O507" s="5" t="str">
        <f t="shared" ca="1" si="43"/>
        <v/>
      </c>
      <c r="P507" s="6"/>
      <c r="V507" t="str">
        <f t="shared" si="44"/>
        <v/>
      </c>
      <c r="W507" t="str">
        <f t="shared" si="45"/>
        <v/>
      </c>
      <c r="X507" t="str">
        <f t="shared" si="46"/>
        <v/>
      </c>
      <c r="Y507" t="str">
        <f t="shared" si="47"/>
        <v/>
      </c>
    </row>
    <row r="508" spans="1:25" ht="14.5" x14ac:dyDescent="0.35">
      <c r="A508" s="3"/>
      <c r="B508" s="2"/>
      <c r="C508" s="2"/>
      <c r="D508" s="4"/>
      <c r="E508" s="2"/>
      <c r="F508" s="2"/>
      <c r="G508" s="3" t="str">
        <f t="shared" si="42"/>
        <v/>
      </c>
      <c r="H508" s="3"/>
      <c r="I508" s="3"/>
      <c r="J508" s="2"/>
      <c r="K508" s="2"/>
      <c r="L508" s="2"/>
      <c r="M508" s="4"/>
      <c r="N508" s="2"/>
      <c r="O508" s="5" t="str">
        <f t="shared" ca="1" si="43"/>
        <v/>
      </c>
      <c r="P508" s="6"/>
      <c r="V508" t="str">
        <f t="shared" si="44"/>
        <v/>
      </c>
      <c r="W508" t="str">
        <f t="shared" si="45"/>
        <v/>
      </c>
      <c r="X508" t="str">
        <f t="shared" si="46"/>
        <v/>
      </c>
      <c r="Y508" t="str">
        <f t="shared" si="47"/>
        <v/>
      </c>
    </row>
    <row r="509" spans="1:25" ht="14.5" x14ac:dyDescent="0.35">
      <c r="A509" s="3"/>
      <c r="B509" s="2"/>
      <c r="C509" s="2"/>
      <c r="D509" s="4"/>
      <c r="E509" s="2"/>
      <c r="F509" s="2"/>
      <c r="G509" s="3" t="str">
        <f t="shared" si="42"/>
        <v/>
      </c>
      <c r="H509" s="3"/>
      <c r="I509" s="3"/>
      <c r="J509" s="2"/>
      <c r="K509" s="2"/>
      <c r="L509" s="2"/>
      <c r="M509" s="4"/>
      <c r="N509" s="2"/>
      <c r="O509" s="5" t="str">
        <f t="shared" ca="1" si="43"/>
        <v/>
      </c>
      <c r="P509" s="6"/>
      <c r="V509" t="str">
        <f t="shared" si="44"/>
        <v/>
      </c>
      <c r="W509" t="str">
        <f t="shared" si="45"/>
        <v/>
      </c>
      <c r="X509" t="str">
        <f t="shared" si="46"/>
        <v/>
      </c>
      <c r="Y509" t="str">
        <f t="shared" si="47"/>
        <v/>
      </c>
    </row>
    <row r="510" spans="1:25" ht="14.5" x14ac:dyDescent="0.35">
      <c r="A510" s="3"/>
      <c r="B510" s="2"/>
      <c r="C510" s="2"/>
      <c r="D510" s="4"/>
      <c r="E510" s="2"/>
      <c r="F510" s="2"/>
      <c r="G510" s="3" t="str">
        <f t="shared" si="42"/>
        <v/>
      </c>
      <c r="H510" s="3"/>
      <c r="I510" s="3"/>
      <c r="J510" s="2"/>
      <c r="K510" s="2"/>
      <c r="L510" s="2"/>
      <c r="M510" s="4"/>
      <c r="N510" s="2"/>
      <c r="O510" s="5" t="str">
        <f t="shared" ca="1" si="43"/>
        <v/>
      </c>
      <c r="P510" s="6"/>
      <c r="V510" t="str">
        <f t="shared" si="44"/>
        <v/>
      </c>
      <c r="W510" t="str">
        <f t="shared" si="45"/>
        <v/>
      </c>
      <c r="X510" t="str">
        <f t="shared" si="46"/>
        <v/>
      </c>
      <c r="Y510" t="str">
        <f t="shared" si="47"/>
        <v/>
      </c>
    </row>
    <row r="511" spans="1:25" ht="14.5" x14ac:dyDescent="0.35">
      <c r="A511" s="3"/>
      <c r="B511" s="2"/>
      <c r="C511" s="2"/>
      <c r="D511" s="4"/>
      <c r="E511" s="2"/>
      <c r="F511" s="2"/>
      <c r="G511" s="3" t="str">
        <f t="shared" si="42"/>
        <v/>
      </c>
      <c r="H511" s="3"/>
      <c r="I511" s="3"/>
      <c r="J511" s="2"/>
      <c r="K511" s="2"/>
      <c r="L511" s="2"/>
      <c r="M511" s="4"/>
      <c r="N511" s="2"/>
      <c r="O511" s="5" t="str">
        <f t="shared" ca="1" si="43"/>
        <v/>
      </c>
      <c r="P511" s="6"/>
      <c r="V511" t="str">
        <f t="shared" si="44"/>
        <v/>
      </c>
      <c r="W511" t="str">
        <f t="shared" si="45"/>
        <v/>
      </c>
      <c r="X511" t="str">
        <f t="shared" si="46"/>
        <v/>
      </c>
      <c r="Y511" t="str">
        <f t="shared" si="47"/>
        <v/>
      </c>
    </row>
    <row r="512" spans="1:25" ht="14.5" x14ac:dyDescent="0.35">
      <c r="A512" s="3"/>
      <c r="B512" s="2"/>
      <c r="C512" s="2"/>
      <c r="D512" s="4"/>
      <c r="E512" s="2"/>
      <c r="F512" s="2"/>
      <c r="G512" s="3" t="str">
        <f t="shared" si="42"/>
        <v/>
      </c>
      <c r="H512" s="3"/>
      <c r="I512" s="3"/>
      <c r="J512" s="2"/>
      <c r="K512" s="2"/>
      <c r="L512" s="2"/>
      <c r="M512" s="4"/>
      <c r="N512" s="2"/>
      <c r="O512" s="5" t="str">
        <f t="shared" ca="1" si="43"/>
        <v/>
      </c>
      <c r="P512" s="6"/>
      <c r="V512" t="str">
        <f t="shared" si="44"/>
        <v/>
      </c>
      <c r="W512" t="str">
        <f t="shared" si="45"/>
        <v/>
      </c>
      <c r="X512" t="str">
        <f t="shared" si="46"/>
        <v/>
      </c>
      <c r="Y512" t="str">
        <f t="shared" si="47"/>
        <v/>
      </c>
    </row>
    <row r="513" spans="1:25" ht="14.5" x14ac:dyDescent="0.35">
      <c r="A513" s="3"/>
      <c r="B513" s="2"/>
      <c r="C513" s="2"/>
      <c r="D513" s="4"/>
      <c r="E513" s="2"/>
      <c r="F513" s="2"/>
      <c r="G513" s="3" t="str">
        <f t="shared" si="42"/>
        <v/>
      </c>
      <c r="H513" s="3"/>
      <c r="I513" s="3"/>
      <c r="J513" s="2"/>
      <c r="K513" s="2"/>
      <c r="L513" s="2"/>
      <c r="M513" s="4"/>
      <c r="N513" s="2"/>
      <c r="O513" s="5" t="str">
        <f t="shared" ca="1" si="43"/>
        <v/>
      </c>
      <c r="P513" s="6"/>
      <c r="V513" t="str">
        <f t="shared" si="44"/>
        <v/>
      </c>
      <c r="W513" t="str">
        <f t="shared" si="45"/>
        <v/>
      </c>
      <c r="X513" t="str">
        <f t="shared" si="46"/>
        <v/>
      </c>
      <c r="Y513" t="str">
        <f t="shared" si="47"/>
        <v/>
      </c>
    </row>
    <row r="514" spans="1:25" ht="14.5" x14ac:dyDescent="0.35">
      <c r="A514" s="3"/>
      <c r="B514" s="2"/>
      <c r="C514" s="2"/>
      <c r="D514" s="4"/>
      <c r="E514" s="2"/>
      <c r="F514" s="2"/>
      <c r="G514" s="3" t="str">
        <f t="shared" ref="G514:G577" si="48">IF(COUNTIF($A$2:$A$1500,A514&amp;".*")=0,"",COUNTIF($A$2:$A$1500,A514&amp;".*"))</f>
        <v/>
      </c>
      <c r="H514" s="3"/>
      <c r="I514" s="3"/>
      <c r="J514" s="2"/>
      <c r="K514" s="2"/>
      <c r="L514" s="2"/>
      <c r="M514" s="4"/>
      <c r="N514" s="2"/>
      <c r="O514" s="5" t="str">
        <f t="shared" ref="O514:O577" ca="1" si="49">IF(M514="","",INT(M514)-TODAY())</f>
        <v/>
      </c>
      <c r="P514" s="6"/>
      <c r="V514" t="str">
        <f t="shared" ref="V514:V577" si="50">IF(M514="","",M514+Q514/1000000)</f>
        <v/>
      </c>
      <c r="W514" t="str">
        <f t="shared" ref="W514:W577" si="51">IF(U514="","",IF(M514="",9999999+Q514/1000000,M514+Q514/1000000))</f>
        <v/>
      </c>
      <c r="X514" t="str">
        <f t="shared" ref="X514:X577" si="52">IF(U514="","",SUMPRODUCT(($U$2:$U$1500=U514)*($W$2:$W$1500&lt;=W514)))</f>
        <v/>
      </c>
      <c r="Y514" t="str">
        <f t="shared" ref="Y514:Y577" si="53">IF(U514="","",U514&amp;"|"&amp;X514)</f>
        <v/>
      </c>
    </row>
    <row r="515" spans="1:25" ht="14.5" x14ac:dyDescent="0.35">
      <c r="A515" s="3"/>
      <c r="B515" s="2"/>
      <c r="C515" s="2"/>
      <c r="D515" s="4"/>
      <c r="E515" s="2"/>
      <c r="F515" s="2"/>
      <c r="G515" s="3" t="str">
        <f t="shared" si="48"/>
        <v/>
      </c>
      <c r="H515" s="3"/>
      <c r="I515" s="3"/>
      <c r="J515" s="2"/>
      <c r="K515" s="2"/>
      <c r="L515" s="2"/>
      <c r="M515" s="4"/>
      <c r="N515" s="2"/>
      <c r="O515" s="5" t="str">
        <f t="shared" ca="1" si="49"/>
        <v/>
      </c>
      <c r="P515" s="6"/>
      <c r="V515" t="str">
        <f t="shared" si="50"/>
        <v/>
      </c>
      <c r="W515" t="str">
        <f t="shared" si="51"/>
        <v/>
      </c>
      <c r="X515" t="str">
        <f t="shared" si="52"/>
        <v/>
      </c>
      <c r="Y515" t="str">
        <f t="shared" si="53"/>
        <v/>
      </c>
    </row>
    <row r="516" spans="1:25" ht="14.5" x14ac:dyDescent="0.35">
      <c r="A516" s="3"/>
      <c r="B516" s="2"/>
      <c r="C516" s="2"/>
      <c r="D516" s="4"/>
      <c r="E516" s="2"/>
      <c r="F516" s="2"/>
      <c r="G516" s="3" t="str">
        <f t="shared" si="48"/>
        <v/>
      </c>
      <c r="H516" s="3"/>
      <c r="I516" s="3"/>
      <c r="J516" s="2"/>
      <c r="K516" s="2"/>
      <c r="L516" s="2"/>
      <c r="M516" s="4"/>
      <c r="N516" s="2"/>
      <c r="O516" s="5" t="str">
        <f t="shared" ca="1" si="49"/>
        <v/>
      </c>
      <c r="P516" s="6"/>
      <c r="V516" t="str">
        <f t="shared" si="50"/>
        <v/>
      </c>
      <c r="W516" t="str">
        <f t="shared" si="51"/>
        <v/>
      </c>
      <c r="X516" t="str">
        <f t="shared" si="52"/>
        <v/>
      </c>
      <c r="Y516" t="str">
        <f t="shared" si="53"/>
        <v/>
      </c>
    </row>
    <row r="517" spans="1:25" ht="14.5" x14ac:dyDescent="0.35">
      <c r="A517" s="3"/>
      <c r="B517" s="2"/>
      <c r="C517" s="2"/>
      <c r="D517" s="4"/>
      <c r="E517" s="2"/>
      <c r="F517" s="2"/>
      <c r="G517" s="3" t="str">
        <f t="shared" si="48"/>
        <v/>
      </c>
      <c r="H517" s="3"/>
      <c r="I517" s="3"/>
      <c r="J517" s="2"/>
      <c r="K517" s="2"/>
      <c r="L517" s="2"/>
      <c r="M517" s="4"/>
      <c r="N517" s="2"/>
      <c r="O517" s="5" t="str">
        <f t="shared" ca="1" si="49"/>
        <v/>
      </c>
      <c r="P517" s="6"/>
      <c r="V517" t="str">
        <f t="shared" si="50"/>
        <v/>
      </c>
      <c r="W517" t="str">
        <f t="shared" si="51"/>
        <v/>
      </c>
      <c r="X517" t="str">
        <f t="shared" si="52"/>
        <v/>
      </c>
      <c r="Y517" t="str">
        <f t="shared" si="53"/>
        <v/>
      </c>
    </row>
    <row r="518" spans="1:25" ht="14.5" x14ac:dyDescent="0.35">
      <c r="A518" s="3"/>
      <c r="B518" s="2"/>
      <c r="C518" s="2"/>
      <c r="D518" s="4"/>
      <c r="E518" s="2"/>
      <c r="F518" s="2"/>
      <c r="G518" s="3" t="str">
        <f t="shared" si="48"/>
        <v/>
      </c>
      <c r="H518" s="3"/>
      <c r="I518" s="3"/>
      <c r="J518" s="2"/>
      <c r="K518" s="2"/>
      <c r="L518" s="2"/>
      <c r="M518" s="4"/>
      <c r="N518" s="2"/>
      <c r="O518" s="5" t="str">
        <f t="shared" ca="1" si="49"/>
        <v/>
      </c>
      <c r="P518" s="6"/>
      <c r="V518" t="str">
        <f t="shared" si="50"/>
        <v/>
      </c>
      <c r="W518" t="str">
        <f t="shared" si="51"/>
        <v/>
      </c>
      <c r="X518" t="str">
        <f t="shared" si="52"/>
        <v/>
      </c>
      <c r="Y518" t="str">
        <f t="shared" si="53"/>
        <v/>
      </c>
    </row>
    <row r="519" spans="1:25" ht="14.5" x14ac:dyDescent="0.35">
      <c r="A519" s="3"/>
      <c r="B519" s="2"/>
      <c r="C519" s="2"/>
      <c r="D519" s="4"/>
      <c r="E519" s="2"/>
      <c r="F519" s="2"/>
      <c r="G519" s="3" t="str">
        <f t="shared" si="48"/>
        <v/>
      </c>
      <c r="H519" s="3"/>
      <c r="I519" s="3"/>
      <c r="J519" s="2"/>
      <c r="K519" s="2"/>
      <c r="L519" s="2"/>
      <c r="M519" s="4"/>
      <c r="N519" s="2"/>
      <c r="O519" s="5" t="str">
        <f t="shared" ca="1" si="49"/>
        <v/>
      </c>
      <c r="P519" s="6"/>
      <c r="V519" t="str">
        <f t="shared" si="50"/>
        <v/>
      </c>
      <c r="W519" t="str">
        <f t="shared" si="51"/>
        <v/>
      </c>
      <c r="X519" t="str">
        <f t="shared" si="52"/>
        <v/>
      </c>
      <c r="Y519" t="str">
        <f t="shared" si="53"/>
        <v/>
      </c>
    </row>
    <row r="520" spans="1:25" ht="14.5" x14ac:dyDescent="0.35">
      <c r="A520" s="3"/>
      <c r="B520" s="2"/>
      <c r="C520" s="2"/>
      <c r="D520" s="4"/>
      <c r="E520" s="2"/>
      <c r="F520" s="2"/>
      <c r="G520" s="3" t="str">
        <f t="shared" si="48"/>
        <v/>
      </c>
      <c r="H520" s="3"/>
      <c r="I520" s="3"/>
      <c r="J520" s="2"/>
      <c r="K520" s="2"/>
      <c r="L520" s="2"/>
      <c r="M520" s="4"/>
      <c r="N520" s="2"/>
      <c r="O520" s="5" t="str">
        <f t="shared" ca="1" si="49"/>
        <v/>
      </c>
      <c r="P520" s="6"/>
      <c r="V520" t="str">
        <f t="shared" si="50"/>
        <v/>
      </c>
      <c r="W520" t="str">
        <f t="shared" si="51"/>
        <v/>
      </c>
      <c r="X520" t="str">
        <f t="shared" si="52"/>
        <v/>
      </c>
      <c r="Y520" t="str">
        <f t="shared" si="53"/>
        <v/>
      </c>
    </row>
    <row r="521" spans="1:25" ht="14.5" x14ac:dyDescent="0.35">
      <c r="A521" s="3"/>
      <c r="B521" s="2"/>
      <c r="C521" s="2"/>
      <c r="D521" s="4"/>
      <c r="E521" s="2"/>
      <c r="F521" s="2"/>
      <c r="G521" s="3" t="str">
        <f t="shared" si="48"/>
        <v/>
      </c>
      <c r="H521" s="3"/>
      <c r="I521" s="3"/>
      <c r="J521" s="2"/>
      <c r="K521" s="2"/>
      <c r="L521" s="2"/>
      <c r="M521" s="4"/>
      <c r="N521" s="2"/>
      <c r="O521" s="5" t="str">
        <f t="shared" ca="1" si="49"/>
        <v/>
      </c>
      <c r="P521" s="6"/>
      <c r="V521" t="str">
        <f t="shared" si="50"/>
        <v/>
      </c>
      <c r="W521" t="str">
        <f t="shared" si="51"/>
        <v/>
      </c>
      <c r="X521" t="str">
        <f t="shared" si="52"/>
        <v/>
      </c>
      <c r="Y521" t="str">
        <f t="shared" si="53"/>
        <v/>
      </c>
    </row>
    <row r="522" spans="1:25" ht="14.5" x14ac:dyDescent="0.35">
      <c r="A522" s="3"/>
      <c r="B522" s="2"/>
      <c r="C522" s="2"/>
      <c r="D522" s="4"/>
      <c r="E522" s="2"/>
      <c r="F522" s="2"/>
      <c r="G522" s="3" t="str">
        <f t="shared" si="48"/>
        <v/>
      </c>
      <c r="H522" s="3"/>
      <c r="I522" s="3"/>
      <c r="J522" s="2"/>
      <c r="K522" s="2"/>
      <c r="L522" s="2"/>
      <c r="M522" s="4"/>
      <c r="N522" s="2"/>
      <c r="O522" s="5" t="str">
        <f t="shared" ca="1" si="49"/>
        <v/>
      </c>
      <c r="P522" s="6"/>
      <c r="V522" t="str">
        <f t="shared" si="50"/>
        <v/>
      </c>
      <c r="W522" t="str">
        <f t="shared" si="51"/>
        <v/>
      </c>
      <c r="X522" t="str">
        <f t="shared" si="52"/>
        <v/>
      </c>
      <c r="Y522" t="str">
        <f t="shared" si="53"/>
        <v/>
      </c>
    </row>
    <row r="523" spans="1:25" ht="14.5" x14ac:dyDescent="0.35">
      <c r="A523" s="3"/>
      <c r="B523" s="2"/>
      <c r="C523" s="2"/>
      <c r="D523" s="4"/>
      <c r="E523" s="2"/>
      <c r="F523" s="2"/>
      <c r="G523" s="3" t="str">
        <f t="shared" si="48"/>
        <v/>
      </c>
      <c r="H523" s="3"/>
      <c r="I523" s="3"/>
      <c r="J523" s="2"/>
      <c r="K523" s="2"/>
      <c r="L523" s="2"/>
      <c r="M523" s="4"/>
      <c r="N523" s="2"/>
      <c r="O523" s="5" t="str">
        <f t="shared" ca="1" si="49"/>
        <v/>
      </c>
      <c r="P523" s="6"/>
      <c r="V523" t="str">
        <f t="shared" si="50"/>
        <v/>
      </c>
      <c r="W523" t="str">
        <f t="shared" si="51"/>
        <v/>
      </c>
      <c r="X523" t="str">
        <f t="shared" si="52"/>
        <v/>
      </c>
      <c r="Y523" t="str">
        <f t="shared" si="53"/>
        <v/>
      </c>
    </row>
    <row r="524" spans="1:25" ht="14.5" x14ac:dyDescent="0.35">
      <c r="A524" s="3"/>
      <c r="B524" s="2"/>
      <c r="C524" s="2"/>
      <c r="D524" s="4"/>
      <c r="E524" s="2"/>
      <c r="F524" s="2"/>
      <c r="G524" s="3" t="str">
        <f t="shared" si="48"/>
        <v/>
      </c>
      <c r="H524" s="3"/>
      <c r="I524" s="3"/>
      <c r="J524" s="2"/>
      <c r="K524" s="2"/>
      <c r="L524" s="2"/>
      <c r="M524" s="4"/>
      <c r="N524" s="2"/>
      <c r="O524" s="5" t="str">
        <f t="shared" ca="1" si="49"/>
        <v/>
      </c>
      <c r="P524" s="6"/>
      <c r="V524" t="str">
        <f t="shared" si="50"/>
        <v/>
      </c>
      <c r="W524" t="str">
        <f t="shared" si="51"/>
        <v/>
      </c>
      <c r="X524" t="str">
        <f t="shared" si="52"/>
        <v/>
      </c>
      <c r="Y524" t="str">
        <f t="shared" si="53"/>
        <v/>
      </c>
    </row>
    <row r="525" spans="1:25" ht="14.5" x14ac:dyDescent="0.35">
      <c r="A525" s="3"/>
      <c r="B525" s="2"/>
      <c r="C525" s="2"/>
      <c r="D525" s="4"/>
      <c r="E525" s="2"/>
      <c r="F525" s="2"/>
      <c r="G525" s="3" t="str">
        <f t="shared" si="48"/>
        <v/>
      </c>
      <c r="H525" s="3"/>
      <c r="I525" s="3"/>
      <c r="J525" s="2"/>
      <c r="K525" s="2"/>
      <c r="L525" s="2"/>
      <c r="M525" s="4"/>
      <c r="N525" s="2"/>
      <c r="O525" s="5" t="str">
        <f t="shared" ca="1" si="49"/>
        <v/>
      </c>
      <c r="P525" s="6"/>
      <c r="V525" t="str">
        <f t="shared" si="50"/>
        <v/>
      </c>
      <c r="W525" t="str">
        <f t="shared" si="51"/>
        <v/>
      </c>
      <c r="X525" t="str">
        <f t="shared" si="52"/>
        <v/>
      </c>
      <c r="Y525" t="str">
        <f t="shared" si="53"/>
        <v/>
      </c>
    </row>
    <row r="526" spans="1:25" ht="14.5" x14ac:dyDescent="0.35">
      <c r="A526" s="3"/>
      <c r="B526" s="2"/>
      <c r="C526" s="2"/>
      <c r="D526" s="4"/>
      <c r="E526" s="2"/>
      <c r="F526" s="2"/>
      <c r="G526" s="3" t="str">
        <f t="shared" si="48"/>
        <v/>
      </c>
      <c r="H526" s="3"/>
      <c r="I526" s="3"/>
      <c r="J526" s="2"/>
      <c r="K526" s="2"/>
      <c r="L526" s="2"/>
      <c r="M526" s="4"/>
      <c r="N526" s="2"/>
      <c r="O526" s="5" t="str">
        <f t="shared" ca="1" si="49"/>
        <v/>
      </c>
      <c r="P526" s="6"/>
      <c r="V526" t="str">
        <f t="shared" si="50"/>
        <v/>
      </c>
      <c r="W526" t="str">
        <f t="shared" si="51"/>
        <v/>
      </c>
      <c r="X526" t="str">
        <f t="shared" si="52"/>
        <v/>
      </c>
      <c r="Y526" t="str">
        <f t="shared" si="53"/>
        <v/>
      </c>
    </row>
    <row r="527" spans="1:25" ht="14.5" x14ac:dyDescent="0.35">
      <c r="A527" s="3"/>
      <c r="B527" s="2"/>
      <c r="C527" s="2"/>
      <c r="D527" s="4"/>
      <c r="E527" s="2"/>
      <c r="F527" s="2"/>
      <c r="G527" s="3" t="str">
        <f t="shared" si="48"/>
        <v/>
      </c>
      <c r="H527" s="3"/>
      <c r="I527" s="3"/>
      <c r="J527" s="2"/>
      <c r="K527" s="2"/>
      <c r="L527" s="2"/>
      <c r="M527" s="4"/>
      <c r="N527" s="2"/>
      <c r="O527" s="5" t="str">
        <f t="shared" ca="1" si="49"/>
        <v/>
      </c>
      <c r="P527" s="6"/>
      <c r="V527" t="str">
        <f t="shared" si="50"/>
        <v/>
      </c>
      <c r="W527" t="str">
        <f t="shared" si="51"/>
        <v/>
      </c>
      <c r="X527" t="str">
        <f t="shared" si="52"/>
        <v/>
      </c>
      <c r="Y527" t="str">
        <f t="shared" si="53"/>
        <v/>
      </c>
    </row>
    <row r="528" spans="1:25" ht="14.5" x14ac:dyDescent="0.35">
      <c r="A528" s="3"/>
      <c r="B528" s="2"/>
      <c r="C528" s="2"/>
      <c r="D528" s="4"/>
      <c r="E528" s="2"/>
      <c r="F528" s="2"/>
      <c r="G528" s="3" t="str">
        <f t="shared" si="48"/>
        <v/>
      </c>
      <c r="H528" s="3"/>
      <c r="I528" s="3"/>
      <c r="J528" s="2"/>
      <c r="K528" s="2"/>
      <c r="L528" s="2"/>
      <c r="M528" s="4"/>
      <c r="N528" s="2"/>
      <c r="O528" s="5" t="str">
        <f t="shared" ca="1" si="49"/>
        <v/>
      </c>
      <c r="P528" s="6"/>
      <c r="V528" t="str">
        <f t="shared" si="50"/>
        <v/>
      </c>
      <c r="W528" t="str">
        <f t="shared" si="51"/>
        <v/>
      </c>
      <c r="X528" t="str">
        <f t="shared" si="52"/>
        <v/>
      </c>
      <c r="Y528" t="str">
        <f t="shared" si="53"/>
        <v/>
      </c>
    </row>
    <row r="529" spans="1:25" ht="14.5" x14ac:dyDescent="0.35">
      <c r="A529" s="3"/>
      <c r="B529" s="2"/>
      <c r="C529" s="2"/>
      <c r="D529" s="4"/>
      <c r="E529" s="2"/>
      <c r="F529" s="2"/>
      <c r="G529" s="3" t="str">
        <f t="shared" si="48"/>
        <v/>
      </c>
      <c r="H529" s="3"/>
      <c r="I529" s="3"/>
      <c r="J529" s="2"/>
      <c r="K529" s="2"/>
      <c r="L529" s="2"/>
      <c r="M529" s="4"/>
      <c r="N529" s="2"/>
      <c r="O529" s="5" t="str">
        <f t="shared" ca="1" si="49"/>
        <v/>
      </c>
      <c r="P529" s="6"/>
      <c r="V529" t="str">
        <f t="shared" si="50"/>
        <v/>
      </c>
      <c r="W529" t="str">
        <f t="shared" si="51"/>
        <v/>
      </c>
      <c r="X529" t="str">
        <f t="shared" si="52"/>
        <v/>
      </c>
      <c r="Y529" t="str">
        <f t="shared" si="53"/>
        <v/>
      </c>
    </row>
    <row r="530" spans="1:25" ht="14.5" x14ac:dyDescent="0.35">
      <c r="A530" s="3"/>
      <c r="B530" s="2"/>
      <c r="C530" s="2"/>
      <c r="D530" s="4"/>
      <c r="E530" s="2"/>
      <c r="F530" s="2"/>
      <c r="G530" s="3" t="str">
        <f t="shared" si="48"/>
        <v/>
      </c>
      <c r="H530" s="3"/>
      <c r="I530" s="3"/>
      <c r="J530" s="2"/>
      <c r="K530" s="2"/>
      <c r="L530" s="2"/>
      <c r="M530" s="4"/>
      <c r="N530" s="2"/>
      <c r="O530" s="5" t="str">
        <f t="shared" ca="1" si="49"/>
        <v/>
      </c>
      <c r="P530" s="6"/>
      <c r="V530" t="str">
        <f t="shared" si="50"/>
        <v/>
      </c>
      <c r="W530" t="str">
        <f t="shared" si="51"/>
        <v/>
      </c>
      <c r="X530" t="str">
        <f t="shared" si="52"/>
        <v/>
      </c>
      <c r="Y530" t="str">
        <f t="shared" si="53"/>
        <v/>
      </c>
    </row>
    <row r="531" spans="1:25" ht="14.5" x14ac:dyDescent="0.35">
      <c r="A531" s="3"/>
      <c r="B531" s="2"/>
      <c r="C531" s="2"/>
      <c r="D531" s="4"/>
      <c r="E531" s="2"/>
      <c r="F531" s="2"/>
      <c r="G531" s="3" t="str">
        <f t="shared" si="48"/>
        <v/>
      </c>
      <c r="H531" s="3"/>
      <c r="I531" s="3"/>
      <c r="J531" s="2"/>
      <c r="K531" s="2"/>
      <c r="L531" s="2"/>
      <c r="M531" s="4"/>
      <c r="N531" s="2"/>
      <c r="O531" s="5" t="str">
        <f t="shared" ca="1" si="49"/>
        <v/>
      </c>
      <c r="P531" s="6"/>
      <c r="V531" t="str">
        <f t="shared" si="50"/>
        <v/>
      </c>
      <c r="W531" t="str">
        <f t="shared" si="51"/>
        <v/>
      </c>
      <c r="X531" t="str">
        <f t="shared" si="52"/>
        <v/>
      </c>
      <c r="Y531" t="str">
        <f t="shared" si="53"/>
        <v/>
      </c>
    </row>
    <row r="532" spans="1:25" ht="14.5" x14ac:dyDescent="0.35">
      <c r="A532" s="3"/>
      <c r="B532" s="2"/>
      <c r="C532" s="2"/>
      <c r="D532" s="4"/>
      <c r="E532" s="2"/>
      <c r="F532" s="2"/>
      <c r="G532" s="3" t="str">
        <f t="shared" si="48"/>
        <v/>
      </c>
      <c r="H532" s="3"/>
      <c r="I532" s="3"/>
      <c r="J532" s="2"/>
      <c r="K532" s="2"/>
      <c r="L532" s="2"/>
      <c r="M532" s="4"/>
      <c r="N532" s="2"/>
      <c r="O532" s="5" t="str">
        <f t="shared" ca="1" si="49"/>
        <v/>
      </c>
      <c r="P532" s="6"/>
      <c r="V532" t="str">
        <f t="shared" si="50"/>
        <v/>
      </c>
      <c r="W532" t="str">
        <f t="shared" si="51"/>
        <v/>
      </c>
      <c r="X532" t="str">
        <f t="shared" si="52"/>
        <v/>
      </c>
      <c r="Y532" t="str">
        <f t="shared" si="53"/>
        <v/>
      </c>
    </row>
    <row r="533" spans="1:25" ht="14.5" x14ac:dyDescent="0.35">
      <c r="A533" s="3"/>
      <c r="B533" s="2"/>
      <c r="C533" s="2"/>
      <c r="D533" s="4"/>
      <c r="E533" s="2"/>
      <c r="F533" s="2"/>
      <c r="G533" s="3" t="str">
        <f t="shared" si="48"/>
        <v/>
      </c>
      <c r="H533" s="3"/>
      <c r="I533" s="3"/>
      <c r="J533" s="2"/>
      <c r="K533" s="2"/>
      <c r="L533" s="2"/>
      <c r="M533" s="4"/>
      <c r="N533" s="2"/>
      <c r="O533" s="5" t="str">
        <f t="shared" ca="1" si="49"/>
        <v/>
      </c>
      <c r="P533" s="6"/>
      <c r="V533" t="str">
        <f t="shared" si="50"/>
        <v/>
      </c>
      <c r="W533" t="str">
        <f t="shared" si="51"/>
        <v/>
      </c>
      <c r="X533" t="str">
        <f t="shared" si="52"/>
        <v/>
      </c>
      <c r="Y533" t="str">
        <f t="shared" si="53"/>
        <v/>
      </c>
    </row>
    <row r="534" spans="1:25" ht="14.5" x14ac:dyDescent="0.35">
      <c r="A534" s="3"/>
      <c r="B534" s="2"/>
      <c r="C534" s="2"/>
      <c r="D534" s="4"/>
      <c r="E534" s="2"/>
      <c r="F534" s="2"/>
      <c r="G534" s="3" t="str">
        <f t="shared" si="48"/>
        <v/>
      </c>
      <c r="H534" s="3"/>
      <c r="I534" s="3"/>
      <c r="J534" s="2"/>
      <c r="K534" s="2"/>
      <c r="L534" s="2"/>
      <c r="M534" s="4"/>
      <c r="N534" s="2"/>
      <c r="O534" s="5" t="str">
        <f t="shared" ca="1" si="49"/>
        <v/>
      </c>
      <c r="P534" s="6"/>
      <c r="V534" t="str">
        <f t="shared" si="50"/>
        <v/>
      </c>
      <c r="W534" t="str">
        <f t="shared" si="51"/>
        <v/>
      </c>
      <c r="X534" t="str">
        <f t="shared" si="52"/>
        <v/>
      </c>
      <c r="Y534" t="str">
        <f t="shared" si="53"/>
        <v/>
      </c>
    </row>
    <row r="535" spans="1:25" ht="14.5" x14ac:dyDescent="0.35">
      <c r="A535" s="3"/>
      <c r="B535" s="2"/>
      <c r="C535" s="2"/>
      <c r="D535" s="4"/>
      <c r="E535" s="2"/>
      <c r="F535" s="2"/>
      <c r="G535" s="3" t="str">
        <f t="shared" si="48"/>
        <v/>
      </c>
      <c r="H535" s="3"/>
      <c r="I535" s="3"/>
      <c r="J535" s="2"/>
      <c r="K535" s="2"/>
      <c r="L535" s="2"/>
      <c r="M535" s="4"/>
      <c r="N535" s="2"/>
      <c r="O535" s="5" t="str">
        <f t="shared" ca="1" si="49"/>
        <v/>
      </c>
      <c r="P535" s="6"/>
      <c r="V535" t="str">
        <f t="shared" si="50"/>
        <v/>
      </c>
      <c r="W535" t="str">
        <f t="shared" si="51"/>
        <v/>
      </c>
      <c r="X535" t="str">
        <f t="shared" si="52"/>
        <v/>
      </c>
      <c r="Y535" t="str">
        <f t="shared" si="53"/>
        <v/>
      </c>
    </row>
    <row r="536" spans="1:25" ht="14.5" x14ac:dyDescent="0.35">
      <c r="A536" s="3"/>
      <c r="B536" s="2"/>
      <c r="C536" s="2"/>
      <c r="D536" s="4"/>
      <c r="E536" s="2"/>
      <c r="F536" s="2"/>
      <c r="G536" s="3" t="str">
        <f t="shared" si="48"/>
        <v/>
      </c>
      <c r="H536" s="3"/>
      <c r="I536" s="3"/>
      <c r="J536" s="2"/>
      <c r="K536" s="2"/>
      <c r="L536" s="2"/>
      <c r="M536" s="4"/>
      <c r="N536" s="2"/>
      <c r="O536" s="5" t="str">
        <f t="shared" ca="1" si="49"/>
        <v/>
      </c>
      <c r="P536" s="6"/>
      <c r="V536" t="str">
        <f t="shared" si="50"/>
        <v/>
      </c>
      <c r="W536" t="str">
        <f t="shared" si="51"/>
        <v/>
      </c>
      <c r="X536" t="str">
        <f t="shared" si="52"/>
        <v/>
      </c>
      <c r="Y536" t="str">
        <f t="shared" si="53"/>
        <v/>
      </c>
    </row>
    <row r="537" spans="1:25" ht="14.5" x14ac:dyDescent="0.35">
      <c r="A537" s="3"/>
      <c r="B537" s="2"/>
      <c r="C537" s="2"/>
      <c r="D537" s="4"/>
      <c r="E537" s="2"/>
      <c r="F537" s="2"/>
      <c r="G537" s="3" t="str">
        <f t="shared" si="48"/>
        <v/>
      </c>
      <c r="H537" s="3"/>
      <c r="I537" s="3"/>
      <c r="J537" s="2"/>
      <c r="K537" s="2"/>
      <c r="L537" s="2"/>
      <c r="M537" s="4"/>
      <c r="N537" s="2"/>
      <c r="O537" s="5" t="str">
        <f t="shared" ca="1" si="49"/>
        <v/>
      </c>
      <c r="P537" s="6"/>
      <c r="V537" t="str">
        <f t="shared" si="50"/>
        <v/>
      </c>
      <c r="W537" t="str">
        <f t="shared" si="51"/>
        <v/>
      </c>
      <c r="X537" t="str">
        <f t="shared" si="52"/>
        <v/>
      </c>
      <c r="Y537" t="str">
        <f t="shared" si="53"/>
        <v/>
      </c>
    </row>
    <row r="538" spans="1:25" ht="14.5" x14ac:dyDescent="0.35">
      <c r="A538" s="3"/>
      <c r="B538" s="2"/>
      <c r="C538" s="2"/>
      <c r="D538" s="4"/>
      <c r="E538" s="2"/>
      <c r="F538" s="2"/>
      <c r="G538" s="3" t="str">
        <f t="shared" si="48"/>
        <v/>
      </c>
      <c r="H538" s="3"/>
      <c r="I538" s="3"/>
      <c r="J538" s="2"/>
      <c r="K538" s="2"/>
      <c r="L538" s="2"/>
      <c r="M538" s="4"/>
      <c r="N538" s="2"/>
      <c r="O538" s="5" t="str">
        <f t="shared" ca="1" si="49"/>
        <v/>
      </c>
      <c r="P538" s="6"/>
      <c r="V538" t="str">
        <f t="shared" si="50"/>
        <v/>
      </c>
      <c r="W538" t="str">
        <f t="shared" si="51"/>
        <v/>
      </c>
      <c r="X538" t="str">
        <f t="shared" si="52"/>
        <v/>
      </c>
      <c r="Y538" t="str">
        <f t="shared" si="53"/>
        <v/>
      </c>
    </row>
    <row r="539" spans="1:25" ht="14.5" x14ac:dyDescent="0.35">
      <c r="A539" s="3"/>
      <c r="B539" s="2"/>
      <c r="C539" s="2"/>
      <c r="D539" s="4"/>
      <c r="E539" s="2"/>
      <c r="F539" s="2"/>
      <c r="G539" s="3" t="str">
        <f t="shared" si="48"/>
        <v/>
      </c>
      <c r="H539" s="3"/>
      <c r="I539" s="3"/>
      <c r="J539" s="2"/>
      <c r="K539" s="2"/>
      <c r="L539" s="2"/>
      <c r="M539" s="4"/>
      <c r="N539" s="2"/>
      <c r="O539" s="5" t="str">
        <f t="shared" ca="1" si="49"/>
        <v/>
      </c>
      <c r="P539" s="6"/>
      <c r="V539" t="str">
        <f t="shared" si="50"/>
        <v/>
      </c>
      <c r="W539" t="str">
        <f t="shared" si="51"/>
        <v/>
      </c>
      <c r="X539" t="str">
        <f t="shared" si="52"/>
        <v/>
      </c>
      <c r="Y539" t="str">
        <f t="shared" si="53"/>
        <v/>
      </c>
    </row>
    <row r="540" spans="1:25" ht="14.5" x14ac:dyDescent="0.35">
      <c r="A540" s="3"/>
      <c r="B540" s="2"/>
      <c r="C540" s="2"/>
      <c r="D540" s="4"/>
      <c r="E540" s="2"/>
      <c r="F540" s="2"/>
      <c r="G540" s="3" t="str">
        <f t="shared" si="48"/>
        <v/>
      </c>
      <c r="H540" s="3"/>
      <c r="I540" s="3"/>
      <c r="J540" s="2"/>
      <c r="K540" s="2"/>
      <c r="L540" s="2"/>
      <c r="M540" s="4"/>
      <c r="N540" s="2"/>
      <c r="O540" s="5" t="str">
        <f t="shared" ca="1" si="49"/>
        <v/>
      </c>
      <c r="P540" s="6"/>
      <c r="V540" t="str">
        <f t="shared" si="50"/>
        <v/>
      </c>
      <c r="W540" t="str">
        <f t="shared" si="51"/>
        <v/>
      </c>
      <c r="X540" t="str">
        <f t="shared" si="52"/>
        <v/>
      </c>
      <c r="Y540" t="str">
        <f t="shared" si="53"/>
        <v/>
      </c>
    </row>
    <row r="541" spans="1:25" ht="14.5" x14ac:dyDescent="0.35">
      <c r="A541" s="3"/>
      <c r="B541" s="2"/>
      <c r="C541" s="2"/>
      <c r="D541" s="4"/>
      <c r="E541" s="2"/>
      <c r="F541" s="2"/>
      <c r="G541" s="3" t="str">
        <f t="shared" si="48"/>
        <v/>
      </c>
      <c r="H541" s="3"/>
      <c r="I541" s="3"/>
      <c r="J541" s="2"/>
      <c r="K541" s="2"/>
      <c r="L541" s="2"/>
      <c r="M541" s="4"/>
      <c r="N541" s="2"/>
      <c r="O541" s="5" t="str">
        <f t="shared" ca="1" si="49"/>
        <v/>
      </c>
      <c r="P541" s="6"/>
      <c r="V541" t="str">
        <f t="shared" si="50"/>
        <v/>
      </c>
      <c r="W541" t="str">
        <f t="shared" si="51"/>
        <v/>
      </c>
      <c r="X541" t="str">
        <f t="shared" si="52"/>
        <v/>
      </c>
      <c r="Y541" t="str">
        <f t="shared" si="53"/>
        <v/>
      </c>
    </row>
    <row r="542" spans="1:25" ht="14.5" x14ac:dyDescent="0.35">
      <c r="A542" s="3"/>
      <c r="B542" s="2"/>
      <c r="C542" s="2"/>
      <c r="D542" s="4"/>
      <c r="E542" s="2"/>
      <c r="F542" s="2"/>
      <c r="G542" s="3" t="str">
        <f t="shared" si="48"/>
        <v/>
      </c>
      <c r="H542" s="3"/>
      <c r="I542" s="3"/>
      <c r="J542" s="2"/>
      <c r="K542" s="2"/>
      <c r="L542" s="2"/>
      <c r="M542" s="4"/>
      <c r="N542" s="2"/>
      <c r="O542" s="5" t="str">
        <f t="shared" ca="1" si="49"/>
        <v/>
      </c>
      <c r="P542" s="6"/>
      <c r="V542" t="str">
        <f t="shared" si="50"/>
        <v/>
      </c>
      <c r="W542" t="str">
        <f t="shared" si="51"/>
        <v/>
      </c>
      <c r="X542" t="str">
        <f t="shared" si="52"/>
        <v/>
      </c>
      <c r="Y542" t="str">
        <f t="shared" si="53"/>
        <v/>
      </c>
    </row>
    <row r="543" spans="1:25" ht="14.5" x14ac:dyDescent="0.35">
      <c r="A543" s="3"/>
      <c r="B543" s="2"/>
      <c r="C543" s="2"/>
      <c r="D543" s="4"/>
      <c r="E543" s="2"/>
      <c r="F543" s="2"/>
      <c r="G543" s="3" t="str">
        <f t="shared" si="48"/>
        <v/>
      </c>
      <c r="H543" s="3"/>
      <c r="I543" s="3"/>
      <c r="J543" s="2"/>
      <c r="K543" s="2"/>
      <c r="L543" s="2"/>
      <c r="M543" s="4"/>
      <c r="N543" s="2"/>
      <c r="O543" s="5" t="str">
        <f t="shared" ca="1" si="49"/>
        <v/>
      </c>
      <c r="P543" s="6"/>
      <c r="V543" t="str">
        <f t="shared" si="50"/>
        <v/>
      </c>
      <c r="W543" t="str">
        <f t="shared" si="51"/>
        <v/>
      </c>
      <c r="X543" t="str">
        <f t="shared" si="52"/>
        <v/>
      </c>
      <c r="Y543" t="str">
        <f t="shared" si="53"/>
        <v/>
      </c>
    </row>
    <row r="544" spans="1:25" ht="14.5" x14ac:dyDescent="0.35">
      <c r="A544" s="3"/>
      <c r="B544" s="2"/>
      <c r="C544" s="2"/>
      <c r="D544" s="4"/>
      <c r="E544" s="2"/>
      <c r="F544" s="2"/>
      <c r="G544" s="3" t="str">
        <f t="shared" si="48"/>
        <v/>
      </c>
      <c r="H544" s="3"/>
      <c r="I544" s="3"/>
      <c r="J544" s="2"/>
      <c r="K544" s="2"/>
      <c r="L544" s="2"/>
      <c r="M544" s="4"/>
      <c r="N544" s="2"/>
      <c r="O544" s="5" t="str">
        <f t="shared" ca="1" si="49"/>
        <v/>
      </c>
      <c r="P544" s="6"/>
      <c r="V544" t="str">
        <f t="shared" si="50"/>
        <v/>
      </c>
      <c r="W544" t="str">
        <f t="shared" si="51"/>
        <v/>
      </c>
      <c r="X544" t="str">
        <f t="shared" si="52"/>
        <v/>
      </c>
      <c r="Y544" t="str">
        <f t="shared" si="53"/>
        <v/>
      </c>
    </row>
    <row r="545" spans="1:25" ht="14.5" x14ac:dyDescent="0.35">
      <c r="A545" s="3"/>
      <c r="B545" s="2"/>
      <c r="C545" s="2"/>
      <c r="D545" s="4"/>
      <c r="E545" s="2"/>
      <c r="F545" s="2"/>
      <c r="G545" s="3" t="str">
        <f t="shared" si="48"/>
        <v/>
      </c>
      <c r="H545" s="3"/>
      <c r="I545" s="3"/>
      <c r="J545" s="2"/>
      <c r="K545" s="2"/>
      <c r="L545" s="2"/>
      <c r="M545" s="4"/>
      <c r="N545" s="2"/>
      <c r="O545" s="5" t="str">
        <f t="shared" ca="1" si="49"/>
        <v/>
      </c>
      <c r="P545" s="6"/>
      <c r="V545" t="str">
        <f t="shared" si="50"/>
        <v/>
      </c>
      <c r="W545" t="str">
        <f t="shared" si="51"/>
        <v/>
      </c>
      <c r="X545" t="str">
        <f t="shared" si="52"/>
        <v/>
      </c>
      <c r="Y545" t="str">
        <f t="shared" si="53"/>
        <v/>
      </c>
    </row>
    <row r="546" spans="1:25" ht="14.5" x14ac:dyDescent="0.35">
      <c r="A546" s="3"/>
      <c r="B546" s="2"/>
      <c r="C546" s="2"/>
      <c r="D546" s="4"/>
      <c r="E546" s="2"/>
      <c r="F546" s="2"/>
      <c r="G546" s="3" t="str">
        <f t="shared" si="48"/>
        <v/>
      </c>
      <c r="H546" s="3"/>
      <c r="I546" s="3"/>
      <c r="J546" s="2"/>
      <c r="K546" s="2"/>
      <c r="L546" s="2"/>
      <c r="M546" s="4"/>
      <c r="N546" s="2"/>
      <c r="O546" s="5" t="str">
        <f t="shared" ca="1" si="49"/>
        <v/>
      </c>
      <c r="P546" s="6"/>
      <c r="V546" t="str">
        <f t="shared" si="50"/>
        <v/>
      </c>
      <c r="W546" t="str">
        <f t="shared" si="51"/>
        <v/>
      </c>
      <c r="X546" t="str">
        <f t="shared" si="52"/>
        <v/>
      </c>
      <c r="Y546" t="str">
        <f t="shared" si="53"/>
        <v/>
      </c>
    </row>
    <row r="547" spans="1:25" ht="14.5" x14ac:dyDescent="0.35">
      <c r="A547" s="3"/>
      <c r="B547" s="2"/>
      <c r="C547" s="2"/>
      <c r="D547" s="4"/>
      <c r="E547" s="2"/>
      <c r="F547" s="2"/>
      <c r="G547" s="3" t="str">
        <f t="shared" si="48"/>
        <v/>
      </c>
      <c r="H547" s="3"/>
      <c r="I547" s="3"/>
      <c r="J547" s="2"/>
      <c r="K547" s="2"/>
      <c r="L547" s="2"/>
      <c r="M547" s="4"/>
      <c r="N547" s="2"/>
      <c r="O547" s="5" t="str">
        <f t="shared" ca="1" si="49"/>
        <v/>
      </c>
      <c r="P547" s="6"/>
      <c r="V547" t="str">
        <f t="shared" si="50"/>
        <v/>
      </c>
      <c r="W547" t="str">
        <f t="shared" si="51"/>
        <v/>
      </c>
      <c r="X547" t="str">
        <f t="shared" si="52"/>
        <v/>
      </c>
      <c r="Y547" t="str">
        <f t="shared" si="53"/>
        <v/>
      </c>
    </row>
    <row r="548" spans="1:25" ht="14.5" x14ac:dyDescent="0.35">
      <c r="A548" s="3"/>
      <c r="B548" s="2"/>
      <c r="C548" s="2"/>
      <c r="D548" s="4"/>
      <c r="E548" s="2"/>
      <c r="F548" s="2"/>
      <c r="G548" s="3" t="str">
        <f t="shared" si="48"/>
        <v/>
      </c>
      <c r="H548" s="3"/>
      <c r="I548" s="3"/>
      <c r="J548" s="2"/>
      <c r="K548" s="2"/>
      <c r="L548" s="2"/>
      <c r="M548" s="4"/>
      <c r="N548" s="2"/>
      <c r="O548" s="5" t="str">
        <f t="shared" ca="1" si="49"/>
        <v/>
      </c>
      <c r="P548" s="6"/>
      <c r="V548" t="str">
        <f t="shared" si="50"/>
        <v/>
      </c>
      <c r="W548" t="str">
        <f t="shared" si="51"/>
        <v/>
      </c>
      <c r="X548" t="str">
        <f t="shared" si="52"/>
        <v/>
      </c>
      <c r="Y548" t="str">
        <f t="shared" si="53"/>
        <v/>
      </c>
    </row>
    <row r="549" spans="1:25" ht="14.5" x14ac:dyDescent="0.35">
      <c r="A549" s="3"/>
      <c r="B549" s="2"/>
      <c r="C549" s="2"/>
      <c r="D549" s="4"/>
      <c r="E549" s="2"/>
      <c r="F549" s="2"/>
      <c r="G549" s="3" t="str">
        <f t="shared" si="48"/>
        <v/>
      </c>
      <c r="H549" s="3"/>
      <c r="I549" s="3"/>
      <c r="J549" s="2"/>
      <c r="K549" s="2"/>
      <c r="L549" s="2"/>
      <c r="M549" s="4"/>
      <c r="N549" s="2"/>
      <c r="O549" s="5" t="str">
        <f t="shared" ca="1" si="49"/>
        <v/>
      </c>
      <c r="P549" s="6"/>
      <c r="V549" t="str">
        <f t="shared" si="50"/>
        <v/>
      </c>
      <c r="W549" t="str">
        <f t="shared" si="51"/>
        <v/>
      </c>
      <c r="X549" t="str">
        <f t="shared" si="52"/>
        <v/>
      </c>
      <c r="Y549" t="str">
        <f t="shared" si="53"/>
        <v/>
      </c>
    </row>
    <row r="550" spans="1:25" ht="14.5" x14ac:dyDescent="0.35">
      <c r="A550" s="3"/>
      <c r="B550" s="2"/>
      <c r="C550" s="2"/>
      <c r="D550" s="4"/>
      <c r="E550" s="2"/>
      <c r="F550" s="2"/>
      <c r="G550" s="3" t="str">
        <f t="shared" si="48"/>
        <v/>
      </c>
      <c r="H550" s="3"/>
      <c r="I550" s="3"/>
      <c r="J550" s="2"/>
      <c r="K550" s="2"/>
      <c r="L550" s="2"/>
      <c r="M550" s="4"/>
      <c r="N550" s="2"/>
      <c r="O550" s="5" t="str">
        <f t="shared" ca="1" si="49"/>
        <v/>
      </c>
      <c r="P550" s="6"/>
      <c r="V550" t="str">
        <f t="shared" si="50"/>
        <v/>
      </c>
      <c r="W550" t="str">
        <f t="shared" si="51"/>
        <v/>
      </c>
      <c r="X550" t="str">
        <f t="shared" si="52"/>
        <v/>
      </c>
      <c r="Y550" t="str">
        <f t="shared" si="53"/>
        <v/>
      </c>
    </row>
    <row r="551" spans="1:25" ht="14.5" x14ac:dyDescent="0.35">
      <c r="A551" s="3"/>
      <c r="B551" s="2"/>
      <c r="C551" s="2"/>
      <c r="D551" s="4"/>
      <c r="E551" s="2"/>
      <c r="F551" s="2"/>
      <c r="G551" s="3" t="str">
        <f t="shared" si="48"/>
        <v/>
      </c>
      <c r="H551" s="3"/>
      <c r="I551" s="3"/>
      <c r="J551" s="2"/>
      <c r="K551" s="2"/>
      <c r="L551" s="2"/>
      <c r="M551" s="4"/>
      <c r="N551" s="2"/>
      <c r="O551" s="5" t="str">
        <f t="shared" ca="1" si="49"/>
        <v/>
      </c>
      <c r="P551" s="6"/>
      <c r="V551" t="str">
        <f t="shared" si="50"/>
        <v/>
      </c>
      <c r="W551" t="str">
        <f t="shared" si="51"/>
        <v/>
      </c>
      <c r="X551" t="str">
        <f t="shared" si="52"/>
        <v/>
      </c>
      <c r="Y551" t="str">
        <f t="shared" si="53"/>
        <v/>
      </c>
    </row>
    <row r="552" spans="1:25" ht="14.5" x14ac:dyDescent="0.35">
      <c r="A552" s="3"/>
      <c r="B552" s="2"/>
      <c r="C552" s="2"/>
      <c r="D552" s="4"/>
      <c r="E552" s="2"/>
      <c r="F552" s="2"/>
      <c r="G552" s="3" t="str">
        <f t="shared" si="48"/>
        <v/>
      </c>
      <c r="H552" s="3"/>
      <c r="I552" s="3"/>
      <c r="J552" s="2"/>
      <c r="K552" s="2"/>
      <c r="L552" s="2"/>
      <c r="M552" s="4"/>
      <c r="N552" s="2"/>
      <c r="O552" s="5" t="str">
        <f t="shared" ca="1" si="49"/>
        <v/>
      </c>
      <c r="P552" s="6"/>
      <c r="V552" t="str">
        <f t="shared" si="50"/>
        <v/>
      </c>
      <c r="W552" t="str">
        <f t="shared" si="51"/>
        <v/>
      </c>
      <c r="X552" t="str">
        <f t="shared" si="52"/>
        <v/>
      </c>
      <c r="Y552" t="str">
        <f t="shared" si="53"/>
        <v/>
      </c>
    </row>
    <row r="553" spans="1:25" ht="14.5" x14ac:dyDescent="0.35">
      <c r="A553" s="3"/>
      <c r="B553" s="2"/>
      <c r="C553" s="2"/>
      <c r="D553" s="4"/>
      <c r="E553" s="2"/>
      <c r="F553" s="2"/>
      <c r="G553" s="3" t="str">
        <f t="shared" si="48"/>
        <v/>
      </c>
      <c r="H553" s="3"/>
      <c r="I553" s="3"/>
      <c r="J553" s="2"/>
      <c r="K553" s="2"/>
      <c r="L553" s="2"/>
      <c r="M553" s="4"/>
      <c r="N553" s="2"/>
      <c r="O553" s="5" t="str">
        <f t="shared" ca="1" si="49"/>
        <v/>
      </c>
      <c r="P553" s="6"/>
      <c r="V553" t="str">
        <f t="shared" si="50"/>
        <v/>
      </c>
      <c r="W553" t="str">
        <f t="shared" si="51"/>
        <v/>
      </c>
      <c r="X553" t="str">
        <f t="shared" si="52"/>
        <v/>
      </c>
      <c r="Y553" t="str">
        <f t="shared" si="53"/>
        <v/>
      </c>
    </row>
    <row r="554" spans="1:25" ht="14.5" x14ac:dyDescent="0.35">
      <c r="A554" s="3"/>
      <c r="B554" s="2"/>
      <c r="C554" s="2"/>
      <c r="D554" s="4"/>
      <c r="E554" s="2"/>
      <c r="F554" s="2"/>
      <c r="G554" s="3" t="str">
        <f t="shared" si="48"/>
        <v/>
      </c>
      <c r="H554" s="3"/>
      <c r="I554" s="3"/>
      <c r="J554" s="2"/>
      <c r="K554" s="2"/>
      <c r="L554" s="2"/>
      <c r="M554" s="4"/>
      <c r="N554" s="2"/>
      <c r="O554" s="5" t="str">
        <f t="shared" ca="1" si="49"/>
        <v/>
      </c>
      <c r="P554" s="6"/>
      <c r="V554" t="str">
        <f t="shared" si="50"/>
        <v/>
      </c>
      <c r="W554" t="str">
        <f t="shared" si="51"/>
        <v/>
      </c>
      <c r="X554" t="str">
        <f t="shared" si="52"/>
        <v/>
      </c>
      <c r="Y554" t="str">
        <f t="shared" si="53"/>
        <v/>
      </c>
    </row>
    <row r="555" spans="1:25" ht="14.5" x14ac:dyDescent="0.35">
      <c r="A555" s="3"/>
      <c r="B555" s="2"/>
      <c r="C555" s="2"/>
      <c r="D555" s="4"/>
      <c r="E555" s="2"/>
      <c r="F555" s="2"/>
      <c r="G555" s="3" t="str">
        <f t="shared" si="48"/>
        <v/>
      </c>
      <c r="H555" s="3"/>
      <c r="I555" s="3"/>
      <c r="J555" s="2"/>
      <c r="K555" s="2"/>
      <c r="L555" s="2"/>
      <c r="M555" s="4"/>
      <c r="N555" s="2"/>
      <c r="O555" s="5" t="str">
        <f t="shared" ca="1" si="49"/>
        <v/>
      </c>
      <c r="P555" s="6"/>
      <c r="V555" t="str">
        <f t="shared" si="50"/>
        <v/>
      </c>
      <c r="W555" t="str">
        <f t="shared" si="51"/>
        <v/>
      </c>
      <c r="X555" t="str">
        <f t="shared" si="52"/>
        <v/>
      </c>
      <c r="Y555" t="str">
        <f t="shared" si="53"/>
        <v/>
      </c>
    </row>
    <row r="556" spans="1:25" ht="14.5" x14ac:dyDescent="0.35">
      <c r="A556" s="3"/>
      <c r="B556" s="2"/>
      <c r="C556" s="2"/>
      <c r="D556" s="4"/>
      <c r="E556" s="2"/>
      <c r="F556" s="2"/>
      <c r="G556" s="3" t="str">
        <f t="shared" si="48"/>
        <v/>
      </c>
      <c r="H556" s="3"/>
      <c r="I556" s="3"/>
      <c r="J556" s="2"/>
      <c r="K556" s="2"/>
      <c r="L556" s="2"/>
      <c r="M556" s="4"/>
      <c r="N556" s="2"/>
      <c r="O556" s="5" t="str">
        <f t="shared" ca="1" si="49"/>
        <v/>
      </c>
      <c r="P556" s="6"/>
      <c r="V556" t="str">
        <f t="shared" si="50"/>
        <v/>
      </c>
      <c r="W556" t="str">
        <f t="shared" si="51"/>
        <v/>
      </c>
      <c r="X556" t="str">
        <f t="shared" si="52"/>
        <v/>
      </c>
      <c r="Y556" t="str">
        <f t="shared" si="53"/>
        <v/>
      </c>
    </row>
    <row r="557" spans="1:25" ht="14.5" x14ac:dyDescent="0.35">
      <c r="A557" s="3"/>
      <c r="B557" s="2"/>
      <c r="C557" s="2"/>
      <c r="D557" s="4"/>
      <c r="E557" s="2"/>
      <c r="F557" s="2"/>
      <c r="G557" s="3" t="str">
        <f t="shared" si="48"/>
        <v/>
      </c>
      <c r="H557" s="3"/>
      <c r="I557" s="3"/>
      <c r="J557" s="2"/>
      <c r="K557" s="2"/>
      <c r="L557" s="2"/>
      <c r="M557" s="4"/>
      <c r="N557" s="2"/>
      <c r="O557" s="5" t="str">
        <f t="shared" ca="1" si="49"/>
        <v/>
      </c>
      <c r="P557" s="6"/>
      <c r="V557" t="str">
        <f t="shared" si="50"/>
        <v/>
      </c>
      <c r="W557" t="str">
        <f t="shared" si="51"/>
        <v/>
      </c>
      <c r="X557" t="str">
        <f t="shared" si="52"/>
        <v/>
      </c>
      <c r="Y557" t="str">
        <f t="shared" si="53"/>
        <v/>
      </c>
    </row>
    <row r="558" spans="1:25" ht="14.5" x14ac:dyDescent="0.35">
      <c r="A558" s="3"/>
      <c r="B558" s="2"/>
      <c r="C558" s="2"/>
      <c r="D558" s="4"/>
      <c r="E558" s="2"/>
      <c r="F558" s="2"/>
      <c r="G558" s="3" t="str">
        <f t="shared" si="48"/>
        <v/>
      </c>
      <c r="H558" s="3"/>
      <c r="I558" s="3"/>
      <c r="J558" s="2"/>
      <c r="K558" s="2"/>
      <c r="L558" s="2"/>
      <c r="M558" s="4"/>
      <c r="N558" s="2"/>
      <c r="O558" s="5" t="str">
        <f t="shared" ca="1" si="49"/>
        <v/>
      </c>
      <c r="P558" s="6"/>
      <c r="V558" t="str">
        <f t="shared" si="50"/>
        <v/>
      </c>
      <c r="W558" t="str">
        <f t="shared" si="51"/>
        <v/>
      </c>
      <c r="X558" t="str">
        <f t="shared" si="52"/>
        <v/>
      </c>
      <c r="Y558" t="str">
        <f t="shared" si="53"/>
        <v/>
      </c>
    </row>
    <row r="559" spans="1:25" ht="14.5" x14ac:dyDescent="0.35">
      <c r="A559" s="3"/>
      <c r="B559" s="2"/>
      <c r="C559" s="2"/>
      <c r="D559" s="4"/>
      <c r="E559" s="2"/>
      <c r="F559" s="2"/>
      <c r="G559" s="3" t="str">
        <f t="shared" si="48"/>
        <v/>
      </c>
      <c r="H559" s="3"/>
      <c r="I559" s="3"/>
      <c r="J559" s="2"/>
      <c r="K559" s="2"/>
      <c r="L559" s="2"/>
      <c r="M559" s="4"/>
      <c r="N559" s="2"/>
      <c r="O559" s="5" t="str">
        <f t="shared" ca="1" si="49"/>
        <v/>
      </c>
      <c r="P559" s="6"/>
      <c r="V559" t="str">
        <f t="shared" si="50"/>
        <v/>
      </c>
      <c r="W559" t="str">
        <f t="shared" si="51"/>
        <v/>
      </c>
      <c r="X559" t="str">
        <f t="shared" si="52"/>
        <v/>
      </c>
      <c r="Y559" t="str">
        <f t="shared" si="53"/>
        <v/>
      </c>
    </row>
    <row r="560" spans="1:25" ht="14.5" x14ac:dyDescent="0.35">
      <c r="A560" s="3"/>
      <c r="B560" s="2"/>
      <c r="C560" s="2"/>
      <c r="D560" s="4"/>
      <c r="E560" s="2"/>
      <c r="F560" s="2"/>
      <c r="G560" s="3" t="str">
        <f t="shared" si="48"/>
        <v/>
      </c>
      <c r="H560" s="3"/>
      <c r="I560" s="3"/>
      <c r="J560" s="2"/>
      <c r="K560" s="2"/>
      <c r="L560" s="2"/>
      <c r="M560" s="4"/>
      <c r="N560" s="2"/>
      <c r="O560" s="5" t="str">
        <f t="shared" ca="1" si="49"/>
        <v/>
      </c>
      <c r="P560" s="6"/>
      <c r="V560" t="str">
        <f t="shared" si="50"/>
        <v/>
      </c>
      <c r="W560" t="str">
        <f t="shared" si="51"/>
        <v/>
      </c>
      <c r="X560" t="str">
        <f t="shared" si="52"/>
        <v/>
      </c>
      <c r="Y560" t="str">
        <f t="shared" si="53"/>
        <v/>
      </c>
    </row>
    <row r="561" spans="1:25" ht="14.5" x14ac:dyDescent="0.35">
      <c r="A561" s="3"/>
      <c r="B561" s="2"/>
      <c r="C561" s="2"/>
      <c r="D561" s="4"/>
      <c r="E561" s="2"/>
      <c r="F561" s="2"/>
      <c r="G561" s="3" t="str">
        <f t="shared" si="48"/>
        <v/>
      </c>
      <c r="H561" s="3"/>
      <c r="I561" s="3"/>
      <c r="J561" s="2"/>
      <c r="K561" s="2"/>
      <c r="L561" s="2"/>
      <c r="M561" s="4"/>
      <c r="N561" s="2"/>
      <c r="O561" s="5" t="str">
        <f t="shared" ca="1" si="49"/>
        <v/>
      </c>
      <c r="P561" s="6"/>
      <c r="V561" t="str">
        <f t="shared" si="50"/>
        <v/>
      </c>
      <c r="W561" t="str">
        <f t="shared" si="51"/>
        <v/>
      </c>
      <c r="X561" t="str">
        <f t="shared" si="52"/>
        <v/>
      </c>
      <c r="Y561" t="str">
        <f t="shared" si="53"/>
        <v/>
      </c>
    </row>
    <row r="562" spans="1:25" ht="14.5" x14ac:dyDescent="0.35">
      <c r="A562" s="3"/>
      <c r="B562" s="2"/>
      <c r="C562" s="2"/>
      <c r="D562" s="4"/>
      <c r="E562" s="2"/>
      <c r="F562" s="2"/>
      <c r="G562" s="3" t="str">
        <f t="shared" si="48"/>
        <v/>
      </c>
      <c r="H562" s="3"/>
      <c r="I562" s="3"/>
      <c r="J562" s="2"/>
      <c r="K562" s="2"/>
      <c r="L562" s="2"/>
      <c r="M562" s="4"/>
      <c r="N562" s="2"/>
      <c r="O562" s="5" t="str">
        <f t="shared" ca="1" si="49"/>
        <v/>
      </c>
      <c r="P562" s="6"/>
      <c r="V562" t="str">
        <f t="shared" si="50"/>
        <v/>
      </c>
      <c r="W562" t="str">
        <f t="shared" si="51"/>
        <v/>
      </c>
      <c r="X562" t="str">
        <f t="shared" si="52"/>
        <v/>
      </c>
      <c r="Y562" t="str">
        <f t="shared" si="53"/>
        <v/>
      </c>
    </row>
    <row r="563" spans="1:25" ht="14.5" x14ac:dyDescent="0.35">
      <c r="A563" s="3"/>
      <c r="B563" s="2"/>
      <c r="C563" s="2"/>
      <c r="D563" s="4"/>
      <c r="E563" s="2"/>
      <c r="F563" s="2"/>
      <c r="G563" s="3" t="str">
        <f t="shared" si="48"/>
        <v/>
      </c>
      <c r="H563" s="3"/>
      <c r="I563" s="3"/>
      <c r="J563" s="2"/>
      <c r="K563" s="2"/>
      <c r="L563" s="2"/>
      <c r="M563" s="4"/>
      <c r="N563" s="2"/>
      <c r="O563" s="5" t="str">
        <f t="shared" ca="1" si="49"/>
        <v/>
      </c>
      <c r="P563" s="6"/>
      <c r="V563" t="str">
        <f t="shared" si="50"/>
        <v/>
      </c>
      <c r="W563" t="str">
        <f t="shared" si="51"/>
        <v/>
      </c>
      <c r="X563" t="str">
        <f t="shared" si="52"/>
        <v/>
      </c>
      <c r="Y563" t="str">
        <f t="shared" si="53"/>
        <v/>
      </c>
    </row>
    <row r="564" spans="1:25" ht="14.5" x14ac:dyDescent="0.35">
      <c r="A564" s="3"/>
      <c r="B564" s="2"/>
      <c r="C564" s="2"/>
      <c r="D564" s="4"/>
      <c r="E564" s="2"/>
      <c r="F564" s="2"/>
      <c r="G564" s="3" t="str">
        <f t="shared" si="48"/>
        <v/>
      </c>
      <c r="H564" s="3"/>
      <c r="I564" s="3"/>
      <c r="J564" s="2"/>
      <c r="K564" s="2"/>
      <c r="L564" s="2"/>
      <c r="M564" s="4"/>
      <c r="N564" s="2"/>
      <c r="O564" s="5" t="str">
        <f t="shared" ca="1" si="49"/>
        <v/>
      </c>
      <c r="P564" s="6"/>
      <c r="V564" t="str">
        <f t="shared" si="50"/>
        <v/>
      </c>
      <c r="W564" t="str">
        <f t="shared" si="51"/>
        <v/>
      </c>
      <c r="X564" t="str">
        <f t="shared" si="52"/>
        <v/>
      </c>
      <c r="Y564" t="str">
        <f t="shared" si="53"/>
        <v/>
      </c>
    </row>
    <row r="565" spans="1:25" ht="14.5" x14ac:dyDescent="0.35">
      <c r="A565" s="3"/>
      <c r="B565" s="2"/>
      <c r="C565" s="2"/>
      <c r="D565" s="4"/>
      <c r="E565" s="2"/>
      <c r="F565" s="2"/>
      <c r="G565" s="3" t="str">
        <f t="shared" si="48"/>
        <v/>
      </c>
      <c r="H565" s="3"/>
      <c r="I565" s="3"/>
      <c r="J565" s="2"/>
      <c r="K565" s="2"/>
      <c r="L565" s="2"/>
      <c r="M565" s="4"/>
      <c r="N565" s="2"/>
      <c r="O565" s="5" t="str">
        <f t="shared" ca="1" si="49"/>
        <v/>
      </c>
      <c r="P565" s="6"/>
      <c r="V565" t="str">
        <f t="shared" si="50"/>
        <v/>
      </c>
      <c r="W565" t="str">
        <f t="shared" si="51"/>
        <v/>
      </c>
      <c r="X565" t="str">
        <f t="shared" si="52"/>
        <v/>
      </c>
      <c r="Y565" t="str">
        <f t="shared" si="53"/>
        <v/>
      </c>
    </row>
    <row r="566" spans="1:25" ht="14.5" x14ac:dyDescent="0.35">
      <c r="A566" s="3"/>
      <c r="B566" s="2"/>
      <c r="C566" s="2"/>
      <c r="D566" s="4"/>
      <c r="E566" s="2"/>
      <c r="F566" s="2"/>
      <c r="G566" s="3" t="str">
        <f t="shared" si="48"/>
        <v/>
      </c>
      <c r="H566" s="3"/>
      <c r="I566" s="3"/>
      <c r="J566" s="2"/>
      <c r="K566" s="2"/>
      <c r="L566" s="2"/>
      <c r="M566" s="4"/>
      <c r="N566" s="2"/>
      <c r="O566" s="5" t="str">
        <f t="shared" ca="1" si="49"/>
        <v/>
      </c>
      <c r="P566" s="6"/>
      <c r="V566" t="str">
        <f t="shared" si="50"/>
        <v/>
      </c>
      <c r="W566" t="str">
        <f t="shared" si="51"/>
        <v/>
      </c>
      <c r="X566" t="str">
        <f t="shared" si="52"/>
        <v/>
      </c>
      <c r="Y566" t="str">
        <f t="shared" si="53"/>
        <v/>
      </c>
    </row>
    <row r="567" spans="1:25" ht="14.5" x14ac:dyDescent="0.35">
      <c r="A567" s="3"/>
      <c r="B567" s="2"/>
      <c r="C567" s="2"/>
      <c r="D567" s="4"/>
      <c r="E567" s="2"/>
      <c r="F567" s="2"/>
      <c r="G567" s="3" t="str">
        <f t="shared" si="48"/>
        <v/>
      </c>
      <c r="H567" s="3"/>
      <c r="I567" s="3"/>
      <c r="J567" s="2"/>
      <c r="K567" s="2"/>
      <c r="L567" s="2"/>
      <c r="M567" s="4"/>
      <c r="N567" s="2"/>
      <c r="O567" s="5" t="str">
        <f t="shared" ca="1" si="49"/>
        <v/>
      </c>
      <c r="P567" s="6"/>
      <c r="V567" t="str">
        <f t="shared" si="50"/>
        <v/>
      </c>
      <c r="W567" t="str">
        <f t="shared" si="51"/>
        <v/>
      </c>
      <c r="X567" t="str">
        <f t="shared" si="52"/>
        <v/>
      </c>
      <c r="Y567" t="str">
        <f t="shared" si="53"/>
        <v/>
      </c>
    </row>
    <row r="568" spans="1:25" ht="14.5" x14ac:dyDescent="0.35">
      <c r="A568" s="3"/>
      <c r="B568" s="2"/>
      <c r="C568" s="2"/>
      <c r="D568" s="4"/>
      <c r="E568" s="2"/>
      <c r="F568" s="2"/>
      <c r="G568" s="3" t="str">
        <f t="shared" si="48"/>
        <v/>
      </c>
      <c r="H568" s="3"/>
      <c r="I568" s="3"/>
      <c r="J568" s="2"/>
      <c r="K568" s="2"/>
      <c r="L568" s="2"/>
      <c r="M568" s="4"/>
      <c r="N568" s="2"/>
      <c r="O568" s="5" t="str">
        <f t="shared" ca="1" si="49"/>
        <v/>
      </c>
      <c r="P568" s="6"/>
      <c r="V568" t="str">
        <f t="shared" si="50"/>
        <v/>
      </c>
      <c r="W568" t="str">
        <f t="shared" si="51"/>
        <v/>
      </c>
      <c r="X568" t="str">
        <f t="shared" si="52"/>
        <v/>
      </c>
      <c r="Y568" t="str">
        <f t="shared" si="53"/>
        <v/>
      </c>
    </row>
    <row r="569" spans="1:25" ht="14.5" x14ac:dyDescent="0.35">
      <c r="A569" s="3"/>
      <c r="B569" s="2"/>
      <c r="C569" s="2"/>
      <c r="D569" s="4"/>
      <c r="E569" s="2"/>
      <c r="F569" s="2"/>
      <c r="G569" s="3" t="str">
        <f t="shared" si="48"/>
        <v/>
      </c>
      <c r="H569" s="3"/>
      <c r="I569" s="3"/>
      <c r="J569" s="2"/>
      <c r="K569" s="2"/>
      <c r="L569" s="2"/>
      <c r="M569" s="4"/>
      <c r="N569" s="2"/>
      <c r="O569" s="5" t="str">
        <f t="shared" ca="1" si="49"/>
        <v/>
      </c>
      <c r="P569" s="6"/>
      <c r="V569" t="str">
        <f t="shared" si="50"/>
        <v/>
      </c>
      <c r="W569" t="str">
        <f t="shared" si="51"/>
        <v/>
      </c>
      <c r="X569" t="str">
        <f t="shared" si="52"/>
        <v/>
      </c>
      <c r="Y569" t="str">
        <f t="shared" si="53"/>
        <v/>
      </c>
    </row>
    <row r="570" spans="1:25" ht="14.5" x14ac:dyDescent="0.35">
      <c r="A570" s="3"/>
      <c r="B570" s="2"/>
      <c r="C570" s="2"/>
      <c r="D570" s="4"/>
      <c r="E570" s="2"/>
      <c r="F570" s="2"/>
      <c r="G570" s="3" t="str">
        <f t="shared" si="48"/>
        <v/>
      </c>
      <c r="H570" s="3"/>
      <c r="I570" s="3"/>
      <c r="J570" s="2"/>
      <c r="K570" s="2"/>
      <c r="L570" s="2"/>
      <c r="M570" s="4"/>
      <c r="N570" s="2"/>
      <c r="O570" s="5" t="str">
        <f t="shared" ca="1" si="49"/>
        <v/>
      </c>
      <c r="P570" s="6"/>
      <c r="V570" t="str">
        <f t="shared" si="50"/>
        <v/>
      </c>
      <c r="W570" t="str">
        <f t="shared" si="51"/>
        <v/>
      </c>
      <c r="X570" t="str">
        <f t="shared" si="52"/>
        <v/>
      </c>
      <c r="Y570" t="str">
        <f t="shared" si="53"/>
        <v/>
      </c>
    </row>
    <row r="571" spans="1:25" ht="14.5" x14ac:dyDescent="0.35">
      <c r="A571" s="3"/>
      <c r="B571" s="2"/>
      <c r="C571" s="2"/>
      <c r="D571" s="4"/>
      <c r="E571" s="2"/>
      <c r="F571" s="2"/>
      <c r="G571" s="3" t="str">
        <f t="shared" si="48"/>
        <v/>
      </c>
      <c r="H571" s="3"/>
      <c r="I571" s="3"/>
      <c r="J571" s="2"/>
      <c r="K571" s="2"/>
      <c r="L571" s="2"/>
      <c r="M571" s="4"/>
      <c r="N571" s="2"/>
      <c r="O571" s="5" t="str">
        <f t="shared" ca="1" si="49"/>
        <v/>
      </c>
      <c r="P571" s="6"/>
      <c r="V571" t="str">
        <f t="shared" si="50"/>
        <v/>
      </c>
      <c r="W571" t="str">
        <f t="shared" si="51"/>
        <v/>
      </c>
      <c r="X571" t="str">
        <f t="shared" si="52"/>
        <v/>
      </c>
      <c r="Y571" t="str">
        <f t="shared" si="53"/>
        <v/>
      </c>
    </row>
    <row r="572" spans="1:25" ht="14.5" x14ac:dyDescent="0.35">
      <c r="A572" s="3"/>
      <c r="B572" s="2"/>
      <c r="C572" s="2"/>
      <c r="D572" s="4"/>
      <c r="E572" s="2"/>
      <c r="F572" s="2"/>
      <c r="G572" s="3" t="str">
        <f t="shared" si="48"/>
        <v/>
      </c>
      <c r="H572" s="3"/>
      <c r="I572" s="3"/>
      <c r="J572" s="2"/>
      <c r="K572" s="2"/>
      <c r="L572" s="2"/>
      <c r="M572" s="4"/>
      <c r="N572" s="2"/>
      <c r="O572" s="5" t="str">
        <f t="shared" ca="1" si="49"/>
        <v/>
      </c>
      <c r="P572" s="6"/>
      <c r="V572" t="str">
        <f t="shared" si="50"/>
        <v/>
      </c>
      <c r="W572" t="str">
        <f t="shared" si="51"/>
        <v/>
      </c>
      <c r="X572" t="str">
        <f t="shared" si="52"/>
        <v/>
      </c>
      <c r="Y572" t="str">
        <f t="shared" si="53"/>
        <v/>
      </c>
    </row>
    <row r="573" spans="1:25" ht="14.5" x14ac:dyDescent="0.35">
      <c r="A573" s="3"/>
      <c r="B573" s="2"/>
      <c r="C573" s="2"/>
      <c r="D573" s="4"/>
      <c r="E573" s="2"/>
      <c r="F573" s="2"/>
      <c r="G573" s="3" t="str">
        <f t="shared" si="48"/>
        <v/>
      </c>
      <c r="H573" s="3"/>
      <c r="I573" s="3"/>
      <c r="J573" s="2"/>
      <c r="K573" s="2"/>
      <c r="L573" s="2"/>
      <c r="M573" s="4"/>
      <c r="N573" s="2"/>
      <c r="O573" s="5" t="str">
        <f t="shared" ca="1" si="49"/>
        <v/>
      </c>
      <c r="P573" s="6"/>
      <c r="V573" t="str">
        <f t="shared" si="50"/>
        <v/>
      </c>
      <c r="W573" t="str">
        <f t="shared" si="51"/>
        <v/>
      </c>
      <c r="X573" t="str">
        <f t="shared" si="52"/>
        <v/>
      </c>
      <c r="Y573" t="str">
        <f t="shared" si="53"/>
        <v/>
      </c>
    </row>
    <row r="574" spans="1:25" ht="14.5" x14ac:dyDescent="0.35">
      <c r="A574" s="3"/>
      <c r="B574" s="2"/>
      <c r="C574" s="2"/>
      <c r="D574" s="4"/>
      <c r="E574" s="2"/>
      <c r="F574" s="2"/>
      <c r="G574" s="3" t="str">
        <f t="shared" si="48"/>
        <v/>
      </c>
      <c r="H574" s="3"/>
      <c r="I574" s="3"/>
      <c r="J574" s="2"/>
      <c r="K574" s="2"/>
      <c r="L574" s="2"/>
      <c r="M574" s="4"/>
      <c r="N574" s="2"/>
      <c r="O574" s="5" t="str">
        <f t="shared" ca="1" si="49"/>
        <v/>
      </c>
      <c r="P574" s="6"/>
      <c r="V574" t="str">
        <f t="shared" si="50"/>
        <v/>
      </c>
      <c r="W574" t="str">
        <f t="shared" si="51"/>
        <v/>
      </c>
      <c r="X574" t="str">
        <f t="shared" si="52"/>
        <v/>
      </c>
      <c r="Y574" t="str">
        <f t="shared" si="53"/>
        <v/>
      </c>
    </row>
    <row r="575" spans="1:25" ht="14.5" x14ac:dyDescent="0.35">
      <c r="A575" s="3"/>
      <c r="B575" s="2"/>
      <c r="C575" s="2"/>
      <c r="D575" s="4"/>
      <c r="E575" s="2"/>
      <c r="F575" s="2"/>
      <c r="G575" s="3" t="str">
        <f t="shared" si="48"/>
        <v/>
      </c>
      <c r="H575" s="3"/>
      <c r="I575" s="3"/>
      <c r="J575" s="2"/>
      <c r="K575" s="2"/>
      <c r="L575" s="2"/>
      <c r="M575" s="4"/>
      <c r="N575" s="2"/>
      <c r="O575" s="5" t="str">
        <f t="shared" ca="1" si="49"/>
        <v/>
      </c>
      <c r="P575" s="6"/>
      <c r="V575" t="str">
        <f t="shared" si="50"/>
        <v/>
      </c>
      <c r="W575" t="str">
        <f t="shared" si="51"/>
        <v/>
      </c>
      <c r="X575" t="str">
        <f t="shared" si="52"/>
        <v/>
      </c>
      <c r="Y575" t="str">
        <f t="shared" si="53"/>
        <v/>
      </c>
    </row>
    <row r="576" spans="1:25" ht="14.5" x14ac:dyDescent="0.35">
      <c r="A576" s="3"/>
      <c r="B576" s="2"/>
      <c r="C576" s="2"/>
      <c r="D576" s="4"/>
      <c r="E576" s="2"/>
      <c r="F576" s="2"/>
      <c r="G576" s="3" t="str">
        <f t="shared" si="48"/>
        <v/>
      </c>
      <c r="H576" s="3"/>
      <c r="I576" s="3"/>
      <c r="J576" s="2"/>
      <c r="K576" s="2"/>
      <c r="L576" s="2"/>
      <c r="M576" s="4"/>
      <c r="N576" s="2"/>
      <c r="O576" s="5" t="str">
        <f t="shared" ca="1" si="49"/>
        <v/>
      </c>
      <c r="P576" s="6"/>
      <c r="V576" t="str">
        <f t="shared" si="50"/>
        <v/>
      </c>
      <c r="W576" t="str">
        <f t="shared" si="51"/>
        <v/>
      </c>
      <c r="X576" t="str">
        <f t="shared" si="52"/>
        <v/>
      </c>
      <c r="Y576" t="str">
        <f t="shared" si="53"/>
        <v/>
      </c>
    </row>
    <row r="577" spans="1:25" ht="14.5" x14ac:dyDescent="0.35">
      <c r="A577" s="3"/>
      <c r="B577" s="2"/>
      <c r="C577" s="2"/>
      <c r="D577" s="4"/>
      <c r="E577" s="2"/>
      <c r="F577" s="2"/>
      <c r="G577" s="3" t="str">
        <f t="shared" si="48"/>
        <v/>
      </c>
      <c r="H577" s="3"/>
      <c r="I577" s="3"/>
      <c r="J577" s="2"/>
      <c r="K577" s="2"/>
      <c r="L577" s="2"/>
      <c r="M577" s="4"/>
      <c r="N577" s="2"/>
      <c r="O577" s="5" t="str">
        <f t="shared" ca="1" si="49"/>
        <v/>
      </c>
      <c r="P577" s="6"/>
      <c r="V577" t="str">
        <f t="shared" si="50"/>
        <v/>
      </c>
      <c r="W577" t="str">
        <f t="shared" si="51"/>
        <v/>
      </c>
      <c r="X577" t="str">
        <f t="shared" si="52"/>
        <v/>
      </c>
      <c r="Y577" t="str">
        <f t="shared" si="53"/>
        <v/>
      </c>
    </row>
    <row r="578" spans="1:25" ht="14.5" x14ac:dyDescent="0.35">
      <c r="A578" s="3"/>
      <c r="B578" s="2"/>
      <c r="C578" s="2"/>
      <c r="D578" s="4"/>
      <c r="E578" s="2"/>
      <c r="F578" s="2"/>
      <c r="G578" s="3" t="str">
        <f t="shared" ref="G578:G641" si="54">IF(COUNTIF($A$2:$A$1500,A578&amp;".*")=0,"",COUNTIF($A$2:$A$1500,A578&amp;".*"))</f>
        <v/>
      </c>
      <c r="H578" s="3"/>
      <c r="I578" s="3"/>
      <c r="J578" s="2"/>
      <c r="K578" s="2"/>
      <c r="L578" s="2"/>
      <c r="M578" s="4"/>
      <c r="N578" s="2"/>
      <c r="O578" s="5" t="str">
        <f t="shared" ref="O578:O641" ca="1" si="55">IF(M578="","",INT(M578)-TODAY())</f>
        <v/>
      </c>
      <c r="P578" s="6"/>
      <c r="V578" t="str">
        <f t="shared" ref="V578:V641" si="56">IF(M578="","",M578+Q578/1000000)</f>
        <v/>
      </c>
      <c r="W578" t="str">
        <f t="shared" ref="W578:W641" si="57">IF(U578="","",IF(M578="",9999999+Q578/1000000,M578+Q578/1000000))</f>
        <v/>
      </c>
      <c r="X578" t="str">
        <f t="shared" ref="X578:X641" si="58">IF(U578="","",SUMPRODUCT(($U$2:$U$1500=U578)*($W$2:$W$1500&lt;=W578)))</f>
        <v/>
      </c>
      <c r="Y578" t="str">
        <f t="shared" ref="Y578:Y641" si="59">IF(U578="","",U578&amp;"|"&amp;X578)</f>
        <v/>
      </c>
    </row>
    <row r="579" spans="1:25" ht="14.5" x14ac:dyDescent="0.35">
      <c r="A579" s="3"/>
      <c r="B579" s="2"/>
      <c r="C579" s="2"/>
      <c r="D579" s="4"/>
      <c r="E579" s="2"/>
      <c r="F579" s="2"/>
      <c r="G579" s="3" t="str">
        <f t="shared" si="54"/>
        <v/>
      </c>
      <c r="H579" s="3"/>
      <c r="I579" s="3"/>
      <c r="J579" s="2"/>
      <c r="K579" s="2"/>
      <c r="L579" s="2"/>
      <c r="M579" s="4"/>
      <c r="N579" s="2"/>
      <c r="O579" s="5" t="str">
        <f t="shared" ca="1" si="55"/>
        <v/>
      </c>
      <c r="P579" s="6"/>
      <c r="V579" t="str">
        <f t="shared" si="56"/>
        <v/>
      </c>
      <c r="W579" t="str">
        <f t="shared" si="57"/>
        <v/>
      </c>
      <c r="X579" t="str">
        <f t="shared" si="58"/>
        <v/>
      </c>
      <c r="Y579" t="str">
        <f t="shared" si="59"/>
        <v/>
      </c>
    </row>
    <row r="580" spans="1:25" ht="14.5" x14ac:dyDescent="0.35">
      <c r="A580" s="3"/>
      <c r="B580" s="2"/>
      <c r="C580" s="2"/>
      <c r="D580" s="4"/>
      <c r="E580" s="2"/>
      <c r="F580" s="2"/>
      <c r="G580" s="3" t="str">
        <f t="shared" si="54"/>
        <v/>
      </c>
      <c r="H580" s="3"/>
      <c r="I580" s="3"/>
      <c r="J580" s="2"/>
      <c r="K580" s="2"/>
      <c r="L580" s="2"/>
      <c r="M580" s="4"/>
      <c r="N580" s="2"/>
      <c r="O580" s="5" t="str">
        <f t="shared" ca="1" si="55"/>
        <v/>
      </c>
      <c r="P580" s="6"/>
      <c r="V580" t="str">
        <f t="shared" si="56"/>
        <v/>
      </c>
      <c r="W580" t="str">
        <f t="shared" si="57"/>
        <v/>
      </c>
      <c r="X580" t="str">
        <f t="shared" si="58"/>
        <v/>
      </c>
      <c r="Y580" t="str">
        <f t="shared" si="59"/>
        <v/>
      </c>
    </row>
    <row r="581" spans="1:25" ht="14.5" x14ac:dyDescent="0.35">
      <c r="A581" s="3"/>
      <c r="B581" s="2"/>
      <c r="C581" s="2"/>
      <c r="D581" s="4"/>
      <c r="E581" s="2"/>
      <c r="F581" s="2"/>
      <c r="G581" s="3" t="str">
        <f t="shared" si="54"/>
        <v/>
      </c>
      <c r="H581" s="3"/>
      <c r="I581" s="3"/>
      <c r="J581" s="2"/>
      <c r="K581" s="2"/>
      <c r="L581" s="2"/>
      <c r="M581" s="4"/>
      <c r="N581" s="2"/>
      <c r="O581" s="5" t="str">
        <f t="shared" ca="1" si="55"/>
        <v/>
      </c>
      <c r="P581" s="6"/>
      <c r="V581" t="str">
        <f t="shared" si="56"/>
        <v/>
      </c>
      <c r="W581" t="str">
        <f t="shared" si="57"/>
        <v/>
      </c>
      <c r="X581" t="str">
        <f t="shared" si="58"/>
        <v/>
      </c>
      <c r="Y581" t="str">
        <f t="shared" si="59"/>
        <v/>
      </c>
    </row>
    <row r="582" spans="1:25" ht="14.5" x14ac:dyDescent="0.35">
      <c r="A582" s="3"/>
      <c r="B582" s="2"/>
      <c r="C582" s="2"/>
      <c r="D582" s="4"/>
      <c r="E582" s="2"/>
      <c r="F582" s="2"/>
      <c r="G582" s="3" t="str">
        <f t="shared" si="54"/>
        <v/>
      </c>
      <c r="H582" s="3"/>
      <c r="I582" s="3"/>
      <c r="J582" s="2"/>
      <c r="K582" s="2"/>
      <c r="L582" s="2"/>
      <c r="M582" s="4"/>
      <c r="N582" s="2"/>
      <c r="O582" s="5" t="str">
        <f t="shared" ca="1" si="55"/>
        <v/>
      </c>
      <c r="P582" s="6"/>
      <c r="V582" t="str">
        <f t="shared" si="56"/>
        <v/>
      </c>
      <c r="W582" t="str">
        <f t="shared" si="57"/>
        <v/>
      </c>
      <c r="X582" t="str">
        <f t="shared" si="58"/>
        <v/>
      </c>
      <c r="Y582" t="str">
        <f t="shared" si="59"/>
        <v/>
      </c>
    </row>
    <row r="583" spans="1:25" ht="14.5" x14ac:dyDescent="0.35">
      <c r="A583" s="3"/>
      <c r="B583" s="2"/>
      <c r="C583" s="2"/>
      <c r="D583" s="4"/>
      <c r="E583" s="2"/>
      <c r="F583" s="2"/>
      <c r="G583" s="3" t="str">
        <f t="shared" si="54"/>
        <v/>
      </c>
      <c r="H583" s="3"/>
      <c r="I583" s="3"/>
      <c r="J583" s="2"/>
      <c r="K583" s="2"/>
      <c r="L583" s="2"/>
      <c r="M583" s="4"/>
      <c r="N583" s="2"/>
      <c r="O583" s="5" t="str">
        <f t="shared" ca="1" si="55"/>
        <v/>
      </c>
      <c r="P583" s="6"/>
      <c r="V583" t="str">
        <f t="shared" si="56"/>
        <v/>
      </c>
      <c r="W583" t="str">
        <f t="shared" si="57"/>
        <v/>
      </c>
      <c r="X583" t="str">
        <f t="shared" si="58"/>
        <v/>
      </c>
      <c r="Y583" t="str">
        <f t="shared" si="59"/>
        <v/>
      </c>
    </row>
    <row r="584" spans="1:25" ht="14.5" x14ac:dyDescent="0.35">
      <c r="A584" s="3"/>
      <c r="B584" s="2"/>
      <c r="C584" s="2"/>
      <c r="D584" s="4"/>
      <c r="E584" s="2"/>
      <c r="F584" s="2"/>
      <c r="G584" s="3" t="str">
        <f t="shared" si="54"/>
        <v/>
      </c>
      <c r="H584" s="3"/>
      <c r="I584" s="3"/>
      <c r="J584" s="2"/>
      <c r="K584" s="2"/>
      <c r="L584" s="2"/>
      <c r="M584" s="4"/>
      <c r="N584" s="2"/>
      <c r="O584" s="5" t="str">
        <f t="shared" ca="1" si="55"/>
        <v/>
      </c>
      <c r="P584" s="6"/>
      <c r="V584" t="str">
        <f t="shared" si="56"/>
        <v/>
      </c>
      <c r="W584" t="str">
        <f t="shared" si="57"/>
        <v/>
      </c>
      <c r="X584" t="str">
        <f t="shared" si="58"/>
        <v/>
      </c>
      <c r="Y584" t="str">
        <f t="shared" si="59"/>
        <v/>
      </c>
    </row>
    <row r="585" spans="1:25" ht="14.5" x14ac:dyDescent="0.35">
      <c r="A585" s="3"/>
      <c r="B585" s="2"/>
      <c r="C585" s="2"/>
      <c r="D585" s="4"/>
      <c r="E585" s="2"/>
      <c r="F585" s="2"/>
      <c r="G585" s="3" t="str">
        <f t="shared" si="54"/>
        <v/>
      </c>
      <c r="H585" s="3"/>
      <c r="I585" s="3"/>
      <c r="J585" s="2"/>
      <c r="K585" s="2"/>
      <c r="L585" s="2"/>
      <c r="M585" s="4"/>
      <c r="N585" s="2"/>
      <c r="O585" s="5" t="str">
        <f t="shared" ca="1" si="55"/>
        <v/>
      </c>
      <c r="P585" s="6"/>
      <c r="V585" t="str">
        <f t="shared" si="56"/>
        <v/>
      </c>
      <c r="W585" t="str">
        <f t="shared" si="57"/>
        <v/>
      </c>
      <c r="X585" t="str">
        <f t="shared" si="58"/>
        <v/>
      </c>
      <c r="Y585" t="str">
        <f t="shared" si="59"/>
        <v/>
      </c>
    </row>
    <row r="586" spans="1:25" ht="14.5" x14ac:dyDescent="0.35">
      <c r="A586" s="3"/>
      <c r="B586" s="2"/>
      <c r="C586" s="2"/>
      <c r="D586" s="4"/>
      <c r="E586" s="2"/>
      <c r="F586" s="2"/>
      <c r="G586" s="3" t="str">
        <f t="shared" si="54"/>
        <v/>
      </c>
      <c r="H586" s="3"/>
      <c r="I586" s="3"/>
      <c r="J586" s="2"/>
      <c r="K586" s="2"/>
      <c r="L586" s="2"/>
      <c r="M586" s="4"/>
      <c r="N586" s="2"/>
      <c r="O586" s="5" t="str">
        <f t="shared" ca="1" si="55"/>
        <v/>
      </c>
      <c r="P586" s="6"/>
      <c r="V586" t="str">
        <f t="shared" si="56"/>
        <v/>
      </c>
      <c r="W586" t="str">
        <f t="shared" si="57"/>
        <v/>
      </c>
      <c r="X586" t="str">
        <f t="shared" si="58"/>
        <v/>
      </c>
      <c r="Y586" t="str">
        <f t="shared" si="59"/>
        <v/>
      </c>
    </row>
    <row r="587" spans="1:25" ht="14.5" x14ac:dyDescent="0.35">
      <c r="A587" s="3"/>
      <c r="B587" s="2"/>
      <c r="C587" s="2"/>
      <c r="D587" s="4"/>
      <c r="E587" s="2"/>
      <c r="F587" s="2"/>
      <c r="G587" s="3" t="str">
        <f t="shared" si="54"/>
        <v/>
      </c>
      <c r="H587" s="3"/>
      <c r="I587" s="3"/>
      <c r="J587" s="2"/>
      <c r="K587" s="2"/>
      <c r="L587" s="2"/>
      <c r="M587" s="4"/>
      <c r="N587" s="2"/>
      <c r="O587" s="5" t="str">
        <f t="shared" ca="1" si="55"/>
        <v/>
      </c>
      <c r="P587" s="6"/>
      <c r="V587" t="str">
        <f t="shared" si="56"/>
        <v/>
      </c>
      <c r="W587" t="str">
        <f t="shared" si="57"/>
        <v/>
      </c>
      <c r="X587" t="str">
        <f t="shared" si="58"/>
        <v/>
      </c>
      <c r="Y587" t="str">
        <f t="shared" si="59"/>
        <v/>
      </c>
    </row>
    <row r="588" spans="1:25" ht="14.5" x14ac:dyDescent="0.35">
      <c r="A588" s="3"/>
      <c r="B588" s="2"/>
      <c r="C588" s="2"/>
      <c r="D588" s="4"/>
      <c r="E588" s="2"/>
      <c r="F588" s="2"/>
      <c r="G588" s="3" t="str">
        <f t="shared" si="54"/>
        <v/>
      </c>
      <c r="H588" s="3"/>
      <c r="I588" s="3"/>
      <c r="J588" s="2"/>
      <c r="K588" s="2"/>
      <c r="L588" s="2"/>
      <c r="M588" s="4"/>
      <c r="N588" s="2"/>
      <c r="O588" s="5" t="str">
        <f t="shared" ca="1" si="55"/>
        <v/>
      </c>
      <c r="P588" s="6"/>
      <c r="V588" t="str">
        <f t="shared" si="56"/>
        <v/>
      </c>
      <c r="W588" t="str">
        <f t="shared" si="57"/>
        <v/>
      </c>
      <c r="X588" t="str">
        <f t="shared" si="58"/>
        <v/>
      </c>
      <c r="Y588" t="str">
        <f t="shared" si="59"/>
        <v/>
      </c>
    </row>
    <row r="589" spans="1:25" ht="14.5" x14ac:dyDescent="0.35">
      <c r="A589" s="3"/>
      <c r="B589" s="2"/>
      <c r="C589" s="2"/>
      <c r="D589" s="4"/>
      <c r="E589" s="2"/>
      <c r="F589" s="2"/>
      <c r="G589" s="3" t="str">
        <f t="shared" si="54"/>
        <v/>
      </c>
      <c r="H589" s="3"/>
      <c r="I589" s="3"/>
      <c r="J589" s="2"/>
      <c r="K589" s="2"/>
      <c r="L589" s="2"/>
      <c r="M589" s="4"/>
      <c r="N589" s="2"/>
      <c r="O589" s="5" t="str">
        <f t="shared" ca="1" si="55"/>
        <v/>
      </c>
      <c r="P589" s="6"/>
      <c r="V589" t="str">
        <f t="shared" si="56"/>
        <v/>
      </c>
      <c r="W589" t="str">
        <f t="shared" si="57"/>
        <v/>
      </c>
      <c r="X589" t="str">
        <f t="shared" si="58"/>
        <v/>
      </c>
      <c r="Y589" t="str">
        <f t="shared" si="59"/>
        <v/>
      </c>
    </row>
    <row r="590" spans="1:25" ht="14.5" x14ac:dyDescent="0.35">
      <c r="A590" s="3"/>
      <c r="B590" s="2"/>
      <c r="C590" s="2"/>
      <c r="D590" s="4"/>
      <c r="E590" s="2"/>
      <c r="F590" s="2"/>
      <c r="G590" s="3" t="str">
        <f t="shared" si="54"/>
        <v/>
      </c>
      <c r="H590" s="3"/>
      <c r="I590" s="3"/>
      <c r="J590" s="2"/>
      <c r="K590" s="2"/>
      <c r="L590" s="2"/>
      <c r="M590" s="4"/>
      <c r="N590" s="2"/>
      <c r="O590" s="5" t="str">
        <f t="shared" ca="1" si="55"/>
        <v/>
      </c>
      <c r="P590" s="6"/>
      <c r="V590" t="str">
        <f t="shared" si="56"/>
        <v/>
      </c>
      <c r="W590" t="str">
        <f t="shared" si="57"/>
        <v/>
      </c>
      <c r="X590" t="str">
        <f t="shared" si="58"/>
        <v/>
      </c>
      <c r="Y590" t="str">
        <f t="shared" si="59"/>
        <v/>
      </c>
    </row>
    <row r="591" spans="1:25" ht="14.5" x14ac:dyDescent="0.35">
      <c r="A591" s="3"/>
      <c r="B591" s="2"/>
      <c r="C591" s="2"/>
      <c r="D591" s="4"/>
      <c r="E591" s="2"/>
      <c r="F591" s="2"/>
      <c r="G591" s="3" t="str">
        <f t="shared" si="54"/>
        <v/>
      </c>
      <c r="H591" s="3"/>
      <c r="I591" s="3"/>
      <c r="J591" s="2"/>
      <c r="K591" s="2"/>
      <c r="L591" s="2"/>
      <c r="M591" s="4"/>
      <c r="N591" s="2"/>
      <c r="O591" s="5" t="str">
        <f t="shared" ca="1" si="55"/>
        <v/>
      </c>
      <c r="P591" s="6"/>
      <c r="V591" t="str">
        <f t="shared" si="56"/>
        <v/>
      </c>
      <c r="W591" t="str">
        <f t="shared" si="57"/>
        <v/>
      </c>
      <c r="X591" t="str">
        <f t="shared" si="58"/>
        <v/>
      </c>
      <c r="Y591" t="str">
        <f t="shared" si="59"/>
        <v/>
      </c>
    </row>
    <row r="592" spans="1:25" ht="14.5" x14ac:dyDescent="0.35">
      <c r="A592" s="3"/>
      <c r="B592" s="2"/>
      <c r="C592" s="2"/>
      <c r="D592" s="4"/>
      <c r="E592" s="2"/>
      <c r="F592" s="2"/>
      <c r="G592" s="3" t="str">
        <f t="shared" si="54"/>
        <v/>
      </c>
      <c r="H592" s="3"/>
      <c r="I592" s="3"/>
      <c r="J592" s="2"/>
      <c r="K592" s="2"/>
      <c r="L592" s="2"/>
      <c r="M592" s="4"/>
      <c r="N592" s="2"/>
      <c r="O592" s="5" t="str">
        <f t="shared" ca="1" si="55"/>
        <v/>
      </c>
      <c r="P592" s="6"/>
      <c r="V592" t="str">
        <f t="shared" si="56"/>
        <v/>
      </c>
      <c r="W592" t="str">
        <f t="shared" si="57"/>
        <v/>
      </c>
      <c r="X592" t="str">
        <f t="shared" si="58"/>
        <v/>
      </c>
      <c r="Y592" t="str">
        <f t="shared" si="59"/>
        <v/>
      </c>
    </row>
    <row r="593" spans="1:25" ht="14.5" x14ac:dyDescent="0.35">
      <c r="A593" s="3"/>
      <c r="B593" s="2"/>
      <c r="C593" s="2"/>
      <c r="D593" s="4"/>
      <c r="E593" s="2"/>
      <c r="F593" s="2"/>
      <c r="G593" s="3" t="str">
        <f t="shared" si="54"/>
        <v/>
      </c>
      <c r="H593" s="3"/>
      <c r="I593" s="3"/>
      <c r="J593" s="2"/>
      <c r="K593" s="2"/>
      <c r="L593" s="2"/>
      <c r="M593" s="4"/>
      <c r="N593" s="2"/>
      <c r="O593" s="5" t="str">
        <f t="shared" ca="1" si="55"/>
        <v/>
      </c>
      <c r="P593" s="6"/>
      <c r="V593" t="str">
        <f t="shared" si="56"/>
        <v/>
      </c>
      <c r="W593" t="str">
        <f t="shared" si="57"/>
        <v/>
      </c>
      <c r="X593" t="str">
        <f t="shared" si="58"/>
        <v/>
      </c>
      <c r="Y593" t="str">
        <f t="shared" si="59"/>
        <v/>
      </c>
    </row>
    <row r="594" spans="1:25" ht="14.5" x14ac:dyDescent="0.35">
      <c r="A594" s="3"/>
      <c r="B594" s="2"/>
      <c r="C594" s="2"/>
      <c r="D594" s="4"/>
      <c r="E594" s="2"/>
      <c r="F594" s="2"/>
      <c r="G594" s="3" t="str">
        <f t="shared" si="54"/>
        <v/>
      </c>
      <c r="H594" s="3"/>
      <c r="I594" s="3"/>
      <c r="J594" s="2"/>
      <c r="K594" s="2"/>
      <c r="L594" s="2"/>
      <c r="M594" s="4"/>
      <c r="N594" s="2"/>
      <c r="O594" s="5" t="str">
        <f t="shared" ca="1" si="55"/>
        <v/>
      </c>
      <c r="P594" s="6"/>
      <c r="V594" t="str">
        <f t="shared" si="56"/>
        <v/>
      </c>
      <c r="W594" t="str">
        <f t="shared" si="57"/>
        <v/>
      </c>
      <c r="X594" t="str">
        <f t="shared" si="58"/>
        <v/>
      </c>
      <c r="Y594" t="str">
        <f t="shared" si="59"/>
        <v/>
      </c>
    </row>
    <row r="595" spans="1:25" ht="14.5" x14ac:dyDescent="0.35">
      <c r="A595" s="3"/>
      <c r="B595" s="2"/>
      <c r="C595" s="2"/>
      <c r="D595" s="4"/>
      <c r="E595" s="2"/>
      <c r="F595" s="2"/>
      <c r="G595" s="3" t="str">
        <f t="shared" si="54"/>
        <v/>
      </c>
      <c r="H595" s="3"/>
      <c r="I595" s="3"/>
      <c r="J595" s="2"/>
      <c r="K595" s="2"/>
      <c r="L595" s="2"/>
      <c r="M595" s="4"/>
      <c r="N595" s="2"/>
      <c r="O595" s="5" t="str">
        <f t="shared" ca="1" si="55"/>
        <v/>
      </c>
      <c r="P595" s="6"/>
      <c r="V595" t="str">
        <f t="shared" si="56"/>
        <v/>
      </c>
      <c r="W595" t="str">
        <f t="shared" si="57"/>
        <v/>
      </c>
      <c r="X595" t="str">
        <f t="shared" si="58"/>
        <v/>
      </c>
      <c r="Y595" t="str">
        <f t="shared" si="59"/>
        <v/>
      </c>
    </row>
    <row r="596" spans="1:25" ht="14.5" x14ac:dyDescent="0.35">
      <c r="A596" s="3"/>
      <c r="B596" s="2"/>
      <c r="C596" s="2"/>
      <c r="D596" s="4"/>
      <c r="E596" s="2"/>
      <c r="F596" s="2"/>
      <c r="G596" s="3" t="str">
        <f t="shared" si="54"/>
        <v/>
      </c>
      <c r="H596" s="3"/>
      <c r="I596" s="3"/>
      <c r="J596" s="2"/>
      <c r="K596" s="2"/>
      <c r="L596" s="2"/>
      <c r="M596" s="4"/>
      <c r="N596" s="2"/>
      <c r="O596" s="5" t="str">
        <f t="shared" ca="1" si="55"/>
        <v/>
      </c>
      <c r="P596" s="6"/>
      <c r="V596" t="str">
        <f t="shared" si="56"/>
        <v/>
      </c>
      <c r="W596" t="str">
        <f t="shared" si="57"/>
        <v/>
      </c>
      <c r="X596" t="str">
        <f t="shared" si="58"/>
        <v/>
      </c>
      <c r="Y596" t="str">
        <f t="shared" si="59"/>
        <v/>
      </c>
    </row>
    <row r="597" spans="1:25" ht="14.5" x14ac:dyDescent="0.35">
      <c r="A597" s="3"/>
      <c r="B597" s="2"/>
      <c r="C597" s="2"/>
      <c r="D597" s="4"/>
      <c r="E597" s="2"/>
      <c r="F597" s="2"/>
      <c r="G597" s="3" t="str">
        <f t="shared" si="54"/>
        <v/>
      </c>
      <c r="H597" s="3"/>
      <c r="I597" s="3"/>
      <c r="J597" s="2"/>
      <c r="K597" s="2"/>
      <c r="L597" s="2"/>
      <c r="M597" s="4"/>
      <c r="N597" s="2"/>
      <c r="O597" s="5" t="str">
        <f t="shared" ca="1" si="55"/>
        <v/>
      </c>
      <c r="P597" s="6"/>
      <c r="V597" t="str">
        <f t="shared" si="56"/>
        <v/>
      </c>
      <c r="W597" t="str">
        <f t="shared" si="57"/>
        <v/>
      </c>
      <c r="X597" t="str">
        <f t="shared" si="58"/>
        <v/>
      </c>
      <c r="Y597" t="str">
        <f t="shared" si="59"/>
        <v/>
      </c>
    </row>
    <row r="598" spans="1:25" ht="14.5" x14ac:dyDescent="0.35">
      <c r="A598" s="3"/>
      <c r="B598" s="2"/>
      <c r="C598" s="2"/>
      <c r="D598" s="4"/>
      <c r="E598" s="2"/>
      <c r="F598" s="2"/>
      <c r="G598" s="3" t="str">
        <f t="shared" si="54"/>
        <v/>
      </c>
      <c r="H598" s="3"/>
      <c r="I598" s="3"/>
      <c r="J598" s="2"/>
      <c r="K598" s="2"/>
      <c r="L598" s="2"/>
      <c r="M598" s="4"/>
      <c r="N598" s="2"/>
      <c r="O598" s="5" t="str">
        <f t="shared" ca="1" si="55"/>
        <v/>
      </c>
      <c r="P598" s="6"/>
      <c r="V598" t="str">
        <f t="shared" si="56"/>
        <v/>
      </c>
      <c r="W598" t="str">
        <f t="shared" si="57"/>
        <v/>
      </c>
      <c r="X598" t="str">
        <f t="shared" si="58"/>
        <v/>
      </c>
      <c r="Y598" t="str">
        <f t="shared" si="59"/>
        <v/>
      </c>
    </row>
    <row r="599" spans="1:25" ht="14.5" x14ac:dyDescent="0.35">
      <c r="A599" s="3"/>
      <c r="B599" s="2"/>
      <c r="C599" s="2"/>
      <c r="D599" s="4"/>
      <c r="E599" s="2"/>
      <c r="F599" s="2"/>
      <c r="G599" s="3" t="str">
        <f t="shared" si="54"/>
        <v/>
      </c>
      <c r="H599" s="3"/>
      <c r="I599" s="3"/>
      <c r="J599" s="2"/>
      <c r="K599" s="2"/>
      <c r="L599" s="2"/>
      <c r="M599" s="4"/>
      <c r="N599" s="2"/>
      <c r="O599" s="5" t="str">
        <f t="shared" ca="1" si="55"/>
        <v/>
      </c>
      <c r="P599" s="6"/>
      <c r="V599" t="str">
        <f t="shared" si="56"/>
        <v/>
      </c>
      <c r="W599" t="str">
        <f t="shared" si="57"/>
        <v/>
      </c>
      <c r="X599" t="str">
        <f t="shared" si="58"/>
        <v/>
      </c>
      <c r="Y599" t="str">
        <f t="shared" si="59"/>
        <v/>
      </c>
    </row>
    <row r="600" spans="1:25" ht="14.5" x14ac:dyDescent="0.35">
      <c r="A600" s="3"/>
      <c r="B600" s="2"/>
      <c r="C600" s="2"/>
      <c r="D600" s="4"/>
      <c r="E600" s="2"/>
      <c r="F600" s="2"/>
      <c r="G600" s="3" t="str">
        <f t="shared" si="54"/>
        <v/>
      </c>
      <c r="H600" s="3"/>
      <c r="I600" s="3"/>
      <c r="J600" s="2"/>
      <c r="K600" s="2"/>
      <c r="L600" s="2"/>
      <c r="M600" s="4"/>
      <c r="N600" s="2"/>
      <c r="O600" s="5" t="str">
        <f t="shared" ca="1" si="55"/>
        <v/>
      </c>
      <c r="P600" s="6"/>
      <c r="V600" t="str">
        <f t="shared" si="56"/>
        <v/>
      </c>
      <c r="W600" t="str">
        <f t="shared" si="57"/>
        <v/>
      </c>
      <c r="X600" t="str">
        <f t="shared" si="58"/>
        <v/>
      </c>
      <c r="Y600" t="str">
        <f t="shared" si="59"/>
        <v/>
      </c>
    </row>
    <row r="601" spans="1:25" ht="14.5" x14ac:dyDescent="0.35">
      <c r="A601" s="3"/>
      <c r="B601" s="2"/>
      <c r="C601" s="2"/>
      <c r="D601" s="4"/>
      <c r="E601" s="2"/>
      <c r="F601" s="2"/>
      <c r="G601" s="3" t="str">
        <f t="shared" si="54"/>
        <v/>
      </c>
      <c r="H601" s="3"/>
      <c r="I601" s="3"/>
      <c r="J601" s="2"/>
      <c r="K601" s="2"/>
      <c r="L601" s="2"/>
      <c r="M601" s="4"/>
      <c r="N601" s="2"/>
      <c r="O601" s="5" t="str">
        <f t="shared" ca="1" si="55"/>
        <v/>
      </c>
      <c r="P601" s="6"/>
      <c r="V601" t="str">
        <f t="shared" si="56"/>
        <v/>
      </c>
      <c r="W601" t="str">
        <f t="shared" si="57"/>
        <v/>
      </c>
      <c r="X601" t="str">
        <f t="shared" si="58"/>
        <v/>
      </c>
      <c r="Y601" t="str">
        <f t="shared" si="59"/>
        <v/>
      </c>
    </row>
    <row r="602" spans="1:25" ht="14.5" x14ac:dyDescent="0.35">
      <c r="A602" s="3"/>
      <c r="B602" s="2"/>
      <c r="C602" s="2"/>
      <c r="D602" s="4"/>
      <c r="E602" s="2"/>
      <c r="F602" s="2"/>
      <c r="G602" s="3" t="str">
        <f t="shared" si="54"/>
        <v/>
      </c>
      <c r="H602" s="3"/>
      <c r="I602" s="3"/>
      <c r="J602" s="2"/>
      <c r="K602" s="2"/>
      <c r="L602" s="2"/>
      <c r="M602" s="4"/>
      <c r="N602" s="2"/>
      <c r="O602" s="5" t="str">
        <f t="shared" ca="1" si="55"/>
        <v/>
      </c>
      <c r="P602" s="6"/>
      <c r="V602" t="str">
        <f t="shared" si="56"/>
        <v/>
      </c>
      <c r="W602" t="str">
        <f t="shared" si="57"/>
        <v/>
      </c>
      <c r="X602" t="str">
        <f t="shared" si="58"/>
        <v/>
      </c>
      <c r="Y602" t="str">
        <f t="shared" si="59"/>
        <v/>
      </c>
    </row>
    <row r="603" spans="1:25" ht="14.5" x14ac:dyDescent="0.35">
      <c r="A603" s="3"/>
      <c r="B603" s="2"/>
      <c r="C603" s="2"/>
      <c r="D603" s="4"/>
      <c r="E603" s="2"/>
      <c r="F603" s="2"/>
      <c r="G603" s="3" t="str">
        <f t="shared" si="54"/>
        <v/>
      </c>
      <c r="H603" s="3"/>
      <c r="I603" s="3"/>
      <c r="J603" s="2"/>
      <c r="K603" s="2"/>
      <c r="L603" s="2"/>
      <c r="M603" s="4"/>
      <c r="N603" s="2"/>
      <c r="O603" s="5" t="str">
        <f t="shared" ca="1" si="55"/>
        <v/>
      </c>
      <c r="P603" s="6"/>
      <c r="V603" t="str">
        <f t="shared" si="56"/>
        <v/>
      </c>
      <c r="W603" t="str">
        <f t="shared" si="57"/>
        <v/>
      </c>
      <c r="X603" t="str">
        <f t="shared" si="58"/>
        <v/>
      </c>
      <c r="Y603" t="str">
        <f t="shared" si="59"/>
        <v/>
      </c>
    </row>
    <row r="604" spans="1:25" ht="14.5" x14ac:dyDescent="0.35">
      <c r="A604" s="3"/>
      <c r="B604" s="2"/>
      <c r="C604" s="2"/>
      <c r="D604" s="4"/>
      <c r="E604" s="2"/>
      <c r="F604" s="2"/>
      <c r="G604" s="3" t="str">
        <f t="shared" si="54"/>
        <v/>
      </c>
      <c r="H604" s="3"/>
      <c r="I604" s="3"/>
      <c r="J604" s="2"/>
      <c r="K604" s="2"/>
      <c r="L604" s="2"/>
      <c r="M604" s="4"/>
      <c r="N604" s="2"/>
      <c r="O604" s="5" t="str">
        <f t="shared" ca="1" si="55"/>
        <v/>
      </c>
      <c r="P604" s="6"/>
      <c r="V604" t="str">
        <f t="shared" si="56"/>
        <v/>
      </c>
      <c r="W604" t="str">
        <f t="shared" si="57"/>
        <v/>
      </c>
      <c r="X604" t="str">
        <f t="shared" si="58"/>
        <v/>
      </c>
      <c r="Y604" t="str">
        <f t="shared" si="59"/>
        <v/>
      </c>
    </row>
    <row r="605" spans="1:25" ht="14.5" x14ac:dyDescent="0.35">
      <c r="A605" s="3"/>
      <c r="B605" s="2"/>
      <c r="C605" s="2"/>
      <c r="D605" s="4"/>
      <c r="E605" s="2"/>
      <c r="F605" s="2"/>
      <c r="G605" s="3" t="str">
        <f t="shared" si="54"/>
        <v/>
      </c>
      <c r="H605" s="3"/>
      <c r="I605" s="3"/>
      <c r="J605" s="2"/>
      <c r="K605" s="2"/>
      <c r="L605" s="2"/>
      <c r="M605" s="4"/>
      <c r="N605" s="2"/>
      <c r="O605" s="5" t="str">
        <f t="shared" ca="1" si="55"/>
        <v/>
      </c>
      <c r="P605" s="6"/>
      <c r="V605" t="str">
        <f t="shared" si="56"/>
        <v/>
      </c>
      <c r="W605" t="str">
        <f t="shared" si="57"/>
        <v/>
      </c>
      <c r="X605" t="str">
        <f t="shared" si="58"/>
        <v/>
      </c>
      <c r="Y605" t="str">
        <f t="shared" si="59"/>
        <v/>
      </c>
    </row>
    <row r="606" spans="1:25" ht="14.5" x14ac:dyDescent="0.35">
      <c r="A606" s="3"/>
      <c r="B606" s="2"/>
      <c r="C606" s="2"/>
      <c r="D606" s="4"/>
      <c r="E606" s="2"/>
      <c r="F606" s="2"/>
      <c r="G606" s="3" t="str">
        <f t="shared" si="54"/>
        <v/>
      </c>
      <c r="H606" s="3"/>
      <c r="I606" s="3"/>
      <c r="J606" s="2"/>
      <c r="K606" s="2"/>
      <c r="L606" s="2"/>
      <c r="M606" s="4"/>
      <c r="N606" s="2"/>
      <c r="O606" s="5" t="str">
        <f t="shared" ca="1" si="55"/>
        <v/>
      </c>
      <c r="P606" s="6"/>
      <c r="V606" t="str">
        <f t="shared" si="56"/>
        <v/>
      </c>
      <c r="W606" t="str">
        <f t="shared" si="57"/>
        <v/>
      </c>
      <c r="X606" t="str">
        <f t="shared" si="58"/>
        <v/>
      </c>
      <c r="Y606" t="str">
        <f t="shared" si="59"/>
        <v/>
      </c>
    </row>
    <row r="607" spans="1:25" ht="14.5" x14ac:dyDescent="0.35">
      <c r="A607" s="3"/>
      <c r="B607" s="2"/>
      <c r="C607" s="2"/>
      <c r="D607" s="4"/>
      <c r="E607" s="2"/>
      <c r="F607" s="2"/>
      <c r="G607" s="3" t="str">
        <f t="shared" si="54"/>
        <v/>
      </c>
      <c r="H607" s="3"/>
      <c r="I607" s="3"/>
      <c r="J607" s="2"/>
      <c r="K607" s="2"/>
      <c r="L607" s="2"/>
      <c r="M607" s="4"/>
      <c r="N607" s="2"/>
      <c r="O607" s="5" t="str">
        <f t="shared" ca="1" si="55"/>
        <v/>
      </c>
      <c r="P607" s="6"/>
      <c r="V607" t="str">
        <f t="shared" si="56"/>
        <v/>
      </c>
      <c r="W607" t="str">
        <f t="shared" si="57"/>
        <v/>
      </c>
      <c r="X607" t="str">
        <f t="shared" si="58"/>
        <v/>
      </c>
      <c r="Y607" t="str">
        <f t="shared" si="59"/>
        <v/>
      </c>
    </row>
    <row r="608" spans="1:25" ht="14.5" x14ac:dyDescent="0.35">
      <c r="A608" s="3"/>
      <c r="B608" s="2"/>
      <c r="C608" s="2"/>
      <c r="D608" s="4"/>
      <c r="E608" s="2"/>
      <c r="F608" s="2"/>
      <c r="G608" s="3" t="str">
        <f t="shared" si="54"/>
        <v/>
      </c>
      <c r="H608" s="3"/>
      <c r="I608" s="3"/>
      <c r="J608" s="2"/>
      <c r="K608" s="2"/>
      <c r="L608" s="2"/>
      <c r="M608" s="4"/>
      <c r="N608" s="2"/>
      <c r="O608" s="5" t="str">
        <f t="shared" ca="1" si="55"/>
        <v/>
      </c>
      <c r="P608" s="6"/>
      <c r="V608" t="str">
        <f t="shared" si="56"/>
        <v/>
      </c>
      <c r="W608" t="str">
        <f t="shared" si="57"/>
        <v/>
      </c>
      <c r="X608" t="str">
        <f t="shared" si="58"/>
        <v/>
      </c>
      <c r="Y608" t="str">
        <f t="shared" si="59"/>
        <v/>
      </c>
    </row>
    <row r="609" spans="1:25" ht="14.5" x14ac:dyDescent="0.35">
      <c r="A609" s="3"/>
      <c r="B609" s="2"/>
      <c r="C609" s="2"/>
      <c r="D609" s="4"/>
      <c r="E609" s="2"/>
      <c r="F609" s="2"/>
      <c r="G609" s="3" t="str">
        <f t="shared" si="54"/>
        <v/>
      </c>
      <c r="H609" s="3"/>
      <c r="I609" s="3"/>
      <c r="J609" s="2"/>
      <c r="K609" s="2"/>
      <c r="L609" s="2"/>
      <c r="M609" s="4"/>
      <c r="N609" s="2"/>
      <c r="O609" s="5" t="str">
        <f t="shared" ca="1" si="55"/>
        <v/>
      </c>
      <c r="P609" s="6"/>
      <c r="V609" t="str">
        <f t="shared" si="56"/>
        <v/>
      </c>
      <c r="W609" t="str">
        <f t="shared" si="57"/>
        <v/>
      </c>
      <c r="X609" t="str">
        <f t="shared" si="58"/>
        <v/>
      </c>
      <c r="Y609" t="str">
        <f t="shared" si="59"/>
        <v/>
      </c>
    </row>
    <row r="610" spans="1:25" ht="14.5" x14ac:dyDescent="0.35">
      <c r="A610" s="3"/>
      <c r="B610" s="2"/>
      <c r="C610" s="2"/>
      <c r="D610" s="4"/>
      <c r="E610" s="2"/>
      <c r="F610" s="2"/>
      <c r="G610" s="3" t="str">
        <f t="shared" si="54"/>
        <v/>
      </c>
      <c r="H610" s="3"/>
      <c r="I610" s="3"/>
      <c r="J610" s="2"/>
      <c r="K610" s="2"/>
      <c r="L610" s="2"/>
      <c r="M610" s="4"/>
      <c r="N610" s="2"/>
      <c r="O610" s="5" t="str">
        <f t="shared" ca="1" si="55"/>
        <v/>
      </c>
      <c r="P610" s="6"/>
      <c r="V610" t="str">
        <f t="shared" si="56"/>
        <v/>
      </c>
      <c r="W610" t="str">
        <f t="shared" si="57"/>
        <v/>
      </c>
      <c r="X610" t="str">
        <f t="shared" si="58"/>
        <v/>
      </c>
      <c r="Y610" t="str">
        <f t="shared" si="59"/>
        <v/>
      </c>
    </row>
    <row r="611" spans="1:25" ht="14.5" x14ac:dyDescent="0.35">
      <c r="A611" s="3"/>
      <c r="B611" s="2"/>
      <c r="C611" s="2"/>
      <c r="D611" s="4"/>
      <c r="E611" s="2"/>
      <c r="F611" s="2"/>
      <c r="G611" s="3" t="str">
        <f t="shared" si="54"/>
        <v/>
      </c>
      <c r="H611" s="3"/>
      <c r="I611" s="3"/>
      <c r="J611" s="2"/>
      <c r="K611" s="2"/>
      <c r="L611" s="2"/>
      <c r="M611" s="4"/>
      <c r="N611" s="2"/>
      <c r="O611" s="5" t="str">
        <f t="shared" ca="1" si="55"/>
        <v/>
      </c>
      <c r="P611" s="6"/>
      <c r="V611" t="str">
        <f t="shared" si="56"/>
        <v/>
      </c>
      <c r="W611" t="str">
        <f t="shared" si="57"/>
        <v/>
      </c>
      <c r="X611" t="str">
        <f t="shared" si="58"/>
        <v/>
      </c>
      <c r="Y611" t="str">
        <f t="shared" si="59"/>
        <v/>
      </c>
    </row>
    <row r="612" spans="1:25" ht="14.5" x14ac:dyDescent="0.35">
      <c r="A612" s="3"/>
      <c r="B612" s="2"/>
      <c r="C612" s="2"/>
      <c r="D612" s="4"/>
      <c r="E612" s="2"/>
      <c r="F612" s="2"/>
      <c r="G612" s="3" t="str">
        <f t="shared" si="54"/>
        <v/>
      </c>
      <c r="H612" s="3"/>
      <c r="I612" s="3"/>
      <c r="J612" s="2"/>
      <c r="K612" s="2"/>
      <c r="L612" s="2"/>
      <c r="M612" s="4"/>
      <c r="N612" s="2"/>
      <c r="O612" s="5" t="str">
        <f t="shared" ca="1" si="55"/>
        <v/>
      </c>
      <c r="P612" s="6"/>
      <c r="V612" t="str">
        <f t="shared" si="56"/>
        <v/>
      </c>
      <c r="W612" t="str">
        <f t="shared" si="57"/>
        <v/>
      </c>
      <c r="X612" t="str">
        <f t="shared" si="58"/>
        <v/>
      </c>
      <c r="Y612" t="str">
        <f t="shared" si="59"/>
        <v/>
      </c>
    </row>
    <row r="613" spans="1:25" ht="14.5" x14ac:dyDescent="0.35">
      <c r="A613" s="3"/>
      <c r="B613" s="2"/>
      <c r="C613" s="2"/>
      <c r="D613" s="4"/>
      <c r="E613" s="2"/>
      <c r="F613" s="2"/>
      <c r="G613" s="3" t="str">
        <f t="shared" si="54"/>
        <v/>
      </c>
      <c r="H613" s="3"/>
      <c r="I613" s="3"/>
      <c r="J613" s="2"/>
      <c r="K613" s="2"/>
      <c r="L613" s="2"/>
      <c r="M613" s="4"/>
      <c r="N613" s="2"/>
      <c r="O613" s="5" t="str">
        <f t="shared" ca="1" si="55"/>
        <v/>
      </c>
      <c r="P613" s="6"/>
      <c r="V613" t="str">
        <f t="shared" si="56"/>
        <v/>
      </c>
      <c r="W613" t="str">
        <f t="shared" si="57"/>
        <v/>
      </c>
      <c r="X613" t="str">
        <f t="shared" si="58"/>
        <v/>
      </c>
      <c r="Y613" t="str">
        <f t="shared" si="59"/>
        <v/>
      </c>
    </row>
    <row r="614" spans="1:25" ht="14.5" x14ac:dyDescent="0.35">
      <c r="A614" s="3"/>
      <c r="B614" s="2"/>
      <c r="C614" s="2"/>
      <c r="D614" s="4"/>
      <c r="E614" s="2"/>
      <c r="F614" s="2"/>
      <c r="G614" s="3" t="str">
        <f t="shared" si="54"/>
        <v/>
      </c>
      <c r="H614" s="3"/>
      <c r="I614" s="3"/>
      <c r="J614" s="2"/>
      <c r="K614" s="2"/>
      <c r="L614" s="2"/>
      <c r="M614" s="4"/>
      <c r="N614" s="2"/>
      <c r="O614" s="5" t="str">
        <f t="shared" ca="1" si="55"/>
        <v/>
      </c>
      <c r="P614" s="6"/>
      <c r="V614" t="str">
        <f t="shared" si="56"/>
        <v/>
      </c>
      <c r="W614" t="str">
        <f t="shared" si="57"/>
        <v/>
      </c>
      <c r="X614" t="str">
        <f t="shared" si="58"/>
        <v/>
      </c>
      <c r="Y614" t="str">
        <f t="shared" si="59"/>
        <v/>
      </c>
    </row>
    <row r="615" spans="1:25" ht="14.5" x14ac:dyDescent="0.35">
      <c r="A615" s="3"/>
      <c r="B615" s="2"/>
      <c r="C615" s="2"/>
      <c r="D615" s="4"/>
      <c r="E615" s="2"/>
      <c r="F615" s="2"/>
      <c r="G615" s="3" t="str">
        <f t="shared" si="54"/>
        <v/>
      </c>
      <c r="H615" s="3"/>
      <c r="I615" s="3"/>
      <c r="J615" s="2"/>
      <c r="K615" s="2"/>
      <c r="L615" s="2"/>
      <c r="M615" s="4"/>
      <c r="N615" s="2"/>
      <c r="O615" s="5" t="str">
        <f t="shared" ca="1" si="55"/>
        <v/>
      </c>
      <c r="P615" s="6"/>
      <c r="V615" t="str">
        <f t="shared" si="56"/>
        <v/>
      </c>
      <c r="W615" t="str">
        <f t="shared" si="57"/>
        <v/>
      </c>
      <c r="X615" t="str">
        <f t="shared" si="58"/>
        <v/>
      </c>
      <c r="Y615" t="str">
        <f t="shared" si="59"/>
        <v/>
      </c>
    </row>
    <row r="616" spans="1:25" ht="14.5" x14ac:dyDescent="0.35">
      <c r="A616" s="3"/>
      <c r="B616" s="2"/>
      <c r="C616" s="2"/>
      <c r="D616" s="4"/>
      <c r="E616" s="2"/>
      <c r="F616" s="2"/>
      <c r="G616" s="3" t="str">
        <f t="shared" si="54"/>
        <v/>
      </c>
      <c r="H616" s="3"/>
      <c r="I616" s="3"/>
      <c r="J616" s="2"/>
      <c r="K616" s="2"/>
      <c r="L616" s="2"/>
      <c r="M616" s="4"/>
      <c r="N616" s="2"/>
      <c r="O616" s="5" t="str">
        <f t="shared" ca="1" si="55"/>
        <v/>
      </c>
      <c r="P616" s="6"/>
      <c r="V616" t="str">
        <f t="shared" si="56"/>
        <v/>
      </c>
      <c r="W616" t="str">
        <f t="shared" si="57"/>
        <v/>
      </c>
      <c r="X616" t="str">
        <f t="shared" si="58"/>
        <v/>
      </c>
      <c r="Y616" t="str">
        <f t="shared" si="59"/>
        <v/>
      </c>
    </row>
    <row r="617" spans="1:25" ht="14.5" x14ac:dyDescent="0.35">
      <c r="A617" s="3"/>
      <c r="B617" s="2"/>
      <c r="C617" s="2"/>
      <c r="D617" s="4"/>
      <c r="E617" s="2"/>
      <c r="F617" s="2"/>
      <c r="G617" s="3" t="str">
        <f t="shared" si="54"/>
        <v/>
      </c>
      <c r="H617" s="3"/>
      <c r="I617" s="3"/>
      <c r="J617" s="2"/>
      <c r="K617" s="2"/>
      <c r="L617" s="2"/>
      <c r="M617" s="4"/>
      <c r="N617" s="2"/>
      <c r="O617" s="5" t="str">
        <f t="shared" ca="1" si="55"/>
        <v/>
      </c>
      <c r="P617" s="6"/>
      <c r="V617" t="str">
        <f t="shared" si="56"/>
        <v/>
      </c>
      <c r="W617" t="str">
        <f t="shared" si="57"/>
        <v/>
      </c>
      <c r="X617" t="str">
        <f t="shared" si="58"/>
        <v/>
      </c>
      <c r="Y617" t="str">
        <f t="shared" si="59"/>
        <v/>
      </c>
    </row>
    <row r="618" spans="1:25" ht="14.5" x14ac:dyDescent="0.35">
      <c r="A618" s="3"/>
      <c r="B618" s="2"/>
      <c r="C618" s="2"/>
      <c r="D618" s="4"/>
      <c r="E618" s="2"/>
      <c r="F618" s="2"/>
      <c r="G618" s="3" t="str">
        <f t="shared" si="54"/>
        <v/>
      </c>
      <c r="H618" s="3"/>
      <c r="I618" s="3"/>
      <c r="J618" s="2"/>
      <c r="K618" s="2"/>
      <c r="L618" s="2"/>
      <c r="M618" s="4"/>
      <c r="N618" s="2"/>
      <c r="O618" s="5" t="str">
        <f t="shared" ca="1" si="55"/>
        <v/>
      </c>
      <c r="P618" s="6"/>
      <c r="V618" t="str">
        <f t="shared" si="56"/>
        <v/>
      </c>
      <c r="W618" t="str">
        <f t="shared" si="57"/>
        <v/>
      </c>
      <c r="X618" t="str">
        <f t="shared" si="58"/>
        <v/>
      </c>
      <c r="Y618" t="str">
        <f t="shared" si="59"/>
        <v/>
      </c>
    </row>
    <row r="619" spans="1:25" ht="14.5" x14ac:dyDescent="0.35">
      <c r="A619" s="3"/>
      <c r="B619" s="2"/>
      <c r="C619" s="2"/>
      <c r="D619" s="4"/>
      <c r="E619" s="2"/>
      <c r="F619" s="2"/>
      <c r="G619" s="3" t="str">
        <f t="shared" si="54"/>
        <v/>
      </c>
      <c r="H619" s="3"/>
      <c r="I619" s="3"/>
      <c r="J619" s="2"/>
      <c r="K619" s="2"/>
      <c r="L619" s="2"/>
      <c r="M619" s="4"/>
      <c r="N619" s="2"/>
      <c r="O619" s="5" t="str">
        <f t="shared" ca="1" si="55"/>
        <v/>
      </c>
      <c r="P619" s="6"/>
      <c r="V619" t="str">
        <f t="shared" si="56"/>
        <v/>
      </c>
      <c r="W619" t="str">
        <f t="shared" si="57"/>
        <v/>
      </c>
      <c r="X619" t="str">
        <f t="shared" si="58"/>
        <v/>
      </c>
      <c r="Y619" t="str">
        <f t="shared" si="59"/>
        <v/>
      </c>
    </row>
    <row r="620" spans="1:25" ht="14.5" x14ac:dyDescent="0.35">
      <c r="A620" s="3"/>
      <c r="B620" s="2"/>
      <c r="C620" s="2"/>
      <c r="D620" s="4"/>
      <c r="E620" s="2"/>
      <c r="F620" s="2"/>
      <c r="G620" s="3" t="str">
        <f t="shared" si="54"/>
        <v/>
      </c>
      <c r="H620" s="3"/>
      <c r="I620" s="3"/>
      <c r="J620" s="2"/>
      <c r="K620" s="2"/>
      <c r="L620" s="2"/>
      <c r="M620" s="4"/>
      <c r="N620" s="2"/>
      <c r="O620" s="5" t="str">
        <f t="shared" ca="1" si="55"/>
        <v/>
      </c>
      <c r="P620" s="6"/>
      <c r="V620" t="str">
        <f t="shared" si="56"/>
        <v/>
      </c>
      <c r="W620" t="str">
        <f t="shared" si="57"/>
        <v/>
      </c>
      <c r="X620" t="str">
        <f t="shared" si="58"/>
        <v/>
      </c>
      <c r="Y620" t="str">
        <f t="shared" si="59"/>
        <v/>
      </c>
    </row>
    <row r="621" spans="1:25" ht="14.5" x14ac:dyDescent="0.35">
      <c r="A621" s="3"/>
      <c r="B621" s="2"/>
      <c r="C621" s="2"/>
      <c r="D621" s="4"/>
      <c r="E621" s="2"/>
      <c r="F621" s="2"/>
      <c r="G621" s="3" t="str">
        <f t="shared" si="54"/>
        <v/>
      </c>
      <c r="H621" s="3"/>
      <c r="I621" s="3"/>
      <c r="J621" s="2"/>
      <c r="K621" s="2"/>
      <c r="L621" s="2"/>
      <c r="M621" s="4"/>
      <c r="N621" s="2"/>
      <c r="O621" s="5" t="str">
        <f t="shared" ca="1" si="55"/>
        <v/>
      </c>
      <c r="P621" s="6"/>
      <c r="V621" t="str">
        <f t="shared" si="56"/>
        <v/>
      </c>
      <c r="W621" t="str">
        <f t="shared" si="57"/>
        <v/>
      </c>
      <c r="X621" t="str">
        <f t="shared" si="58"/>
        <v/>
      </c>
      <c r="Y621" t="str">
        <f t="shared" si="59"/>
        <v/>
      </c>
    </row>
    <row r="622" spans="1:25" ht="14.5" x14ac:dyDescent="0.35">
      <c r="A622" s="3"/>
      <c r="B622" s="2"/>
      <c r="C622" s="2"/>
      <c r="D622" s="4"/>
      <c r="E622" s="2"/>
      <c r="F622" s="2"/>
      <c r="G622" s="3" t="str">
        <f t="shared" si="54"/>
        <v/>
      </c>
      <c r="H622" s="3"/>
      <c r="I622" s="3"/>
      <c r="J622" s="2"/>
      <c r="K622" s="2"/>
      <c r="L622" s="2"/>
      <c r="M622" s="4"/>
      <c r="N622" s="2"/>
      <c r="O622" s="5" t="str">
        <f t="shared" ca="1" si="55"/>
        <v/>
      </c>
      <c r="P622" s="6"/>
      <c r="V622" t="str">
        <f t="shared" si="56"/>
        <v/>
      </c>
      <c r="W622" t="str">
        <f t="shared" si="57"/>
        <v/>
      </c>
      <c r="X622" t="str">
        <f t="shared" si="58"/>
        <v/>
      </c>
      <c r="Y622" t="str">
        <f t="shared" si="59"/>
        <v/>
      </c>
    </row>
    <row r="623" spans="1:25" ht="14.5" x14ac:dyDescent="0.35">
      <c r="A623" s="3"/>
      <c r="B623" s="2"/>
      <c r="C623" s="2"/>
      <c r="D623" s="4"/>
      <c r="E623" s="2"/>
      <c r="F623" s="2"/>
      <c r="G623" s="3" t="str">
        <f t="shared" si="54"/>
        <v/>
      </c>
      <c r="H623" s="3"/>
      <c r="I623" s="3"/>
      <c r="J623" s="2"/>
      <c r="K623" s="2"/>
      <c r="L623" s="2"/>
      <c r="M623" s="4"/>
      <c r="N623" s="2"/>
      <c r="O623" s="5" t="str">
        <f t="shared" ca="1" si="55"/>
        <v/>
      </c>
      <c r="P623" s="6"/>
      <c r="V623" t="str">
        <f t="shared" si="56"/>
        <v/>
      </c>
      <c r="W623" t="str">
        <f t="shared" si="57"/>
        <v/>
      </c>
      <c r="X623" t="str">
        <f t="shared" si="58"/>
        <v/>
      </c>
      <c r="Y623" t="str">
        <f t="shared" si="59"/>
        <v/>
      </c>
    </row>
    <row r="624" spans="1:25" ht="14.5" x14ac:dyDescent="0.35">
      <c r="A624" s="3"/>
      <c r="B624" s="2"/>
      <c r="C624" s="2"/>
      <c r="D624" s="4"/>
      <c r="E624" s="2"/>
      <c r="F624" s="2"/>
      <c r="G624" s="3" t="str">
        <f t="shared" si="54"/>
        <v/>
      </c>
      <c r="H624" s="3"/>
      <c r="I624" s="3"/>
      <c r="J624" s="2"/>
      <c r="K624" s="2"/>
      <c r="L624" s="2"/>
      <c r="M624" s="4"/>
      <c r="N624" s="2"/>
      <c r="O624" s="5" t="str">
        <f t="shared" ca="1" si="55"/>
        <v/>
      </c>
      <c r="P624" s="6"/>
      <c r="V624" t="str">
        <f t="shared" si="56"/>
        <v/>
      </c>
      <c r="W624" t="str">
        <f t="shared" si="57"/>
        <v/>
      </c>
      <c r="X624" t="str">
        <f t="shared" si="58"/>
        <v/>
      </c>
      <c r="Y624" t="str">
        <f t="shared" si="59"/>
        <v/>
      </c>
    </row>
    <row r="625" spans="1:25" ht="14.5" x14ac:dyDescent="0.35">
      <c r="A625" s="3"/>
      <c r="B625" s="2"/>
      <c r="C625" s="2"/>
      <c r="D625" s="4"/>
      <c r="E625" s="2"/>
      <c r="F625" s="2"/>
      <c r="G625" s="3" t="str">
        <f t="shared" si="54"/>
        <v/>
      </c>
      <c r="H625" s="3"/>
      <c r="I625" s="3"/>
      <c r="J625" s="2"/>
      <c r="K625" s="2"/>
      <c r="L625" s="2"/>
      <c r="M625" s="4"/>
      <c r="N625" s="2"/>
      <c r="O625" s="5" t="str">
        <f t="shared" ca="1" si="55"/>
        <v/>
      </c>
      <c r="P625" s="6"/>
      <c r="V625" t="str">
        <f t="shared" si="56"/>
        <v/>
      </c>
      <c r="W625" t="str">
        <f t="shared" si="57"/>
        <v/>
      </c>
      <c r="X625" t="str">
        <f t="shared" si="58"/>
        <v/>
      </c>
      <c r="Y625" t="str">
        <f t="shared" si="59"/>
        <v/>
      </c>
    </row>
    <row r="626" spans="1:25" ht="14.5" x14ac:dyDescent="0.35">
      <c r="A626" s="3"/>
      <c r="B626" s="2"/>
      <c r="C626" s="2"/>
      <c r="D626" s="4"/>
      <c r="E626" s="2"/>
      <c r="F626" s="2"/>
      <c r="G626" s="3" t="str">
        <f t="shared" si="54"/>
        <v/>
      </c>
      <c r="H626" s="3"/>
      <c r="I626" s="3"/>
      <c r="J626" s="2"/>
      <c r="K626" s="2"/>
      <c r="L626" s="2"/>
      <c r="M626" s="4"/>
      <c r="N626" s="2"/>
      <c r="O626" s="5" t="str">
        <f t="shared" ca="1" si="55"/>
        <v/>
      </c>
      <c r="P626" s="6"/>
      <c r="V626" t="str">
        <f t="shared" si="56"/>
        <v/>
      </c>
      <c r="W626" t="str">
        <f t="shared" si="57"/>
        <v/>
      </c>
      <c r="X626" t="str">
        <f t="shared" si="58"/>
        <v/>
      </c>
      <c r="Y626" t="str">
        <f t="shared" si="59"/>
        <v/>
      </c>
    </row>
    <row r="627" spans="1:25" ht="14.5" x14ac:dyDescent="0.35">
      <c r="A627" s="3"/>
      <c r="B627" s="2"/>
      <c r="C627" s="2"/>
      <c r="D627" s="4"/>
      <c r="E627" s="2"/>
      <c r="F627" s="2"/>
      <c r="G627" s="3" t="str">
        <f t="shared" si="54"/>
        <v/>
      </c>
      <c r="H627" s="3"/>
      <c r="I627" s="3"/>
      <c r="J627" s="2"/>
      <c r="K627" s="2"/>
      <c r="L627" s="2"/>
      <c r="M627" s="4"/>
      <c r="N627" s="2"/>
      <c r="O627" s="5" t="str">
        <f t="shared" ca="1" si="55"/>
        <v/>
      </c>
      <c r="P627" s="6"/>
      <c r="V627" t="str">
        <f t="shared" si="56"/>
        <v/>
      </c>
      <c r="W627" t="str">
        <f t="shared" si="57"/>
        <v/>
      </c>
      <c r="X627" t="str">
        <f t="shared" si="58"/>
        <v/>
      </c>
      <c r="Y627" t="str">
        <f t="shared" si="59"/>
        <v/>
      </c>
    </row>
    <row r="628" spans="1:25" ht="14.5" x14ac:dyDescent="0.35">
      <c r="A628" s="3"/>
      <c r="B628" s="2"/>
      <c r="C628" s="2"/>
      <c r="D628" s="4"/>
      <c r="E628" s="2"/>
      <c r="F628" s="2"/>
      <c r="G628" s="3" t="str">
        <f t="shared" si="54"/>
        <v/>
      </c>
      <c r="H628" s="3"/>
      <c r="I628" s="3"/>
      <c r="J628" s="2"/>
      <c r="K628" s="2"/>
      <c r="L628" s="2"/>
      <c r="M628" s="4"/>
      <c r="N628" s="2"/>
      <c r="O628" s="5" t="str">
        <f t="shared" ca="1" si="55"/>
        <v/>
      </c>
      <c r="P628" s="6"/>
      <c r="V628" t="str">
        <f t="shared" si="56"/>
        <v/>
      </c>
      <c r="W628" t="str">
        <f t="shared" si="57"/>
        <v/>
      </c>
      <c r="X628" t="str">
        <f t="shared" si="58"/>
        <v/>
      </c>
      <c r="Y628" t="str">
        <f t="shared" si="59"/>
        <v/>
      </c>
    </row>
    <row r="629" spans="1:25" ht="14.5" x14ac:dyDescent="0.35">
      <c r="A629" s="3"/>
      <c r="B629" s="2"/>
      <c r="C629" s="2"/>
      <c r="D629" s="4"/>
      <c r="E629" s="2"/>
      <c r="F629" s="2"/>
      <c r="G629" s="3" t="str">
        <f t="shared" si="54"/>
        <v/>
      </c>
      <c r="H629" s="3"/>
      <c r="I629" s="3"/>
      <c r="J629" s="2"/>
      <c r="K629" s="2"/>
      <c r="L629" s="2"/>
      <c r="M629" s="4"/>
      <c r="N629" s="2"/>
      <c r="O629" s="5" t="str">
        <f t="shared" ca="1" si="55"/>
        <v/>
      </c>
      <c r="P629" s="6"/>
      <c r="V629" t="str">
        <f t="shared" si="56"/>
        <v/>
      </c>
      <c r="W629" t="str">
        <f t="shared" si="57"/>
        <v/>
      </c>
      <c r="X629" t="str">
        <f t="shared" si="58"/>
        <v/>
      </c>
      <c r="Y629" t="str">
        <f t="shared" si="59"/>
        <v/>
      </c>
    </row>
    <row r="630" spans="1:25" ht="14.5" x14ac:dyDescent="0.35">
      <c r="A630" s="3"/>
      <c r="B630" s="2"/>
      <c r="C630" s="2"/>
      <c r="D630" s="4"/>
      <c r="E630" s="2"/>
      <c r="F630" s="2"/>
      <c r="G630" s="3" t="str">
        <f t="shared" si="54"/>
        <v/>
      </c>
      <c r="H630" s="3"/>
      <c r="I630" s="3"/>
      <c r="J630" s="2"/>
      <c r="K630" s="2"/>
      <c r="L630" s="2"/>
      <c r="M630" s="4"/>
      <c r="N630" s="2"/>
      <c r="O630" s="5" t="str">
        <f t="shared" ca="1" si="55"/>
        <v/>
      </c>
      <c r="P630" s="6"/>
      <c r="V630" t="str">
        <f t="shared" si="56"/>
        <v/>
      </c>
      <c r="W630" t="str">
        <f t="shared" si="57"/>
        <v/>
      </c>
      <c r="X630" t="str">
        <f t="shared" si="58"/>
        <v/>
      </c>
      <c r="Y630" t="str">
        <f t="shared" si="59"/>
        <v/>
      </c>
    </row>
    <row r="631" spans="1:25" ht="14.5" x14ac:dyDescent="0.35">
      <c r="A631" s="3"/>
      <c r="B631" s="2"/>
      <c r="C631" s="2"/>
      <c r="D631" s="4"/>
      <c r="E631" s="2"/>
      <c r="F631" s="2"/>
      <c r="G631" s="3" t="str">
        <f t="shared" si="54"/>
        <v/>
      </c>
      <c r="H631" s="3"/>
      <c r="I631" s="3"/>
      <c r="J631" s="2"/>
      <c r="K631" s="2"/>
      <c r="L631" s="2"/>
      <c r="M631" s="4"/>
      <c r="N631" s="2"/>
      <c r="O631" s="5" t="str">
        <f t="shared" ca="1" si="55"/>
        <v/>
      </c>
      <c r="P631" s="6"/>
      <c r="V631" t="str">
        <f t="shared" si="56"/>
        <v/>
      </c>
      <c r="W631" t="str">
        <f t="shared" si="57"/>
        <v/>
      </c>
      <c r="X631" t="str">
        <f t="shared" si="58"/>
        <v/>
      </c>
      <c r="Y631" t="str">
        <f t="shared" si="59"/>
        <v/>
      </c>
    </row>
    <row r="632" spans="1:25" ht="14.5" x14ac:dyDescent="0.35">
      <c r="A632" s="3"/>
      <c r="B632" s="2"/>
      <c r="C632" s="2"/>
      <c r="D632" s="4"/>
      <c r="E632" s="2"/>
      <c r="F632" s="2"/>
      <c r="G632" s="3" t="str">
        <f t="shared" si="54"/>
        <v/>
      </c>
      <c r="H632" s="3"/>
      <c r="I632" s="3"/>
      <c r="J632" s="2"/>
      <c r="K632" s="2"/>
      <c r="L632" s="2"/>
      <c r="M632" s="4"/>
      <c r="N632" s="2"/>
      <c r="O632" s="5" t="str">
        <f t="shared" ca="1" si="55"/>
        <v/>
      </c>
      <c r="P632" s="6"/>
      <c r="V632" t="str">
        <f t="shared" si="56"/>
        <v/>
      </c>
      <c r="W632" t="str">
        <f t="shared" si="57"/>
        <v/>
      </c>
      <c r="X632" t="str">
        <f t="shared" si="58"/>
        <v/>
      </c>
      <c r="Y632" t="str">
        <f t="shared" si="59"/>
        <v/>
      </c>
    </row>
    <row r="633" spans="1:25" ht="14.5" x14ac:dyDescent="0.35">
      <c r="A633" s="3"/>
      <c r="B633" s="2"/>
      <c r="C633" s="2"/>
      <c r="D633" s="4"/>
      <c r="E633" s="2"/>
      <c r="F633" s="2"/>
      <c r="G633" s="3" t="str">
        <f t="shared" si="54"/>
        <v/>
      </c>
      <c r="H633" s="3"/>
      <c r="I633" s="3"/>
      <c r="J633" s="2"/>
      <c r="K633" s="2"/>
      <c r="L633" s="2"/>
      <c r="M633" s="4"/>
      <c r="N633" s="2"/>
      <c r="O633" s="5" t="str">
        <f t="shared" ca="1" si="55"/>
        <v/>
      </c>
      <c r="P633" s="6"/>
      <c r="V633" t="str">
        <f t="shared" si="56"/>
        <v/>
      </c>
      <c r="W633" t="str">
        <f t="shared" si="57"/>
        <v/>
      </c>
      <c r="X633" t="str">
        <f t="shared" si="58"/>
        <v/>
      </c>
      <c r="Y633" t="str">
        <f t="shared" si="59"/>
        <v/>
      </c>
    </row>
    <row r="634" spans="1:25" ht="14.5" x14ac:dyDescent="0.35">
      <c r="A634" s="3"/>
      <c r="B634" s="2"/>
      <c r="C634" s="2"/>
      <c r="D634" s="4"/>
      <c r="E634" s="2"/>
      <c r="F634" s="2"/>
      <c r="G634" s="3" t="str">
        <f t="shared" si="54"/>
        <v/>
      </c>
      <c r="H634" s="3"/>
      <c r="I634" s="3"/>
      <c r="J634" s="2"/>
      <c r="K634" s="2"/>
      <c r="L634" s="2"/>
      <c r="M634" s="4"/>
      <c r="N634" s="2"/>
      <c r="O634" s="5" t="str">
        <f t="shared" ca="1" si="55"/>
        <v/>
      </c>
      <c r="P634" s="6"/>
      <c r="V634" t="str">
        <f t="shared" si="56"/>
        <v/>
      </c>
      <c r="W634" t="str">
        <f t="shared" si="57"/>
        <v/>
      </c>
      <c r="X634" t="str">
        <f t="shared" si="58"/>
        <v/>
      </c>
      <c r="Y634" t="str">
        <f t="shared" si="59"/>
        <v/>
      </c>
    </row>
    <row r="635" spans="1:25" ht="14.5" x14ac:dyDescent="0.35">
      <c r="A635" s="3"/>
      <c r="B635" s="2"/>
      <c r="C635" s="2"/>
      <c r="D635" s="4"/>
      <c r="E635" s="2"/>
      <c r="F635" s="2"/>
      <c r="G635" s="3" t="str">
        <f t="shared" si="54"/>
        <v/>
      </c>
      <c r="H635" s="3"/>
      <c r="I635" s="3"/>
      <c r="J635" s="2"/>
      <c r="K635" s="2"/>
      <c r="L635" s="2"/>
      <c r="M635" s="4"/>
      <c r="N635" s="2"/>
      <c r="O635" s="5" t="str">
        <f t="shared" ca="1" si="55"/>
        <v/>
      </c>
      <c r="P635" s="6"/>
      <c r="V635" t="str">
        <f t="shared" si="56"/>
        <v/>
      </c>
      <c r="W635" t="str">
        <f t="shared" si="57"/>
        <v/>
      </c>
      <c r="X635" t="str">
        <f t="shared" si="58"/>
        <v/>
      </c>
      <c r="Y635" t="str">
        <f t="shared" si="59"/>
        <v/>
      </c>
    </row>
    <row r="636" spans="1:25" ht="14.5" x14ac:dyDescent="0.35">
      <c r="A636" s="3"/>
      <c r="B636" s="2"/>
      <c r="C636" s="2"/>
      <c r="D636" s="4"/>
      <c r="E636" s="2"/>
      <c r="F636" s="2"/>
      <c r="G636" s="3" t="str">
        <f t="shared" si="54"/>
        <v/>
      </c>
      <c r="H636" s="3"/>
      <c r="I636" s="3"/>
      <c r="J636" s="2"/>
      <c r="K636" s="2"/>
      <c r="L636" s="2"/>
      <c r="M636" s="4"/>
      <c r="N636" s="2"/>
      <c r="O636" s="5" t="str">
        <f t="shared" ca="1" si="55"/>
        <v/>
      </c>
      <c r="P636" s="6"/>
      <c r="V636" t="str">
        <f t="shared" si="56"/>
        <v/>
      </c>
      <c r="W636" t="str">
        <f t="shared" si="57"/>
        <v/>
      </c>
      <c r="X636" t="str">
        <f t="shared" si="58"/>
        <v/>
      </c>
      <c r="Y636" t="str">
        <f t="shared" si="59"/>
        <v/>
      </c>
    </row>
    <row r="637" spans="1:25" ht="14.5" x14ac:dyDescent="0.35">
      <c r="A637" s="3"/>
      <c r="B637" s="2"/>
      <c r="C637" s="2"/>
      <c r="D637" s="4"/>
      <c r="E637" s="2"/>
      <c r="F637" s="2"/>
      <c r="G637" s="3" t="str">
        <f t="shared" si="54"/>
        <v/>
      </c>
      <c r="H637" s="3"/>
      <c r="I637" s="3"/>
      <c r="J637" s="2"/>
      <c r="K637" s="2"/>
      <c r="L637" s="2"/>
      <c r="M637" s="4"/>
      <c r="N637" s="2"/>
      <c r="O637" s="5" t="str">
        <f t="shared" ca="1" si="55"/>
        <v/>
      </c>
      <c r="P637" s="6"/>
      <c r="V637" t="str">
        <f t="shared" si="56"/>
        <v/>
      </c>
      <c r="W637" t="str">
        <f t="shared" si="57"/>
        <v/>
      </c>
      <c r="X637" t="str">
        <f t="shared" si="58"/>
        <v/>
      </c>
      <c r="Y637" t="str">
        <f t="shared" si="59"/>
        <v/>
      </c>
    </row>
    <row r="638" spans="1:25" ht="14.5" x14ac:dyDescent="0.35">
      <c r="A638" s="3"/>
      <c r="B638" s="2"/>
      <c r="C638" s="2"/>
      <c r="D638" s="4"/>
      <c r="E638" s="2"/>
      <c r="F638" s="2"/>
      <c r="G638" s="3" t="str">
        <f t="shared" si="54"/>
        <v/>
      </c>
      <c r="H638" s="3"/>
      <c r="I638" s="3"/>
      <c r="J638" s="2"/>
      <c r="K638" s="2"/>
      <c r="L638" s="2"/>
      <c r="M638" s="4"/>
      <c r="N638" s="2"/>
      <c r="O638" s="5" t="str">
        <f t="shared" ca="1" si="55"/>
        <v/>
      </c>
      <c r="P638" s="6"/>
      <c r="V638" t="str">
        <f t="shared" si="56"/>
        <v/>
      </c>
      <c r="W638" t="str">
        <f t="shared" si="57"/>
        <v/>
      </c>
      <c r="X638" t="str">
        <f t="shared" si="58"/>
        <v/>
      </c>
      <c r="Y638" t="str">
        <f t="shared" si="59"/>
        <v/>
      </c>
    </row>
    <row r="639" spans="1:25" ht="14.5" x14ac:dyDescent="0.35">
      <c r="A639" s="3"/>
      <c r="B639" s="2"/>
      <c r="C639" s="2"/>
      <c r="D639" s="4"/>
      <c r="E639" s="2"/>
      <c r="F639" s="2"/>
      <c r="G639" s="3" t="str">
        <f t="shared" si="54"/>
        <v/>
      </c>
      <c r="H639" s="3"/>
      <c r="I639" s="3"/>
      <c r="J639" s="2"/>
      <c r="K639" s="2"/>
      <c r="L639" s="2"/>
      <c r="M639" s="4"/>
      <c r="N639" s="2"/>
      <c r="O639" s="5" t="str">
        <f t="shared" ca="1" si="55"/>
        <v/>
      </c>
      <c r="P639" s="6"/>
      <c r="V639" t="str">
        <f t="shared" si="56"/>
        <v/>
      </c>
      <c r="W639" t="str">
        <f t="shared" si="57"/>
        <v/>
      </c>
      <c r="X639" t="str">
        <f t="shared" si="58"/>
        <v/>
      </c>
      <c r="Y639" t="str">
        <f t="shared" si="59"/>
        <v/>
      </c>
    </row>
    <row r="640" spans="1:25" ht="14.5" x14ac:dyDescent="0.35">
      <c r="A640" s="3"/>
      <c r="B640" s="2"/>
      <c r="C640" s="2"/>
      <c r="D640" s="4"/>
      <c r="E640" s="2"/>
      <c r="F640" s="2"/>
      <c r="G640" s="3" t="str">
        <f t="shared" si="54"/>
        <v/>
      </c>
      <c r="H640" s="3"/>
      <c r="I640" s="3"/>
      <c r="J640" s="2"/>
      <c r="K640" s="2"/>
      <c r="L640" s="2"/>
      <c r="M640" s="4"/>
      <c r="N640" s="2"/>
      <c r="O640" s="5" t="str">
        <f t="shared" ca="1" si="55"/>
        <v/>
      </c>
      <c r="P640" s="6"/>
      <c r="V640" t="str">
        <f t="shared" si="56"/>
        <v/>
      </c>
      <c r="W640" t="str">
        <f t="shared" si="57"/>
        <v/>
      </c>
      <c r="X640" t="str">
        <f t="shared" si="58"/>
        <v/>
      </c>
      <c r="Y640" t="str">
        <f t="shared" si="59"/>
        <v/>
      </c>
    </row>
    <row r="641" spans="1:25" ht="14.5" x14ac:dyDescent="0.35">
      <c r="A641" s="3"/>
      <c r="B641" s="2"/>
      <c r="C641" s="2"/>
      <c r="D641" s="4"/>
      <c r="E641" s="2"/>
      <c r="F641" s="2"/>
      <c r="G641" s="3" t="str">
        <f t="shared" si="54"/>
        <v/>
      </c>
      <c r="H641" s="3"/>
      <c r="I641" s="3"/>
      <c r="J641" s="2"/>
      <c r="K641" s="2"/>
      <c r="L641" s="2"/>
      <c r="M641" s="4"/>
      <c r="N641" s="2"/>
      <c r="O641" s="5" t="str">
        <f t="shared" ca="1" si="55"/>
        <v/>
      </c>
      <c r="P641" s="6"/>
      <c r="V641" t="str">
        <f t="shared" si="56"/>
        <v/>
      </c>
      <c r="W641" t="str">
        <f t="shared" si="57"/>
        <v/>
      </c>
      <c r="X641" t="str">
        <f t="shared" si="58"/>
        <v/>
      </c>
      <c r="Y641" t="str">
        <f t="shared" si="59"/>
        <v/>
      </c>
    </row>
    <row r="642" spans="1:25" ht="14.5" x14ac:dyDescent="0.35">
      <c r="A642" s="3"/>
      <c r="B642" s="2"/>
      <c r="C642" s="2"/>
      <c r="D642" s="4"/>
      <c r="E642" s="2"/>
      <c r="F642" s="2"/>
      <c r="G642" s="3" t="str">
        <f t="shared" ref="G642:G705" si="60">IF(COUNTIF($A$2:$A$1500,A642&amp;".*")=0,"",COUNTIF($A$2:$A$1500,A642&amp;".*"))</f>
        <v/>
      </c>
      <c r="H642" s="3"/>
      <c r="I642" s="3"/>
      <c r="J642" s="2"/>
      <c r="K642" s="2"/>
      <c r="L642" s="2"/>
      <c r="M642" s="4"/>
      <c r="N642" s="2"/>
      <c r="O642" s="5" t="str">
        <f t="shared" ref="O642:O705" ca="1" si="61">IF(M642="","",INT(M642)-TODAY())</f>
        <v/>
      </c>
      <c r="P642" s="6"/>
      <c r="V642" t="str">
        <f t="shared" ref="V642:V705" si="62">IF(M642="","",M642+Q642/1000000)</f>
        <v/>
      </c>
      <c r="W642" t="str">
        <f t="shared" ref="W642:W705" si="63">IF(U642="","",IF(M642="",9999999+Q642/1000000,M642+Q642/1000000))</f>
        <v/>
      </c>
      <c r="X642" t="str">
        <f t="shared" ref="X642:X705" si="64">IF(U642="","",SUMPRODUCT(($U$2:$U$1500=U642)*($W$2:$W$1500&lt;=W642)))</f>
        <v/>
      </c>
      <c r="Y642" t="str">
        <f t="shared" ref="Y642:Y705" si="65">IF(U642="","",U642&amp;"|"&amp;X642)</f>
        <v/>
      </c>
    </row>
    <row r="643" spans="1:25" ht="14.5" x14ac:dyDescent="0.35">
      <c r="A643" s="3"/>
      <c r="B643" s="2"/>
      <c r="C643" s="2"/>
      <c r="D643" s="4"/>
      <c r="E643" s="2"/>
      <c r="F643" s="2"/>
      <c r="G643" s="3" t="str">
        <f t="shared" si="60"/>
        <v/>
      </c>
      <c r="H643" s="3"/>
      <c r="I643" s="3"/>
      <c r="J643" s="2"/>
      <c r="K643" s="2"/>
      <c r="L643" s="2"/>
      <c r="M643" s="4"/>
      <c r="N643" s="2"/>
      <c r="O643" s="5" t="str">
        <f t="shared" ca="1" si="61"/>
        <v/>
      </c>
      <c r="P643" s="6"/>
      <c r="V643" t="str">
        <f t="shared" si="62"/>
        <v/>
      </c>
      <c r="W643" t="str">
        <f t="shared" si="63"/>
        <v/>
      </c>
      <c r="X643" t="str">
        <f t="shared" si="64"/>
        <v/>
      </c>
      <c r="Y643" t="str">
        <f t="shared" si="65"/>
        <v/>
      </c>
    </row>
    <row r="644" spans="1:25" ht="14.5" x14ac:dyDescent="0.35">
      <c r="A644" s="3"/>
      <c r="B644" s="2"/>
      <c r="C644" s="2"/>
      <c r="D644" s="4"/>
      <c r="E644" s="2"/>
      <c r="F644" s="2"/>
      <c r="G644" s="3" t="str">
        <f t="shared" si="60"/>
        <v/>
      </c>
      <c r="H644" s="3"/>
      <c r="I644" s="3"/>
      <c r="J644" s="2"/>
      <c r="K644" s="2"/>
      <c r="L644" s="2"/>
      <c r="M644" s="4"/>
      <c r="N644" s="2"/>
      <c r="O644" s="5" t="str">
        <f t="shared" ca="1" si="61"/>
        <v/>
      </c>
      <c r="P644" s="6"/>
      <c r="V644" t="str">
        <f t="shared" si="62"/>
        <v/>
      </c>
      <c r="W644" t="str">
        <f t="shared" si="63"/>
        <v/>
      </c>
      <c r="X644" t="str">
        <f t="shared" si="64"/>
        <v/>
      </c>
      <c r="Y644" t="str">
        <f t="shared" si="65"/>
        <v/>
      </c>
    </row>
    <row r="645" spans="1:25" ht="14.5" x14ac:dyDescent="0.35">
      <c r="A645" s="3"/>
      <c r="B645" s="2"/>
      <c r="C645" s="2"/>
      <c r="D645" s="4"/>
      <c r="E645" s="2"/>
      <c r="F645" s="2"/>
      <c r="G645" s="3" t="str">
        <f t="shared" si="60"/>
        <v/>
      </c>
      <c r="H645" s="3"/>
      <c r="I645" s="3"/>
      <c r="J645" s="2"/>
      <c r="K645" s="2"/>
      <c r="L645" s="2"/>
      <c r="M645" s="4"/>
      <c r="N645" s="2"/>
      <c r="O645" s="5" t="str">
        <f t="shared" ca="1" si="61"/>
        <v/>
      </c>
      <c r="P645" s="6"/>
      <c r="V645" t="str">
        <f t="shared" si="62"/>
        <v/>
      </c>
      <c r="W645" t="str">
        <f t="shared" si="63"/>
        <v/>
      </c>
      <c r="X645" t="str">
        <f t="shared" si="64"/>
        <v/>
      </c>
      <c r="Y645" t="str">
        <f t="shared" si="65"/>
        <v/>
      </c>
    </row>
    <row r="646" spans="1:25" ht="14.5" x14ac:dyDescent="0.35">
      <c r="A646" s="3"/>
      <c r="B646" s="2"/>
      <c r="C646" s="2"/>
      <c r="D646" s="4"/>
      <c r="E646" s="2"/>
      <c r="F646" s="2"/>
      <c r="G646" s="3" t="str">
        <f t="shared" si="60"/>
        <v/>
      </c>
      <c r="H646" s="3"/>
      <c r="I646" s="3"/>
      <c r="J646" s="2"/>
      <c r="K646" s="2"/>
      <c r="L646" s="2"/>
      <c r="M646" s="4"/>
      <c r="N646" s="2"/>
      <c r="O646" s="5" t="str">
        <f t="shared" ca="1" si="61"/>
        <v/>
      </c>
      <c r="P646" s="6"/>
      <c r="V646" t="str">
        <f t="shared" si="62"/>
        <v/>
      </c>
      <c r="W646" t="str">
        <f t="shared" si="63"/>
        <v/>
      </c>
      <c r="X646" t="str">
        <f t="shared" si="64"/>
        <v/>
      </c>
      <c r="Y646" t="str">
        <f t="shared" si="65"/>
        <v/>
      </c>
    </row>
    <row r="647" spans="1:25" ht="14.5" x14ac:dyDescent="0.35">
      <c r="A647" s="3"/>
      <c r="B647" s="2"/>
      <c r="C647" s="2"/>
      <c r="D647" s="4"/>
      <c r="E647" s="2"/>
      <c r="F647" s="2"/>
      <c r="G647" s="3" t="str">
        <f t="shared" si="60"/>
        <v/>
      </c>
      <c r="H647" s="3"/>
      <c r="I647" s="3"/>
      <c r="J647" s="2"/>
      <c r="K647" s="2"/>
      <c r="L647" s="2"/>
      <c r="M647" s="4"/>
      <c r="N647" s="2"/>
      <c r="O647" s="5" t="str">
        <f t="shared" ca="1" si="61"/>
        <v/>
      </c>
      <c r="P647" s="6"/>
      <c r="V647" t="str">
        <f t="shared" si="62"/>
        <v/>
      </c>
      <c r="W647" t="str">
        <f t="shared" si="63"/>
        <v/>
      </c>
      <c r="X647" t="str">
        <f t="shared" si="64"/>
        <v/>
      </c>
      <c r="Y647" t="str">
        <f t="shared" si="65"/>
        <v/>
      </c>
    </row>
    <row r="648" spans="1:25" ht="14.5" x14ac:dyDescent="0.35">
      <c r="A648" s="3"/>
      <c r="B648" s="2"/>
      <c r="C648" s="2"/>
      <c r="D648" s="4"/>
      <c r="E648" s="2"/>
      <c r="F648" s="2"/>
      <c r="G648" s="3" t="str">
        <f t="shared" si="60"/>
        <v/>
      </c>
      <c r="H648" s="3"/>
      <c r="I648" s="3"/>
      <c r="J648" s="2"/>
      <c r="K648" s="2"/>
      <c r="L648" s="2"/>
      <c r="M648" s="4"/>
      <c r="N648" s="2"/>
      <c r="O648" s="5" t="str">
        <f t="shared" ca="1" si="61"/>
        <v/>
      </c>
      <c r="P648" s="6"/>
      <c r="V648" t="str">
        <f t="shared" si="62"/>
        <v/>
      </c>
      <c r="W648" t="str">
        <f t="shared" si="63"/>
        <v/>
      </c>
      <c r="X648" t="str">
        <f t="shared" si="64"/>
        <v/>
      </c>
      <c r="Y648" t="str">
        <f t="shared" si="65"/>
        <v/>
      </c>
    </row>
    <row r="649" spans="1:25" ht="14.5" x14ac:dyDescent="0.35">
      <c r="A649" s="3"/>
      <c r="B649" s="2"/>
      <c r="C649" s="2"/>
      <c r="D649" s="4"/>
      <c r="E649" s="2"/>
      <c r="F649" s="2"/>
      <c r="G649" s="3" t="str">
        <f t="shared" si="60"/>
        <v/>
      </c>
      <c r="H649" s="3"/>
      <c r="I649" s="3"/>
      <c r="J649" s="2"/>
      <c r="K649" s="2"/>
      <c r="L649" s="2"/>
      <c r="M649" s="4"/>
      <c r="N649" s="2"/>
      <c r="O649" s="5" t="str">
        <f t="shared" ca="1" si="61"/>
        <v/>
      </c>
      <c r="P649" s="6"/>
      <c r="V649" t="str">
        <f t="shared" si="62"/>
        <v/>
      </c>
      <c r="W649" t="str">
        <f t="shared" si="63"/>
        <v/>
      </c>
      <c r="X649" t="str">
        <f t="shared" si="64"/>
        <v/>
      </c>
      <c r="Y649" t="str">
        <f t="shared" si="65"/>
        <v/>
      </c>
    </row>
    <row r="650" spans="1:25" ht="14.5" x14ac:dyDescent="0.35">
      <c r="A650" s="3"/>
      <c r="B650" s="2"/>
      <c r="C650" s="2"/>
      <c r="D650" s="4"/>
      <c r="E650" s="2"/>
      <c r="F650" s="2"/>
      <c r="G650" s="3" t="str">
        <f t="shared" si="60"/>
        <v/>
      </c>
      <c r="H650" s="3"/>
      <c r="I650" s="3"/>
      <c r="J650" s="2"/>
      <c r="K650" s="2"/>
      <c r="L650" s="2"/>
      <c r="M650" s="4"/>
      <c r="N650" s="2"/>
      <c r="O650" s="5" t="str">
        <f t="shared" ca="1" si="61"/>
        <v/>
      </c>
      <c r="P650" s="6"/>
      <c r="V650" t="str">
        <f t="shared" si="62"/>
        <v/>
      </c>
      <c r="W650" t="str">
        <f t="shared" si="63"/>
        <v/>
      </c>
      <c r="X650" t="str">
        <f t="shared" si="64"/>
        <v/>
      </c>
      <c r="Y650" t="str">
        <f t="shared" si="65"/>
        <v/>
      </c>
    </row>
    <row r="651" spans="1:25" ht="14.5" x14ac:dyDescent="0.35">
      <c r="A651" s="3"/>
      <c r="B651" s="2"/>
      <c r="C651" s="2"/>
      <c r="D651" s="4"/>
      <c r="E651" s="2"/>
      <c r="F651" s="2"/>
      <c r="G651" s="3" t="str">
        <f t="shared" si="60"/>
        <v/>
      </c>
      <c r="H651" s="3"/>
      <c r="I651" s="3"/>
      <c r="J651" s="2"/>
      <c r="K651" s="2"/>
      <c r="L651" s="2"/>
      <c r="M651" s="4"/>
      <c r="N651" s="2"/>
      <c r="O651" s="5" t="str">
        <f t="shared" ca="1" si="61"/>
        <v/>
      </c>
      <c r="P651" s="6"/>
      <c r="V651" t="str">
        <f t="shared" si="62"/>
        <v/>
      </c>
      <c r="W651" t="str">
        <f t="shared" si="63"/>
        <v/>
      </c>
      <c r="X651" t="str">
        <f t="shared" si="64"/>
        <v/>
      </c>
      <c r="Y651" t="str">
        <f t="shared" si="65"/>
        <v/>
      </c>
    </row>
    <row r="652" spans="1:25" ht="14.5" x14ac:dyDescent="0.35">
      <c r="A652" s="3"/>
      <c r="B652" s="2"/>
      <c r="C652" s="2"/>
      <c r="D652" s="4"/>
      <c r="E652" s="2"/>
      <c r="F652" s="2"/>
      <c r="G652" s="3" t="str">
        <f t="shared" si="60"/>
        <v/>
      </c>
      <c r="H652" s="3"/>
      <c r="I652" s="3"/>
      <c r="J652" s="2"/>
      <c r="K652" s="2"/>
      <c r="L652" s="2"/>
      <c r="M652" s="4"/>
      <c r="N652" s="2"/>
      <c r="O652" s="5" t="str">
        <f t="shared" ca="1" si="61"/>
        <v/>
      </c>
      <c r="P652" s="6"/>
      <c r="V652" t="str">
        <f t="shared" si="62"/>
        <v/>
      </c>
      <c r="W652" t="str">
        <f t="shared" si="63"/>
        <v/>
      </c>
      <c r="X652" t="str">
        <f t="shared" si="64"/>
        <v/>
      </c>
      <c r="Y652" t="str">
        <f t="shared" si="65"/>
        <v/>
      </c>
    </row>
    <row r="653" spans="1:25" ht="14.5" x14ac:dyDescent="0.35">
      <c r="A653" s="3"/>
      <c r="B653" s="2"/>
      <c r="C653" s="2"/>
      <c r="D653" s="4"/>
      <c r="E653" s="2"/>
      <c r="F653" s="2"/>
      <c r="G653" s="3" t="str">
        <f t="shared" si="60"/>
        <v/>
      </c>
      <c r="H653" s="3"/>
      <c r="I653" s="3"/>
      <c r="J653" s="2"/>
      <c r="K653" s="2"/>
      <c r="L653" s="2"/>
      <c r="M653" s="4"/>
      <c r="N653" s="2"/>
      <c r="O653" s="5" t="str">
        <f t="shared" ca="1" si="61"/>
        <v/>
      </c>
      <c r="P653" s="6"/>
      <c r="V653" t="str">
        <f t="shared" si="62"/>
        <v/>
      </c>
      <c r="W653" t="str">
        <f t="shared" si="63"/>
        <v/>
      </c>
      <c r="X653" t="str">
        <f t="shared" si="64"/>
        <v/>
      </c>
      <c r="Y653" t="str">
        <f t="shared" si="65"/>
        <v/>
      </c>
    </row>
    <row r="654" spans="1:25" ht="14.5" x14ac:dyDescent="0.35">
      <c r="A654" s="3"/>
      <c r="B654" s="2"/>
      <c r="C654" s="2"/>
      <c r="D654" s="4"/>
      <c r="E654" s="2"/>
      <c r="F654" s="2"/>
      <c r="G654" s="3" t="str">
        <f t="shared" si="60"/>
        <v/>
      </c>
      <c r="H654" s="3"/>
      <c r="I654" s="3"/>
      <c r="J654" s="2"/>
      <c r="K654" s="2"/>
      <c r="L654" s="2"/>
      <c r="M654" s="4"/>
      <c r="N654" s="2"/>
      <c r="O654" s="5" t="str">
        <f t="shared" ca="1" si="61"/>
        <v/>
      </c>
      <c r="P654" s="6"/>
      <c r="V654" t="str">
        <f t="shared" si="62"/>
        <v/>
      </c>
      <c r="W654" t="str">
        <f t="shared" si="63"/>
        <v/>
      </c>
      <c r="X654" t="str">
        <f t="shared" si="64"/>
        <v/>
      </c>
      <c r="Y654" t="str">
        <f t="shared" si="65"/>
        <v/>
      </c>
    </row>
    <row r="655" spans="1:25" ht="14.5" x14ac:dyDescent="0.35">
      <c r="A655" s="3"/>
      <c r="B655" s="2"/>
      <c r="C655" s="2"/>
      <c r="D655" s="4"/>
      <c r="E655" s="2"/>
      <c r="F655" s="2"/>
      <c r="G655" s="3" t="str">
        <f t="shared" si="60"/>
        <v/>
      </c>
      <c r="H655" s="3"/>
      <c r="I655" s="3"/>
      <c r="J655" s="2"/>
      <c r="K655" s="2"/>
      <c r="L655" s="2"/>
      <c r="M655" s="4"/>
      <c r="N655" s="2"/>
      <c r="O655" s="5" t="str">
        <f t="shared" ca="1" si="61"/>
        <v/>
      </c>
      <c r="P655" s="6"/>
      <c r="V655" t="str">
        <f t="shared" si="62"/>
        <v/>
      </c>
      <c r="W655" t="str">
        <f t="shared" si="63"/>
        <v/>
      </c>
      <c r="X655" t="str">
        <f t="shared" si="64"/>
        <v/>
      </c>
      <c r="Y655" t="str">
        <f t="shared" si="65"/>
        <v/>
      </c>
    </row>
    <row r="656" spans="1:25" ht="14.5" x14ac:dyDescent="0.35">
      <c r="A656" s="3"/>
      <c r="B656" s="2"/>
      <c r="C656" s="2"/>
      <c r="D656" s="4"/>
      <c r="E656" s="2"/>
      <c r="F656" s="2"/>
      <c r="G656" s="3" t="str">
        <f t="shared" si="60"/>
        <v/>
      </c>
      <c r="H656" s="3"/>
      <c r="I656" s="3"/>
      <c r="J656" s="2"/>
      <c r="K656" s="2"/>
      <c r="L656" s="2"/>
      <c r="M656" s="4"/>
      <c r="N656" s="2"/>
      <c r="O656" s="5" t="str">
        <f t="shared" ca="1" si="61"/>
        <v/>
      </c>
      <c r="P656" s="6"/>
      <c r="V656" t="str">
        <f t="shared" si="62"/>
        <v/>
      </c>
      <c r="W656" t="str">
        <f t="shared" si="63"/>
        <v/>
      </c>
      <c r="X656" t="str">
        <f t="shared" si="64"/>
        <v/>
      </c>
      <c r="Y656" t="str">
        <f t="shared" si="65"/>
        <v/>
      </c>
    </row>
    <row r="657" spans="1:25" ht="14.5" x14ac:dyDescent="0.35">
      <c r="A657" s="3"/>
      <c r="B657" s="2"/>
      <c r="C657" s="2"/>
      <c r="D657" s="4"/>
      <c r="E657" s="2"/>
      <c r="F657" s="2"/>
      <c r="G657" s="3" t="str">
        <f t="shared" si="60"/>
        <v/>
      </c>
      <c r="H657" s="3"/>
      <c r="I657" s="3"/>
      <c r="J657" s="2"/>
      <c r="K657" s="2"/>
      <c r="L657" s="2"/>
      <c r="M657" s="4"/>
      <c r="N657" s="2"/>
      <c r="O657" s="5" t="str">
        <f t="shared" ca="1" si="61"/>
        <v/>
      </c>
      <c r="P657" s="6"/>
      <c r="V657" t="str">
        <f t="shared" si="62"/>
        <v/>
      </c>
      <c r="W657" t="str">
        <f t="shared" si="63"/>
        <v/>
      </c>
      <c r="X657" t="str">
        <f t="shared" si="64"/>
        <v/>
      </c>
      <c r="Y657" t="str">
        <f t="shared" si="65"/>
        <v/>
      </c>
    </row>
    <row r="658" spans="1:25" ht="14.5" x14ac:dyDescent="0.35">
      <c r="A658" s="3"/>
      <c r="B658" s="2"/>
      <c r="C658" s="2"/>
      <c r="D658" s="4"/>
      <c r="E658" s="2"/>
      <c r="F658" s="2"/>
      <c r="G658" s="3" t="str">
        <f t="shared" si="60"/>
        <v/>
      </c>
      <c r="H658" s="3"/>
      <c r="I658" s="3"/>
      <c r="J658" s="2"/>
      <c r="K658" s="2"/>
      <c r="L658" s="2"/>
      <c r="M658" s="4"/>
      <c r="N658" s="2"/>
      <c r="O658" s="5" t="str">
        <f t="shared" ca="1" si="61"/>
        <v/>
      </c>
      <c r="P658" s="6"/>
      <c r="V658" t="str">
        <f t="shared" si="62"/>
        <v/>
      </c>
      <c r="W658" t="str">
        <f t="shared" si="63"/>
        <v/>
      </c>
      <c r="X658" t="str">
        <f t="shared" si="64"/>
        <v/>
      </c>
      <c r="Y658" t="str">
        <f t="shared" si="65"/>
        <v/>
      </c>
    </row>
    <row r="659" spans="1:25" ht="14.5" x14ac:dyDescent="0.35">
      <c r="A659" s="3"/>
      <c r="B659" s="2"/>
      <c r="C659" s="2"/>
      <c r="D659" s="4"/>
      <c r="E659" s="2"/>
      <c r="F659" s="2"/>
      <c r="G659" s="3" t="str">
        <f t="shared" si="60"/>
        <v/>
      </c>
      <c r="H659" s="3"/>
      <c r="I659" s="3"/>
      <c r="J659" s="2"/>
      <c r="K659" s="2"/>
      <c r="L659" s="2"/>
      <c r="M659" s="4"/>
      <c r="N659" s="2"/>
      <c r="O659" s="5" t="str">
        <f t="shared" ca="1" si="61"/>
        <v/>
      </c>
      <c r="P659" s="6"/>
      <c r="V659" t="str">
        <f t="shared" si="62"/>
        <v/>
      </c>
      <c r="W659" t="str">
        <f t="shared" si="63"/>
        <v/>
      </c>
      <c r="X659" t="str">
        <f t="shared" si="64"/>
        <v/>
      </c>
      <c r="Y659" t="str">
        <f t="shared" si="65"/>
        <v/>
      </c>
    </row>
    <row r="660" spans="1:25" ht="14.5" x14ac:dyDescent="0.35">
      <c r="A660" s="3"/>
      <c r="B660" s="2"/>
      <c r="C660" s="2"/>
      <c r="D660" s="4"/>
      <c r="E660" s="2"/>
      <c r="F660" s="2"/>
      <c r="G660" s="3" t="str">
        <f t="shared" si="60"/>
        <v/>
      </c>
      <c r="H660" s="3"/>
      <c r="I660" s="3"/>
      <c r="J660" s="2"/>
      <c r="K660" s="2"/>
      <c r="L660" s="2"/>
      <c r="M660" s="4"/>
      <c r="N660" s="2"/>
      <c r="O660" s="5" t="str">
        <f t="shared" ca="1" si="61"/>
        <v/>
      </c>
      <c r="P660" s="6"/>
      <c r="V660" t="str">
        <f t="shared" si="62"/>
        <v/>
      </c>
      <c r="W660" t="str">
        <f t="shared" si="63"/>
        <v/>
      </c>
      <c r="X660" t="str">
        <f t="shared" si="64"/>
        <v/>
      </c>
      <c r="Y660" t="str">
        <f t="shared" si="65"/>
        <v/>
      </c>
    </row>
    <row r="661" spans="1:25" ht="14.5" x14ac:dyDescent="0.35">
      <c r="A661" s="3"/>
      <c r="B661" s="2"/>
      <c r="C661" s="2"/>
      <c r="D661" s="4"/>
      <c r="E661" s="2"/>
      <c r="F661" s="2"/>
      <c r="G661" s="3" t="str">
        <f t="shared" si="60"/>
        <v/>
      </c>
      <c r="H661" s="3"/>
      <c r="I661" s="3"/>
      <c r="J661" s="2"/>
      <c r="K661" s="2"/>
      <c r="L661" s="2"/>
      <c r="M661" s="4"/>
      <c r="N661" s="2"/>
      <c r="O661" s="5" t="str">
        <f t="shared" ca="1" si="61"/>
        <v/>
      </c>
      <c r="P661" s="6"/>
      <c r="V661" t="str">
        <f t="shared" si="62"/>
        <v/>
      </c>
      <c r="W661" t="str">
        <f t="shared" si="63"/>
        <v/>
      </c>
      <c r="X661" t="str">
        <f t="shared" si="64"/>
        <v/>
      </c>
      <c r="Y661" t="str">
        <f t="shared" si="65"/>
        <v/>
      </c>
    </row>
    <row r="662" spans="1:25" ht="14.5" x14ac:dyDescent="0.35">
      <c r="A662" s="3"/>
      <c r="B662" s="2"/>
      <c r="C662" s="2"/>
      <c r="D662" s="4"/>
      <c r="E662" s="2"/>
      <c r="F662" s="2"/>
      <c r="G662" s="3" t="str">
        <f t="shared" si="60"/>
        <v/>
      </c>
      <c r="H662" s="3"/>
      <c r="I662" s="3"/>
      <c r="J662" s="2"/>
      <c r="K662" s="2"/>
      <c r="L662" s="2"/>
      <c r="M662" s="4"/>
      <c r="N662" s="2"/>
      <c r="O662" s="5" t="str">
        <f t="shared" ca="1" si="61"/>
        <v/>
      </c>
      <c r="P662" s="6"/>
      <c r="V662" t="str">
        <f t="shared" si="62"/>
        <v/>
      </c>
      <c r="W662" t="str">
        <f t="shared" si="63"/>
        <v/>
      </c>
      <c r="X662" t="str">
        <f t="shared" si="64"/>
        <v/>
      </c>
      <c r="Y662" t="str">
        <f t="shared" si="65"/>
        <v/>
      </c>
    </row>
    <row r="663" spans="1:25" ht="14.5" x14ac:dyDescent="0.35">
      <c r="A663" s="3"/>
      <c r="B663" s="2"/>
      <c r="C663" s="2"/>
      <c r="D663" s="4"/>
      <c r="E663" s="2"/>
      <c r="F663" s="2"/>
      <c r="G663" s="3" t="str">
        <f t="shared" si="60"/>
        <v/>
      </c>
      <c r="H663" s="3"/>
      <c r="I663" s="3"/>
      <c r="J663" s="2"/>
      <c r="K663" s="2"/>
      <c r="L663" s="2"/>
      <c r="M663" s="4"/>
      <c r="N663" s="2"/>
      <c r="O663" s="5" t="str">
        <f t="shared" ca="1" si="61"/>
        <v/>
      </c>
      <c r="P663" s="6"/>
      <c r="V663" t="str">
        <f t="shared" si="62"/>
        <v/>
      </c>
      <c r="W663" t="str">
        <f t="shared" si="63"/>
        <v/>
      </c>
      <c r="X663" t="str">
        <f t="shared" si="64"/>
        <v/>
      </c>
      <c r="Y663" t="str">
        <f t="shared" si="65"/>
        <v/>
      </c>
    </row>
    <row r="664" spans="1:25" ht="14.5" x14ac:dyDescent="0.35">
      <c r="A664" s="3"/>
      <c r="B664" s="2"/>
      <c r="C664" s="2"/>
      <c r="D664" s="4"/>
      <c r="E664" s="2"/>
      <c r="F664" s="2"/>
      <c r="G664" s="3" t="str">
        <f t="shared" si="60"/>
        <v/>
      </c>
      <c r="H664" s="3"/>
      <c r="I664" s="3"/>
      <c r="J664" s="2"/>
      <c r="K664" s="2"/>
      <c r="L664" s="2"/>
      <c r="M664" s="4"/>
      <c r="N664" s="2"/>
      <c r="O664" s="5" t="str">
        <f t="shared" ca="1" si="61"/>
        <v/>
      </c>
      <c r="P664" s="6"/>
      <c r="V664" t="str">
        <f t="shared" si="62"/>
        <v/>
      </c>
      <c r="W664" t="str">
        <f t="shared" si="63"/>
        <v/>
      </c>
      <c r="X664" t="str">
        <f t="shared" si="64"/>
        <v/>
      </c>
      <c r="Y664" t="str">
        <f t="shared" si="65"/>
        <v/>
      </c>
    </row>
    <row r="665" spans="1:25" ht="14.5" x14ac:dyDescent="0.35">
      <c r="A665" s="3"/>
      <c r="B665" s="2"/>
      <c r="C665" s="2"/>
      <c r="D665" s="4"/>
      <c r="E665" s="2"/>
      <c r="F665" s="2"/>
      <c r="G665" s="3" t="str">
        <f t="shared" si="60"/>
        <v/>
      </c>
      <c r="H665" s="3"/>
      <c r="I665" s="3"/>
      <c r="J665" s="2"/>
      <c r="K665" s="2"/>
      <c r="L665" s="2"/>
      <c r="M665" s="4"/>
      <c r="N665" s="2"/>
      <c r="O665" s="5" t="str">
        <f t="shared" ca="1" si="61"/>
        <v/>
      </c>
      <c r="P665" s="6"/>
      <c r="V665" t="str">
        <f t="shared" si="62"/>
        <v/>
      </c>
      <c r="W665" t="str">
        <f t="shared" si="63"/>
        <v/>
      </c>
      <c r="X665" t="str">
        <f t="shared" si="64"/>
        <v/>
      </c>
      <c r="Y665" t="str">
        <f t="shared" si="65"/>
        <v/>
      </c>
    </row>
    <row r="666" spans="1:25" ht="14.5" x14ac:dyDescent="0.35">
      <c r="A666" s="3"/>
      <c r="B666" s="2"/>
      <c r="C666" s="2"/>
      <c r="D666" s="4"/>
      <c r="E666" s="2"/>
      <c r="F666" s="2"/>
      <c r="G666" s="3" t="str">
        <f t="shared" si="60"/>
        <v/>
      </c>
      <c r="H666" s="3"/>
      <c r="I666" s="3"/>
      <c r="J666" s="2"/>
      <c r="K666" s="2"/>
      <c r="L666" s="2"/>
      <c r="M666" s="4"/>
      <c r="N666" s="2"/>
      <c r="O666" s="5" t="str">
        <f t="shared" ca="1" si="61"/>
        <v/>
      </c>
      <c r="P666" s="6"/>
      <c r="V666" t="str">
        <f t="shared" si="62"/>
        <v/>
      </c>
      <c r="W666" t="str">
        <f t="shared" si="63"/>
        <v/>
      </c>
      <c r="X666" t="str">
        <f t="shared" si="64"/>
        <v/>
      </c>
      <c r="Y666" t="str">
        <f t="shared" si="65"/>
        <v/>
      </c>
    </row>
    <row r="667" spans="1:25" ht="14.5" x14ac:dyDescent="0.35">
      <c r="A667" s="3"/>
      <c r="B667" s="2"/>
      <c r="C667" s="2"/>
      <c r="D667" s="4"/>
      <c r="E667" s="2"/>
      <c r="F667" s="2"/>
      <c r="G667" s="3" t="str">
        <f t="shared" si="60"/>
        <v/>
      </c>
      <c r="H667" s="3"/>
      <c r="I667" s="3"/>
      <c r="J667" s="2"/>
      <c r="K667" s="2"/>
      <c r="L667" s="2"/>
      <c r="M667" s="4"/>
      <c r="N667" s="2"/>
      <c r="O667" s="5" t="str">
        <f t="shared" ca="1" si="61"/>
        <v/>
      </c>
      <c r="P667" s="6"/>
      <c r="V667" t="str">
        <f t="shared" si="62"/>
        <v/>
      </c>
      <c r="W667" t="str">
        <f t="shared" si="63"/>
        <v/>
      </c>
      <c r="X667" t="str">
        <f t="shared" si="64"/>
        <v/>
      </c>
      <c r="Y667" t="str">
        <f t="shared" si="65"/>
        <v/>
      </c>
    </row>
    <row r="668" spans="1:25" ht="14.5" x14ac:dyDescent="0.35">
      <c r="A668" s="3"/>
      <c r="B668" s="2"/>
      <c r="C668" s="2"/>
      <c r="D668" s="4"/>
      <c r="E668" s="2"/>
      <c r="F668" s="2"/>
      <c r="G668" s="3" t="str">
        <f t="shared" si="60"/>
        <v/>
      </c>
      <c r="H668" s="3"/>
      <c r="I668" s="3"/>
      <c r="J668" s="2"/>
      <c r="K668" s="2"/>
      <c r="L668" s="2"/>
      <c r="M668" s="4"/>
      <c r="N668" s="2"/>
      <c r="O668" s="5" t="str">
        <f t="shared" ca="1" si="61"/>
        <v/>
      </c>
      <c r="P668" s="6"/>
      <c r="V668" t="str">
        <f t="shared" si="62"/>
        <v/>
      </c>
      <c r="W668" t="str">
        <f t="shared" si="63"/>
        <v/>
      </c>
      <c r="X668" t="str">
        <f t="shared" si="64"/>
        <v/>
      </c>
      <c r="Y668" t="str">
        <f t="shared" si="65"/>
        <v/>
      </c>
    </row>
    <row r="669" spans="1:25" ht="14.5" x14ac:dyDescent="0.35">
      <c r="A669" s="3"/>
      <c r="B669" s="2"/>
      <c r="C669" s="2"/>
      <c r="D669" s="4"/>
      <c r="E669" s="2"/>
      <c r="F669" s="2"/>
      <c r="G669" s="3" t="str">
        <f t="shared" si="60"/>
        <v/>
      </c>
      <c r="H669" s="3"/>
      <c r="I669" s="3"/>
      <c r="J669" s="2"/>
      <c r="K669" s="2"/>
      <c r="L669" s="2"/>
      <c r="M669" s="4"/>
      <c r="N669" s="2"/>
      <c r="O669" s="5" t="str">
        <f t="shared" ca="1" si="61"/>
        <v/>
      </c>
      <c r="P669" s="6"/>
      <c r="V669" t="str">
        <f t="shared" si="62"/>
        <v/>
      </c>
      <c r="W669" t="str">
        <f t="shared" si="63"/>
        <v/>
      </c>
      <c r="X669" t="str">
        <f t="shared" si="64"/>
        <v/>
      </c>
      <c r="Y669" t="str">
        <f t="shared" si="65"/>
        <v/>
      </c>
    </row>
    <row r="670" spans="1:25" ht="14.5" x14ac:dyDescent="0.35">
      <c r="A670" s="3"/>
      <c r="B670" s="2"/>
      <c r="C670" s="2"/>
      <c r="D670" s="4"/>
      <c r="E670" s="2"/>
      <c r="F670" s="2"/>
      <c r="G670" s="3" t="str">
        <f t="shared" si="60"/>
        <v/>
      </c>
      <c r="H670" s="3"/>
      <c r="I670" s="3"/>
      <c r="J670" s="2"/>
      <c r="K670" s="2"/>
      <c r="L670" s="2"/>
      <c r="M670" s="4"/>
      <c r="N670" s="2"/>
      <c r="O670" s="5" t="str">
        <f t="shared" ca="1" si="61"/>
        <v/>
      </c>
      <c r="P670" s="6"/>
      <c r="V670" t="str">
        <f t="shared" si="62"/>
        <v/>
      </c>
      <c r="W670" t="str">
        <f t="shared" si="63"/>
        <v/>
      </c>
      <c r="X670" t="str">
        <f t="shared" si="64"/>
        <v/>
      </c>
      <c r="Y670" t="str">
        <f t="shared" si="65"/>
        <v/>
      </c>
    </row>
    <row r="671" spans="1:25" ht="14.5" x14ac:dyDescent="0.35">
      <c r="A671" s="3"/>
      <c r="B671" s="2"/>
      <c r="C671" s="2"/>
      <c r="D671" s="4"/>
      <c r="E671" s="2"/>
      <c r="F671" s="2"/>
      <c r="G671" s="3" t="str">
        <f t="shared" si="60"/>
        <v/>
      </c>
      <c r="H671" s="3"/>
      <c r="I671" s="3"/>
      <c r="J671" s="2"/>
      <c r="K671" s="2"/>
      <c r="L671" s="2"/>
      <c r="M671" s="4"/>
      <c r="N671" s="2"/>
      <c r="O671" s="5" t="str">
        <f t="shared" ca="1" si="61"/>
        <v/>
      </c>
      <c r="P671" s="6"/>
      <c r="V671" t="str">
        <f t="shared" si="62"/>
        <v/>
      </c>
      <c r="W671" t="str">
        <f t="shared" si="63"/>
        <v/>
      </c>
      <c r="X671" t="str">
        <f t="shared" si="64"/>
        <v/>
      </c>
      <c r="Y671" t="str">
        <f t="shared" si="65"/>
        <v/>
      </c>
    </row>
    <row r="672" spans="1:25" ht="14.5" x14ac:dyDescent="0.35">
      <c r="A672" s="3"/>
      <c r="B672" s="2"/>
      <c r="C672" s="2"/>
      <c r="D672" s="4"/>
      <c r="E672" s="2"/>
      <c r="F672" s="2"/>
      <c r="G672" s="3" t="str">
        <f t="shared" si="60"/>
        <v/>
      </c>
      <c r="H672" s="3"/>
      <c r="I672" s="3"/>
      <c r="J672" s="2"/>
      <c r="K672" s="2"/>
      <c r="L672" s="2"/>
      <c r="M672" s="4"/>
      <c r="N672" s="2"/>
      <c r="O672" s="5" t="str">
        <f t="shared" ca="1" si="61"/>
        <v/>
      </c>
      <c r="P672" s="6"/>
      <c r="V672" t="str">
        <f t="shared" si="62"/>
        <v/>
      </c>
      <c r="W672" t="str">
        <f t="shared" si="63"/>
        <v/>
      </c>
      <c r="X672" t="str">
        <f t="shared" si="64"/>
        <v/>
      </c>
      <c r="Y672" t="str">
        <f t="shared" si="65"/>
        <v/>
      </c>
    </row>
    <row r="673" spans="1:25" ht="14.5" x14ac:dyDescent="0.35">
      <c r="A673" s="3"/>
      <c r="B673" s="2"/>
      <c r="C673" s="2"/>
      <c r="D673" s="4"/>
      <c r="E673" s="2"/>
      <c r="F673" s="2"/>
      <c r="G673" s="3" t="str">
        <f t="shared" si="60"/>
        <v/>
      </c>
      <c r="H673" s="3"/>
      <c r="I673" s="3"/>
      <c r="J673" s="2"/>
      <c r="K673" s="2"/>
      <c r="L673" s="2"/>
      <c r="M673" s="4"/>
      <c r="N673" s="2"/>
      <c r="O673" s="5" t="str">
        <f t="shared" ca="1" si="61"/>
        <v/>
      </c>
      <c r="P673" s="6"/>
      <c r="V673" t="str">
        <f t="shared" si="62"/>
        <v/>
      </c>
      <c r="W673" t="str">
        <f t="shared" si="63"/>
        <v/>
      </c>
      <c r="X673" t="str">
        <f t="shared" si="64"/>
        <v/>
      </c>
      <c r="Y673" t="str">
        <f t="shared" si="65"/>
        <v/>
      </c>
    </row>
    <row r="674" spans="1:25" ht="14.5" x14ac:dyDescent="0.35">
      <c r="A674" s="3"/>
      <c r="B674" s="2"/>
      <c r="C674" s="2"/>
      <c r="D674" s="4"/>
      <c r="E674" s="2"/>
      <c r="F674" s="2"/>
      <c r="G674" s="3" t="str">
        <f t="shared" si="60"/>
        <v/>
      </c>
      <c r="H674" s="3"/>
      <c r="I674" s="3"/>
      <c r="J674" s="2"/>
      <c r="K674" s="2"/>
      <c r="L674" s="2"/>
      <c r="M674" s="4"/>
      <c r="N674" s="2"/>
      <c r="O674" s="5" t="str">
        <f t="shared" ca="1" si="61"/>
        <v/>
      </c>
      <c r="P674" s="6"/>
      <c r="V674" t="str">
        <f t="shared" si="62"/>
        <v/>
      </c>
      <c r="W674" t="str">
        <f t="shared" si="63"/>
        <v/>
      </c>
      <c r="X674" t="str">
        <f t="shared" si="64"/>
        <v/>
      </c>
      <c r="Y674" t="str">
        <f t="shared" si="65"/>
        <v/>
      </c>
    </row>
    <row r="675" spans="1:25" ht="14.5" x14ac:dyDescent="0.35">
      <c r="A675" s="3"/>
      <c r="B675" s="2"/>
      <c r="C675" s="2"/>
      <c r="D675" s="4"/>
      <c r="E675" s="2"/>
      <c r="F675" s="2"/>
      <c r="G675" s="3" t="str">
        <f t="shared" si="60"/>
        <v/>
      </c>
      <c r="H675" s="3"/>
      <c r="I675" s="3"/>
      <c r="J675" s="2"/>
      <c r="K675" s="2"/>
      <c r="L675" s="2"/>
      <c r="M675" s="4"/>
      <c r="N675" s="2"/>
      <c r="O675" s="5" t="str">
        <f t="shared" ca="1" si="61"/>
        <v/>
      </c>
      <c r="P675" s="6"/>
      <c r="V675" t="str">
        <f t="shared" si="62"/>
        <v/>
      </c>
      <c r="W675" t="str">
        <f t="shared" si="63"/>
        <v/>
      </c>
      <c r="X675" t="str">
        <f t="shared" si="64"/>
        <v/>
      </c>
      <c r="Y675" t="str">
        <f t="shared" si="65"/>
        <v/>
      </c>
    </row>
    <row r="676" spans="1:25" ht="14.5" x14ac:dyDescent="0.35">
      <c r="A676" s="3"/>
      <c r="B676" s="2"/>
      <c r="C676" s="2"/>
      <c r="D676" s="4"/>
      <c r="E676" s="2"/>
      <c r="F676" s="2"/>
      <c r="G676" s="3" t="str">
        <f t="shared" si="60"/>
        <v/>
      </c>
      <c r="H676" s="3"/>
      <c r="I676" s="3"/>
      <c r="J676" s="2"/>
      <c r="K676" s="2"/>
      <c r="L676" s="2"/>
      <c r="M676" s="4"/>
      <c r="N676" s="2"/>
      <c r="O676" s="5" t="str">
        <f t="shared" ca="1" si="61"/>
        <v/>
      </c>
      <c r="P676" s="6"/>
      <c r="V676" t="str">
        <f t="shared" si="62"/>
        <v/>
      </c>
      <c r="W676" t="str">
        <f t="shared" si="63"/>
        <v/>
      </c>
      <c r="X676" t="str">
        <f t="shared" si="64"/>
        <v/>
      </c>
      <c r="Y676" t="str">
        <f t="shared" si="65"/>
        <v/>
      </c>
    </row>
    <row r="677" spans="1:25" ht="14.5" x14ac:dyDescent="0.35">
      <c r="A677" s="3"/>
      <c r="B677" s="2"/>
      <c r="C677" s="2"/>
      <c r="D677" s="4"/>
      <c r="E677" s="2"/>
      <c r="F677" s="2"/>
      <c r="G677" s="3" t="str">
        <f t="shared" si="60"/>
        <v/>
      </c>
      <c r="H677" s="3"/>
      <c r="I677" s="3"/>
      <c r="J677" s="2"/>
      <c r="K677" s="2"/>
      <c r="L677" s="2"/>
      <c r="M677" s="4"/>
      <c r="N677" s="2"/>
      <c r="O677" s="5" t="str">
        <f t="shared" ca="1" si="61"/>
        <v/>
      </c>
      <c r="P677" s="6"/>
      <c r="V677" t="str">
        <f t="shared" si="62"/>
        <v/>
      </c>
      <c r="W677" t="str">
        <f t="shared" si="63"/>
        <v/>
      </c>
      <c r="X677" t="str">
        <f t="shared" si="64"/>
        <v/>
      </c>
      <c r="Y677" t="str">
        <f t="shared" si="65"/>
        <v/>
      </c>
    </row>
    <row r="678" spans="1:25" ht="14.5" x14ac:dyDescent="0.35">
      <c r="A678" s="3"/>
      <c r="B678" s="2"/>
      <c r="C678" s="2"/>
      <c r="D678" s="4"/>
      <c r="E678" s="2"/>
      <c r="F678" s="2"/>
      <c r="G678" s="3" t="str">
        <f t="shared" si="60"/>
        <v/>
      </c>
      <c r="H678" s="3"/>
      <c r="I678" s="3"/>
      <c r="J678" s="2"/>
      <c r="K678" s="2"/>
      <c r="L678" s="2"/>
      <c r="M678" s="4"/>
      <c r="N678" s="2"/>
      <c r="O678" s="5" t="str">
        <f t="shared" ca="1" si="61"/>
        <v/>
      </c>
      <c r="P678" s="6"/>
      <c r="V678" t="str">
        <f t="shared" si="62"/>
        <v/>
      </c>
      <c r="W678" t="str">
        <f t="shared" si="63"/>
        <v/>
      </c>
      <c r="X678" t="str">
        <f t="shared" si="64"/>
        <v/>
      </c>
      <c r="Y678" t="str">
        <f t="shared" si="65"/>
        <v/>
      </c>
    </row>
    <row r="679" spans="1:25" ht="14.5" x14ac:dyDescent="0.35">
      <c r="A679" s="3"/>
      <c r="B679" s="2"/>
      <c r="C679" s="2"/>
      <c r="D679" s="4"/>
      <c r="E679" s="2"/>
      <c r="F679" s="2"/>
      <c r="G679" s="3" t="str">
        <f t="shared" si="60"/>
        <v/>
      </c>
      <c r="H679" s="3"/>
      <c r="I679" s="3"/>
      <c r="J679" s="2"/>
      <c r="K679" s="2"/>
      <c r="L679" s="2"/>
      <c r="M679" s="4"/>
      <c r="N679" s="2"/>
      <c r="O679" s="5" t="str">
        <f t="shared" ca="1" si="61"/>
        <v/>
      </c>
      <c r="P679" s="6"/>
      <c r="V679" t="str">
        <f t="shared" si="62"/>
        <v/>
      </c>
      <c r="W679" t="str">
        <f t="shared" si="63"/>
        <v/>
      </c>
      <c r="X679" t="str">
        <f t="shared" si="64"/>
        <v/>
      </c>
      <c r="Y679" t="str">
        <f t="shared" si="65"/>
        <v/>
      </c>
    </row>
    <row r="680" spans="1:25" ht="14.5" x14ac:dyDescent="0.35">
      <c r="A680" s="3"/>
      <c r="B680" s="2"/>
      <c r="C680" s="2"/>
      <c r="D680" s="4"/>
      <c r="E680" s="2"/>
      <c r="F680" s="2"/>
      <c r="G680" s="3" t="str">
        <f t="shared" si="60"/>
        <v/>
      </c>
      <c r="H680" s="3"/>
      <c r="I680" s="3"/>
      <c r="J680" s="2"/>
      <c r="K680" s="2"/>
      <c r="L680" s="2"/>
      <c r="M680" s="4"/>
      <c r="N680" s="2"/>
      <c r="O680" s="5" t="str">
        <f t="shared" ca="1" si="61"/>
        <v/>
      </c>
      <c r="P680" s="6"/>
      <c r="V680" t="str">
        <f t="shared" si="62"/>
        <v/>
      </c>
      <c r="W680" t="str">
        <f t="shared" si="63"/>
        <v/>
      </c>
      <c r="X680" t="str">
        <f t="shared" si="64"/>
        <v/>
      </c>
      <c r="Y680" t="str">
        <f t="shared" si="65"/>
        <v/>
      </c>
    </row>
    <row r="681" spans="1:25" ht="14.5" x14ac:dyDescent="0.35">
      <c r="A681" s="3"/>
      <c r="B681" s="2"/>
      <c r="C681" s="2"/>
      <c r="D681" s="4"/>
      <c r="E681" s="2"/>
      <c r="F681" s="2"/>
      <c r="G681" s="3" t="str">
        <f t="shared" si="60"/>
        <v/>
      </c>
      <c r="H681" s="3"/>
      <c r="I681" s="3"/>
      <c r="J681" s="2"/>
      <c r="K681" s="2"/>
      <c r="L681" s="2"/>
      <c r="M681" s="4"/>
      <c r="N681" s="2"/>
      <c r="O681" s="5" t="str">
        <f t="shared" ca="1" si="61"/>
        <v/>
      </c>
      <c r="P681" s="6"/>
      <c r="V681" t="str">
        <f t="shared" si="62"/>
        <v/>
      </c>
      <c r="W681" t="str">
        <f t="shared" si="63"/>
        <v/>
      </c>
      <c r="X681" t="str">
        <f t="shared" si="64"/>
        <v/>
      </c>
      <c r="Y681" t="str">
        <f t="shared" si="65"/>
        <v/>
      </c>
    </row>
    <row r="682" spans="1:25" ht="14.5" x14ac:dyDescent="0.35">
      <c r="A682" s="3"/>
      <c r="B682" s="2"/>
      <c r="C682" s="2"/>
      <c r="D682" s="4"/>
      <c r="E682" s="2"/>
      <c r="F682" s="2"/>
      <c r="G682" s="3" t="str">
        <f t="shared" si="60"/>
        <v/>
      </c>
      <c r="H682" s="3"/>
      <c r="I682" s="3"/>
      <c r="J682" s="2"/>
      <c r="K682" s="2"/>
      <c r="L682" s="2"/>
      <c r="M682" s="4"/>
      <c r="N682" s="2"/>
      <c r="O682" s="5" t="str">
        <f t="shared" ca="1" si="61"/>
        <v/>
      </c>
      <c r="P682" s="6"/>
      <c r="V682" t="str">
        <f t="shared" si="62"/>
        <v/>
      </c>
      <c r="W682" t="str">
        <f t="shared" si="63"/>
        <v/>
      </c>
      <c r="X682" t="str">
        <f t="shared" si="64"/>
        <v/>
      </c>
      <c r="Y682" t="str">
        <f t="shared" si="65"/>
        <v/>
      </c>
    </row>
    <row r="683" spans="1:25" ht="14.5" x14ac:dyDescent="0.35">
      <c r="A683" s="3"/>
      <c r="B683" s="2"/>
      <c r="C683" s="2"/>
      <c r="D683" s="4"/>
      <c r="E683" s="2"/>
      <c r="F683" s="2"/>
      <c r="G683" s="3" t="str">
        <f t="shared" si="60"/>
        <v/>
      </c>
      <c r="H683" s="3"/>
      <c r="I683" s="3"/>
      <c r="J683" s="2"/>
      <c r="K683" s="2"/>
      <c r="L683" s="2"/>
      <c r="M683" s="4"/>
      <c r="N683" s="2"/>
      <c r="O683" s="5" t="str">
        <f t="shared" ca="1" si="61"/>
        <v/>
      </c>
      <c r="P683" s="6"/>
      <c r="V683" t="str">
        <f t="shared" si="62"/>
        <v/>
      </c>
      <c r="W683" t="str">
        <f t="shared" si="63"/>
        <v/>
      </c>
      <c r="X683" t="str">
        <f t="shared" si="64"/>
        <v/>
      </c>
      <c r="Y683" t="str">
        <f t="shared" si="65"/>
        <v/>
      </c>
    </row>
    <row r="684" spans="1:25" ht="14.5" x14ac:dyDescent="0.35">
      <c r="A684" s="3"/>
      <c r="B684" s="2"/>
      <c r="C684" s="2"/>
      <c r="D684" s="4"/>
      <c r="E684" s="2"/>
      <c r="F684" s="2"/>
      <c r="G684" s="3" t="str">
        <f t="shared" si="60"/>
        <v/>
      </c>
      <c r="H684" s="3"/>
      <c r="I684" s="3"/>
      <c r="J684" s="2"/>
      <c r="K684" s="2"/>
      <c r="L684" s="2"/>
      <c r="M684" s="4"/>
      <c r="N684" s="2"/>
      <c r="O684" s="5" t="str">
        <f t="shared" ca="1" si="61"/>
        <v/>
      </c>
      <c r="P684" s="6"/>
      <c r="V684" t="str">
        <f t="shared" si="62"/>
        <v/>
      </c>
      <c r="W684" t="str">
        <f t="shared" si="63"/>
        <v/>
      </c>
      <c r="X684" t="str">
        <f t="shared" si="64"/>
        <v/>
      </c>
      <c r="Y684" t="str">
        <f t="shared" si="65"/>
        <v/>
      </c>
    </row>
    <row r="685" spans="1:25" ht="14.5" x14ac:dyDescent="0.35">
      <c r="A685" s="3"/>
      <c r="B685" s="2"/>
      <c r="C685" s="2"/>
      <c r="D685" s="4"/>
      <c r="E685" s="2"/>
      <c r="F685" s="2"/>
      <c r="G685" s="3" t="str">
        <f t="shared" si="60"/>
        <v/>
      </c>
      <c r="H685" s="3"/>
      <c r="I685" s="3"/>
      <c r="J685" s="2"/>
      <c r="K685" s="2"/>
      <c r="L685" s="2"/>
      <c r="M685" s="4"/>
      <c r="N685" s="2"/>
      <c r="O685" s="5" t="str">
        <f t="shared" ca="1" si="61"/>
        <v/>
      </c>
      <c r="P685" s="6"/>
      <c r="V685" t="str">
        <f t="shared" si="62"/>
        <v/>
      </c>
      <c r="W685" t="str">
        <f t="shared" si="63"/>
        <v/>
      </c>
      <c r="X685" t="str">
        <f t="shared" si="64"/>
        <v/>
      </c>
      <c r="Y685" t="str">
        <f t="shared" si="65"/>
        <v/>
      </c>
    </row>
    <row r="686" spans="1:25" ht="14.5" x14ac:dyDescent="0.35">
      <c r="A686" s="3"/>
      <c r="B686" s="2"/>
      <c r="C686" s="2"/>
      <c r="D686" s="4"/>
      <c r="E686" s="2"/>
      <c r="F686" s="2"/>
      <c r="G686" s="3" t="str">
        <f t="shared" si="60"/>
        <v/>
      </c>
      <c r="H686" s="3"/>
      <c r="I686" s="3"/>
      <c r="J686" s="2"/>
      <c r="K686" s="2"/>
      <c r="L686" s="2"/>
      <c r="M686" s="4"/>
      <c r="N686" s="2"/>
      <c r="O686" s="5" t="str">
        <f t="shared" ca="1" si="61"/>
        <v/>
      </c>
      <c r="P686" s="6"/>
      <c r="V686" t="str">
        <f t="shared" si="62"/>
        <v/>
      </c>
      <c r="W686" t="str">
        <f t="shared" si="63"/>
        <v/>
      </c>
      <c r="X686" t="str">
        <f t="shared" si="64"/>
        <v/>
      </c>
      <c r="Y686" t="str">
        <f t="shared" si="65"/>
        <v/>
      </c>
    </row>
    <row r="687" spans="1:25" ht="14.5" x14ac:dyDescent="0.35">
      <c r="A687" s="3"/>
      <c r="B687" s="2"/>
      <c r="C687" s="2"/>
      <c r="D687" s="4"/>
      <c r="E687" s="2"/>
      <c r="F687" s="2"/>
      <c r="G687" s="3" t="str">
        <f t="shared" si="60"/>
        <v/>
      </c>
      <c r="H687" s="3"/>
      <c r="I687" s="3"/>
      <c r="J687" s="2"/>
      <c r="K687" s="2"/>
      <c r="L687" s="2"/>
      <c r="M687" s="4"/>
      <c r="N687" s="2"/>
      <c r="O687" s="5" t="str">
        <f t="shared" ca="1" si="61"/>
        <v/>
      </c>
      <c r="P687" s="6"/>
      <c r="V687" t="str">
        <f t="shared" si="62"/>
        <v/>
      </c>
      <c r="W687" t="str">
        <f t="shared" si="63"/>
        <v/>
      </c>
      <c r="X687" t="str">
        <f t="shared" si="64"/>
        <v/>
      </c>
      <c r="Y687" t="str">
        <f t="shared" si="65"/>
        <v/>
      </c>
    </row>
    <row r="688" spans="1:25" ht="14.5" x14ac:dyDescent="0.35">
      <c r="A688" s="3"/>
      <c r="B688" s="2"/>
      <c r="C688" s="2"/>
      <c r="D688" s="4"/>
      <c r="E688" s="2"/>
      <c r="F688" s="2"/>
      <c r="G688" s="3" t="str">
        <f t="shared" si="60"/>
        <v/>
      </c>
      <c r="H688" s="3"/>
      <c r="I688" s="3"/>
      <c r="J688" s="2"/>
      <c r="K688" s="2"/>
      <c r="L688" s="2"/>
      <c r="M688" s="4"/>
      <c r="N688" s="2"/>
      <c r="O688" s="5" t="str">
        <f t="shared" ca="1" si="61"/>
        <v/>
      </c>
      <c r="P688" s="6"/>
      <c r="V688" t="str">
        <f t="shared" si="62"/>
        <v/>
      </c>
      <c r="W688" t="str">
        <f t="shared" si="63"/>
        <v/>
      </c>
      <c r="X688" t="str">
        <f t="shared" si="64"/>
        <v/>
      </c>
      <c r="Y688" t="str">
        <f t="shared" si="65"/>
        <v/>
      </c>
    </row>
    <row r="689" spans="1:25" ht="14.5" x14ac:dyDescent="0.35">
      <c r="A689" s="3"/>
      <c r="B689" s="2"/>
      <c r="C689" s="2"/>
      <c r="D689" s="4"/>
      <c r="E689" s="2"/>
      <c r="F689" s="2"/>
      <c r="G689" s="3" t="str">
        <f t="shared" si="60"/>
        <v/>
      </c>
      <c r="H689" s="3"/>
      <c r="I689" s="3"/>
      <c r="J689" s="2"/>
      <c r="K689" s="2"/>
      <c r="L689" s="2"/>
      <c r="M689" s="4"/>
      <c r="N689" s="2"/>
      <c r="O689" s="5" t="str">
        <f t="shared" ca="1" si="61"/>
        <v/>
      </c>
      <c r="P689" s="6"/>
      <c r="V689" t="str">
        <f t="shared" si="62"/>
        <v/>
      </c>
      <c r="W689" t="str">
        <f t="shared" si="63"/>
        <v/>
      </c>
      <c r="X689" t="str">
        <f t="shared" si="64"/>
        <v/>
      </c>
      <c r="Y689" t="str">
        <f t="shared" si="65"/>
        <v/>
      </c>
    </row>
    <row r="690" spans="1:25" ht="14.5" x14ac:dyDescent="0.35">
      <c r="A690" s="3"/>
      <c r="B690" s="2"/>
      <c r="C690" s="2"/>
      <c r="D690" s="4"/>
      <c r="E690" s="2"/>
      <c r="F690" s="2"/>
      <c r="G690" s="3" t="str">
        <f t="shared" si="60"/>
        <v/>
      </c>
      <c r="H690" s="3"/>
      <c r="I690" s="3"/>
      <c r="J690" s="2"/>
      <c r="K690" s="2"/>
      <c r="L690" s="2"/>
      <c r="M690" s="4"/>
      <c r="N690" s="2"/>
      <c r="O690" s="5" t="str">
        <f t="shared" ca="1" si="61"/>
        <v/>
      </c>
      <c r="P690" s="6"/>
      <c r="V690" t="str">
        <f t="shared" si="62"/>
        <v/>
      </c>
      <c r="W690" t="str">
        <f t="shared" si="63"/>
        <v/>
      </c>
      <c r="X690" t="str">
        <f t="shared" si="64"/>
        <v/>
      </c>
      <c r="Y690" t="str">
        <f t="shared" si="65"/>
        <v/>
      </c>
    </row>
    <row r="691" spans="1:25" ht="14.5" x14ac:dyDescent="0.35">
      <c r="A691" s="3"/>
      <c r="B691" s="2"/>
      <c r="C691" s="2"/>
      <c r="D691" s="4"/>
      <c r="E691" s="2"/>
      <c r="F691" s="2"/>
      <c r="G691" s="3" t="str">
        <f t="shared" si="60"/>
        <v/>
      </c>
      <c r="H691" s="3"/>
      <c r="I691" s="3"/>
      <c r="J691" s="2"/>
      <c r="K691" s="2"/>
      <c r="L691" s="2"/>
      <c r="M691" s="4"/>
      <c r="N691" s="2"/>
      <c r="O691" s="5" t="str">
        <f t="shared" ca="1" si="61"/>
        <v/>
      </c>
      <c r="P691" s="6"/>
      <c r="V691" t="str">
        <f t="shared" si="62"/>
        <v/>
      </c>
      <c r="W691" t="str">
        <f t="shared" si="63"/>
        <v/>
      </c>
      <c r="X691" t="str">
        <f t="shared" si="64"/>
        <v/>
      </c>
      <c r="Y691" t="str">
        <f t="shared" si="65"/>
        <v/>
      </c>
    </row>
    <row r="692" spans="1:25" ht="14.5" x14ac:dyDescent="0.35">
      <c r="A692" s="3"/>
      <c r="B692" s="2"/>
      <c r="C692" s="2"/>
      <c r="D692" s="4"/>
      <c r="E692" s="2"/>
      <c r="F692" s="2"/>
      <c r="G692" s="3" t="str">
        <f t="shared" si="60"/>
        <v/>
      </c>
      <c r="H692" s="3"/>
      <c r="I692" s="3"/>
      <c r="J692" s="2"/>
      <c r="K692" s="2"/>
      <c r="L692" s="2"/>
      <c r="M692" s="4"/>
      <c r="N692" s="2"/>
      <c r="O692" s="5" t="str">
        <f t="shared" ca="1" si="61"/>
        <v/>
      </c>
      <c r="P692" s="6"/>
      <c r="V692" t="str">
        <f t="shared" si="62"/>
        <v/>
      </c>
      <c r="W692" t="str">
        <f t="shared" si="63"/>
        <v/>
      </c>
      <c r="X692" t="str">
        <f t="shared" si="64"/>
        <v/>
      </c>
      <c r="Y692" t="str">
        <f t="shared" si="65"/>
        <v/>
      </c>
    </row>
    <row r="693" spans="1:25" ht="14.5" x14ac:dyDescent="0.35">
      <c r="A693" s="3"/>
      <c r="B693" s="2"/>
      <c r="C693" s="2"/>
      <c r="D693" s="4"/>
      <c r="E693" s="2"/>
      <c r="F693" s="2"/>
      <c r="G693" s="3" t="str">
        <f t="shared" si="60"/>
        <v/>
      </c>
      <c r="H693" s="3"/>
      <c r="I693" s="3"/>
      <c r="J693" s="2"/>
      <c r="K693" s="2"/>
      <c r="L693" s="2"/>
      <c r="M693" s="4"/>
      <c r="N693" s="2"/>
      <c r="O693" s="5" t="str">
        <f t="shared" ca="1" si="61"/>
        <v/>
      </c>
      <c r="P693" s="6"/>
      <c r="V693" t="str">
        <f t="shared" si="62"/>
        <v/>
      </c>
      <c r="W693" t="str">
        <f t="shared" si="63"/>
        <v/>
      </c>
      <c r="X693" t="str">
        <f t="shared" si="64"/>
        <v/>
      </c>
      <c r="Y693" t="str">
        <f t="shared" si="65"/>
        <v/>
      </c>
    </row>
    <row r="694" spans="1:25" ht="14.5" x14ac:dyDescent="0.35">
      <c r="A694" s="3"/>
      <c r="B694" s="2"/>
      <c r="C694" s="2"/>
      <c r="D694" s="4"/>
      <c r="E694" s="2"/>
      <c r="F694" s="2"/>
      <c r="G694" s="3" t="str">
        <f t="shared" si="60"/>
        <v/>
      </c>
      <c r="H694" s="3"/>
      <c r="I694" s="3"/>
      <c r="J694" s="2"/>
      <c r="K694" s="2"/>
      <c r="L694" s="2"/>
      <c r="M694" s="4"/>
      <c r="N694" s="2"/>
      <c r="O694" s="5" t="str">
        <f t="shared" ca="1" si="61"/>
        <v/>
      </c>
      <c r="P694" s="6"/>
      <c r="V694" t="str">
        <f t="shared" si="62"/>
        <v/>
      </c>
      <c r="W694" t="str">
        <f t="shared" si="63"/>
        <v/>
      </c>
      <c r="X694" t="str">
        <f t="shared" si="64"/>
        <v/>
      </c>
      <c r="Y694" t="str">
        <f t="shared" si="65"/>
        <v/>
      </c>
    </row>
    <row r="695" spans="1:25" ht="14.5" x14ac:dyDescent="0.35">
      <c r="A695" s="3"/>
      <c r="B695" s="2"/>
      <c r="C695" s="2"/>
      <c r="D695" s="4"/>
      <c r="E695" s="2"/>
      <c r="F695" s="2"/>
      <c r="G695" s="3" t="str">
        <f t="shared" si="60"/>
        <v/>
      </c>
      <c r="H695" s="3"/>
      <c r="I695" s="3"/>
      <c r="J695" s="2"/>
      <c r="K695" s="2"/>
      <c r="L695" s="2"/>
      <c r="M695" s="4"/>
      <c r="N695" s="2"/>
      <c r="O695" s="5" t="str">
        <f t="shared" ca="1" si="61"/>
        <v/>
      </c>
      <c r="P695" s="6"/>
      <c r="V695" t="str">
        <f t="shared" si="62"/>
        <v/>
      </c>
      <c r="W695" t="str">
        <f t="shared" si="63"/>
        <v/>
      </c>
      <c r="X695" t="str">
        <f t="shared" si="64"/>
        <v/>
      </c>
      <c r="Y695" t="str">
        <f t="shared" si="65"/>
        <v/>
      </c>
    </row>
    <row r="696" spans="1:25" ht="14.5" x14ac:dyDescent="0.35">
      <c r="A696" s="3"/>
      <c r="B696" s="2"/>
      <c r="C696" s="2"/>
      <c r="D696" s="4"/>
      <c r="E696" s="2"/>
      <c r="F696" s="2"/>
      <c r="G696" s="3" t="str">
        <f t="shared" si="60"/>
        <v/>
      </c>
      <c r="H696" s="3"/>
      <c r="I696" s="3"/>
      <c r="J696" s="2"/>
      <c r="K696" s="2"/>
      <c r="L696" s="2"/>
      <c r="M696" s="4"/>
      <c r="N696" s="2"/>
      <c r="O696" s="5" t="str">
        <f t="shared" ca="1" si="61"/>
        <v/>
      </c>
      <c r="P696" s="6"/>
      <c r="V696" t="str">
        <f t="shared" si="62"/>
        <v/>
      </c>
      <c r="W696" t="str">
        <f t="shared" si="63"/>
        <v/>
      </c>
      <c r="X696" t="str">
        <f t="shared" si="64"/>
        <v/>
      </c>
      <c r="Y696" t="str">
        <f t="shared" si="65"/>
        <v/>
      </c>
    </row>
    <row r="697" spans="1:25" ht="14.5" x14ac:dyDescent="0.35">
      <c r="A697" s="3"/>
      <c r="B697" s="2"/>
      <c r="C697" s="2"/>
      <c r="D697" s="4"/>
      <c r="E697" s="2"/>
      <c r="F697" s="2"/>
      <c r="G697" s="3" t="str">
        <f t="shared" si="60"/>
        <v/>
      </c>
      <c r="H697" s="3"/>
      <c r="I697" s="3"/>
      <c r="J697" s="2"/>
      <c r="K697" s="2"/>
      <c r="L697" s="2"/>
      <c r="M697" s="4"/>
      <c r="N697" s="2"/>
      <c r="O697" s="5" t="str">
        <f t="shared" ca="1" si="61"/>
        <v/>
      </c>
      <c r="P697" s="6"/>
      <c r="V697" t="str">
        <f t="shared" si="62"/>
        <v/>
      </c>
      <c r="W697" t="str">
        <f t="shared" si="63"/>
        <v/>
      </c>
      <c r="X697" t="str">
        <f t="shared" si="64"/>
        <v/>
      </c>
      <c r="Y697" t="str">
        <f t="shared" si="65"/>
        <v/>
      </c>
    </row>
    <row r="698" spans="1:25" ht="14.5" x14ac:dyDescent="0.35">
      <c r="A698" s="3"/>
      <c r="B698" s="2"/>
      <c r="C698" s="2"/>
      <c r="D698" s="4"/>
      <c r="E698" s="2"/>
      <c r="F698" s="2"/>
      <c r="G698" s="3" t="str">
        <f t="shared" si="60"/>
        <v/>
      </c>
      <c r="H698" s="3"/>
      <c r="I698" s="3"/>
      <c r="J698" s="2"/>
      <c r="K698" s="2"/>
      <c r="L698" s="2"/>
      <c r="M698" s="4"/>
      <c r="N698" s="2"/>
      <c r="O698" s="5" t="str">
        <f t="shared" ca="1" si="61"/>
        <v/>
      </c>
      <c r="P698" s="6"/>
      <c r="V698" t="str">
        <f t="shared" si="62"/>
        <v/>
      </c>
      <c r="W698" t="str">
        <f t="shared" si="63"/>
        <v/>
      </c>
      <c r="X698" t="str">
        <f t="shared" si="64"/>
        <v/>
      </c>
      <c r="Y698" t="str">
        <f t="shared" si="65"/>
        <v/>
      </c>
    </row>
    <row r="699" spans="1:25" ht="14.5" x14ac:dyDescent="0.35">
      <c r="A699" s="3"/>
      <c r="B699" s="2"/>
      <c r="C699" s="2"/>
      <c r="D699" s="4"/>
      <c r="E699" s="2"/>
      <c r="F699" s="2"/>
      <c r="G699" s="3" t="str">
        <f t="shared" si="60"/>
        <v/>
      </c>
      <c r="H699" s="3"/>
      <c r="I699" s="3"/>
      <c r="J699" s="2"/>
      <c r="K699" s="2"/>
      <c r="L699" s="2"/>
      <c r="M699" s="4"/>
      <c r="N699" s="2"/>
      <c r="O699" s="5" t="str">
        <f t="shared" ca="1" si="61"/>
        <v/>
      </c>
      <c r="P699" s="6"/>
      <c r="V699" t="str">
        <f t="shared" si="62"/>
        <v/>
      </c>
      <c r="W699" t="str">
        <f t="shared" si="63"/>
        <v/>
      </c>
      <c r="X699" t="str">
        <f t="shared" si="64"/>
        <v/>
      </c>
      <c r="Y699" t="str">
        <f t="shared" si="65"/>
        <v/>
      </c>
    </row>
    <row r="700" spans="1:25" ht="14.5" x14ac:dyDescent="0.35">
      <c r="A700" s="3"/>
      <c r="B700" s="2"/>
      <c r="C700" s="2"/>
      <c r="D700" s="4"/>
      <c r="E700" s="2"/>
      <c r="F700" s="2"/>
      <c r="G700" s="3" t="str">
        <f t="shared" si="60"/>
        <v/>
      </c>
      <c r="H700" s="3"/>
      <c r="I700" s="3"/>
      <c r="J700" s="2"/>
      <c r="K700" s="2"/>
      <c r="L700" s="2"/>
      <c r="M700" s="4"/>
      <c r="N700" s="2"/>
      <c r="O700" s="5" t="str">
        <f t="shared" ca="1" si="61"/>
        <v/>
      </c>
      <c r="P700" s="6"/>
      <c r="V700" t="str">
        <f t="shared" si="62"/>
        <v/>
      </c>
      <c r="W700" t="str">
        <f t="shared" si="63"/>
        <v/>
      </c>
      <c r="X700" t="str">
        <f t="shared" si="64"/>
        <v/>
      </c>
      <c r="Y700" t="str">
        <f t="shared" si="65"/>
        <v/>
      </c>
    </row>
    <row r="701" spans="1:25" ht="14.5" x14ac:dyDescent="0.35">
      <c r="A701" s="3"/>
      <c r="B701" s="2"/>
      <c r="C701" s="2"/>
      <c r="D701" s="4"/>
      <c r="E701" s="2"/>
      <c r="F701" s="2"/>
      <c r="G701" s="3" t="str">
        <f t="shared" si="60"/>
        <v/>
      </c>
      <c r="H701" s="3"/>
      <c r="I701" s="3"/>
      <c r="J701" s="2"/>
      <c r="K701" s="2"/>
      <c r="L701" s="2"/>
      <c r="M701" s="4"/>
      <c r="N701" s="2"/>
      <c r="O701" s="5" t="str">
        <f t="shared" ca="1" si="61"/>
        <v/>
      </c>
      <c r="P701" s="6"/>
      <c r="V701" t="str">
        <f t="shared" si="62"/>
        <v/>
      </c>
      <c r="W701" t="str">
        <f t="shared" si="63"/>
        <v/>
      </c>
      <c r="X701" t="str">
        <f t="shared" si="64"/>
        <v/>
      </c>
      <c r="Y701" t="str">
        <f t="shared" si="65"/>
        <v/>
      </c>
    </row>
    <row r="702" spans="1:25" ht="14.5" x14ac:dyDescent="0.35">
      <c r="A702" s="3"/>
      <c r="B702" s="2"/>
      <c r="C702" s="2"/>
      <c r="D702" s="4"/>
      <c r="E702" s="2"/>
      <c r="F702" s="2"/>
      <c r="G702" s="3" t="str">
        <f t="shared" si="60"/>
        <v/>
      </c>
      <c r="H702" s="3"/>
      <c r="I702" s="3"/>
      <c r="J702" s="2"/>
      <c r="K702" s="2"/>
      <c r="L702" s="2"/>
      <c r="M702" s="4"/>
      <c r="N702" s="2"/>
      <c r="O702" s="5" t="str">
        <f t="shared" ca="1" si="61"/>
        <v/>
      </c>
      <c r="P702" s="6"/>
      <c r="V702" t="str">
        <f t="shared" si="62"/>
        <v/>
      </c>
      <c r="W702" t="str">
        <f t="shared" si="63"/>
        <v/>
      </c>
      <c r="X702" t="str">
        <f t="shared" si="64"/>
        <v/>
      </c>
      <c r="Y702" t="str">
        <f t="shared" si="65"/>
        <v/>
      </c>
    </row>
    <row r="703" spans="1:25" ht="14.5" x14ac:dyDescent="0.35">
      <c r="A703" s="3"/>
      <c r="B703" s="2"/>
      <c r="C703" s="2"/>
      <c r="D703" s="4"/>
      <c r="E703" s="2"/>
      <c r="F703" s="2"/>
      <c r="G703" s="3" t="str">
        <f t="shared" si="60"/>
        <v/>
      </c>
      <c r="H703" s="3"/>
      <c r="I703" s="3"/>
      <c r="J703" s="2"/>
      <c r="K703" s="2"/>
      <c r="L703" s="2"/>
      <c r="M703" s="4"/>
      <c r="N703" s="2"/>
      <c r="O703" s="5" t="str">
        <f t="shared" ca="1" si="61"/>
        <v/>
      </c>
      <c r="P703" s="6"/>
      <c r="V703" t="str">
        <f t="shared" si="62"/>
        <v/>
      </c>
      <c r="W703" t="str">
        <f t="shared" si="63"/>
        <v/>
      </c>
      <c r="X703" t="str">
        <f t="shared" si="64"/>
        <v/>
      </c>
      <c r="Y703" t="str">
        <f t="shared" si="65"/>
        <v/>
      </c>
    </row>
    <row r="704" spans="1:25" ht="14.5" x14ac:dyDescent="0.35">
      <c r="A704" s="3"/>
      <c r="B704" s="2"/>
      <c r="C704" s="2"/>
      <c r="D704" s="4"/>
      <c r="E704" s="2"/>
      <c r="F704" s="2"/>
      <c r="G704" s="3" t="str">
        <f t="shared" si="60"/>
        <v/>
      </c>
      <c r="H704" s="3"/>
      <c r="I704" s="3"/>
      <c r="J704" s="2"/>
      <c r="K704" s="2"/>
      <c r="L704" s="2"/>
      <c r="M704" s="4"/>
      <c r="N704" s="2"/>
      <c r="O704" s="5" t="str">
        <f t="shared" ca="1" si="61"/>
        <v/>
      </c>
      <c r="P704" s="6"/>
      <c r="V704" t="str">
        <f t="shared" si="62"/>
        <v/>
      </c>
      <c r="W704" t="str">
        <f t="shared" si="63"/>
        <v/>
      </c>
      <c r="X704" t="str">
        <f t="shared" si="64"/>
        <v/>
      </c>
      <c r="Y704" t="str">
        <f t="shared" si="65"/>
        <v/>
      </c>
    </row>
    <row r="705" spans="1:25" ht="14.5" x14ac:dyDescent="0.35">
      <c r="A705" s="3"/>
      <c r="B705" s="2"/>
      <c r="C705" s="2"/>
      <c r="D705" s="4"/>
      <c r="E705" s="2"/>
      <c r="F705" s="2"/>
      <c r="G705" s="3" t="str">
        <f t="shared" si="60"/>
        <v/>
      </c>
      <c r="H705" s="3"/>
      <c r="I705" s="3"/>
      <c r="J705" s="2"/>
      <c r="K705" s="2"/>
      <c r="L705" s="2"/>
      <c r="M705" s="4"/>
      <c r="N705" s="2"/>
      <c r="O705" s="5" t="str">
        <f t="shared" ca="1" si="61"/>
        <v/>
      </c>
      <c r="P705" s="6"/>
      <c r="V705" t="str">
        <f t="shared" si="62"/>
        <v/>
      </c>
      <c r="W705" t="str">
        <f t="shared" si="63"/>
        <v/>
      </c>
      <c r="X705" t="str">
        <f t="shared" si="64"/>
        <v/>
      </c>
      <c r="Y705" t="str">
        <f t="shared" si="65"/>
        <v/>
      </c>
    </row>
    <row r="706" spans="1:25" ht="14.5" x14ac:dyDescent="0.35">
      <c r="A706" s="3"/>
      <c r="B706" s="2"/>
      <c r="C706" s="2"/>
      <c r="D706" s="4"/>
      <c r="E706" s="2"/>
      <c r="F706" s="2"/>
      <c r="G706" s="3" t="str">
        <f t="shared" ref="G706:G769" si="66">IF(COUNTIF($A$2:$A$1500,A706&amp;".*")=0,"",COUNTIF($A$2:$A$1500,A706&amp;".*"))</f>
        <v/>
      </c>
      <c r="H706" s="3"/>
      <c r="I706" s="3"/>
      <c r="J706" s="2"/>
      <c r="K706" s="2"/>
      <c r="L706" s="2"/>
      <c r="M706" s="4"/>
      <c r="N706" s="2"/>
      <c r="O706" s="5" t="str">
        <f t="shared" ref="O706:O769" ca="1" si="67">IF(M706="","",INT(M706)-TODAY())</f>
        <v/>
      </c>
      <c r="P706" s="6"/>
      <c r="V706" t="str">
        <f t="shared" ref="V706:V769" si="68">IF(M706="","",M706+Q706/1000000)</f>
        <v/>
      </c>
      <c r="W706" t="str">
        <f t="shared" ref="W706:W769" si="69">IF(U706="","",IF(M706="",9999999+Q706/1000000,M706+Q706/1000000))</f>
        <v/>
      </c>
      <c r="X706" t="str">
        <f t="shared" ref="X706:X769" si="70">IF(U706="","",SUMPRODUCT(($U$2:$U$1500=U706)*($W$2:$W$1500&lt;=W706)))</f>
        <v/>
      </c>
      <c r="Y706" t="str">
        <f t="shared" ref="Y706:Y769" si="71">IF(U706="","",U706&amp;"|"&amp;X706)</f>
        <v/>
      </c>
    </row>
    <row r="707" spans="1:25" ht="14.5" x14ac:dyDescent="0.35">
      <c r="A707" s="3"/>
      <c r="B707" s="2"/>
      <c r="C707" s="2"/>
      <c r="D707" s="4"/>
      <c r="E707" s="2"/>
      <c r="F707" s="2"/>
      <c r="G707" s="3" t="str">
        <f t="shared" si="66"/>
        <v/>
      </c>
      <c r="H707" s="3"/>
      <c r="I707" s="3"/>
      <c r="J707" s="2"/>
      <c r="K707" s="2"/>
      <c r="L707" s="2"/>
      <c r="M707" s="4"/>
      <c r="N707" s="2"/>
      <c r="O707" s="5" t="str">
        <f t="shared" ca="1" si="67"/>
        <v/>
      </c>
      <c r="P707" s="6"/>
      <c r="V707" t="str">
        <f t="shared" si="68"/>
        <v/>
      </c>
      <c r="W707" t="str">
        <f t="shared" si="69"/>
        <v/>
      </c>
      <c r="X707" t="str">
        <f t="shared" si="70"/>
        <v/>
      </c>
      <c r="Y707" t="str">
        <f t="shared" si="71"/>
        <v/>
      </c>
    </row>
    <row r="708" spans="1:25" ht="14.5" x14ac:dyDescent="0.35">
      <c r="A708" s="3"/>
      <c r="B708" s="2"/>
      <c r="C708" s="2"/>
      <c r="D708" s="4"/>
      <c r="E708" s="2"/>
      <c r="F708" s="2"/>
      <c r="G708" s="3" t="str">
        <f t="shared" si="66"/>
        <v/>
      </c>
      <c r="H708" s="3"/>
      <c r="I708" s="3"/>
      <c r="J708" s="2"/>
      <c r="K708" s="2"/>
      <c r="L708" s="2"/>
      <c r="M708" s="4"/>
      <c r="N708" s="2"/>
      <c r="O708" s="5" t="str">
        <f t="shared" ca="1" si="67"/>
        <v/>
      </c>
      <c r="P708" s="6"/>
      <c r="V708" t="str">
        <f t="shared" si="68"/>
        <v/>
      </c>
      <c r="W708" t="str">
        <f t="shared" si="69"/>
        <v/>
      </c>
      <c r="X708" t="str">
        <f t="shared" si="70"/>
        <v/>
      </c>
      <c r="Y708" t="str">
        <f t="shared" si="71"/>
        <v/>
      </c>
    </row>
    <row r="709" spans="1:25" ht="14.5" x14ac:dyDescent="0.35">
      <c r="A709" s="3"/>
      <c r="B709" s="2"/>
      <c r="C709" s="2"/>
      <c r="D709" s="4"/>
      <c r="E709" s="2"/>
      <c r="F709" s="2"/>
      <c r="G709" s="3" t="str">
        <f t="shared" si="66"/>
        <v/>
      </c>
      <c r="H709" s="3"/>
      <c r="I709" s="3"/>
      <c r="J709" s="2"/>
      <c r="K709" s="2"/>
      <c r="L709" s="2"/>
      <c r="M709" s="4"/>
      <c r="N709" s="2"/>
      <c r="O709" s="5" t="str">
        <f t="shared" ca="1" si="67"/>
        <v/>
      </c>
      <c r="P709" s="6"/>
      <c r="V709" t="str">
        <f t="shared" si="68"/>
        <v/>
      </c>
      <c r="W709" t="str">
        <f t="shared" si="69"/>
        <v/>
      </c>
      <c r="X709" t="str">
        <f t="shared" si="70"/>
        <v/>
      </c>
      <c r="Y709" t="str">
        <f t="shared" si="71"/>
        <v/>
      </c>
    </row>
    <row r="710" spans="1:25" ht="14.5" x14ac:dyDescent="0.35">
      <c r="A710" s="3"/>
      <c r="B710" s="2"/>
      <c r="C710" s="2"/>
      <c r="D710" s="4"/>
      <c r="E710" s="2"/>
      <c r="F710" s="2"/>
      <c r="G710" s="3" t="str">
        <f t="shared" si="66"/>
        <v/>
      </c>
      <c r="H710" s="3"/>
      <c r="I710" s="3"/>
      <c r="J710" s="2"/>
      <c r="K710" s="2"/>
      <c r="L710" s="2"/>
      <c r="M710" s="4"/>
      <c r="N710" s="2"/>
      <c r="O710" s="5" t="str">
        <f t="shared" ca="1" si="67"/>
        <v/>
      </c>
      <c r="P710" s="6"/>
      <c r="V710" t="str">
        <f t="shared" si="68"/>
        <v/>
      </c>
      <c r="W710" t="str">
        <f t="shared" si="69"/>
        <v/>
      </c>
      <c r="X710" t="str">
        <f t="shared" si="70"/>
        <v/>
      </c>
      <c r="Y710" t="str">
        <f t="shared" si="71"/>
        <v/>
      </c>
    </row>
    <row r="711" spans="1:25" ht="14.5" x14ac:dyDescent="0.35">
      <c r="A711" s="3"/>
      <c r="B711" s="2"/>
      <c r="C711" s="2"/>
      <c r="D711" s="4"/>
      <c r="E711" s="2"/>
      <c r="F711" s="2"/>
      <c r="G711" s="3" t="str">
        <f t="shared" si="66"/>
        <v/>
      </c>
      <c r="H711" s="3"/>
      <c r="I711" s="3"/>
      <c r="J711" s="2"/>
      <c r="K711" s="2"/>
      <c r="L711" s="2"/>
      <c r="M711" s="4"/>
      <c r="N711" s="2"/>
      <c r="O711" s="5" t="str">
        <f t="shared" ca="1" si="67"/>
        <v/>
      </c>
      <c r="P711" s="6"/>
      <c r="V711" t="str">
        <f t="shared" si="68"/>
        <v/>
      </c>
      <c r="W711" t="str">
        <f t="shared" si="69"/>
        <v/>
      </c>
      <c r="X711" t="str">
        <f t="shared" si="70"/>
        <v/>
      </c>
      <c r="Y711" t="str">
        <f t="shared" si="71"/>
        <v/>
      </c>
    </row>
    <row r="712" spans="1:25" ht="14.5" x14ac:dyDescent="0.35">
      <c r="A712" s="3"/>
      <c r="B712" s="2"/>
      <c r="C712" s="2"/>
      <c r="D712" s="4"/>
      <c r="E712" s="2"/>
      <c r="F712" s="2"/>
      <c r="G712" s="3" t="str">
        <f t="shared" si="66"/>
        <v/>
      </c>
      <c r="H712" s="3"/>
      <c r="I712" s="3"/>
      <c r="J712" s="2"/>
      <c r="K712" s="2"/>
      <c r="L712" s="2"/>
      <c r="M712" s="4"/>
      <c r="N712" s="2"/>
      <c r="O712" s="5" t="str">
        <f t="shared" ca="1" si="67"/>
        <v/>
      </c>
      <c r="P712" s="6"/>
      <c r="V712" t="str">
        <f t="shared" si="68"/>
        <v/>
      </c>
      <c r="W712" t="str">
        <f t="shared" si="69"/>
        <v/>
      </c>
      <c r="X712" t="str">
        <f t="shared" si="70"/>
        <v/>
      </c>
      <c r="Y712" t="str">
        <f t="shared" si="71"/>
        <v/>
      </c>
    </row>
    <row r="713" spans="1:25" ht="14.5" x14ac:dyDescent="0.35">
      <c r="A713" s="3"/>
      <c r="B713" s="2"/>
      <c r="C713" s="2"/>
      <c r="D713" s="4"/>
      <c r="E713" s="2"/>
      <c r="F713" s="2"/>
      <c r="G713" s="3" t="str">
        <f t="shared" si="66"/>
        <v/>
      </c>
      <c r="H713" s="3"/>
      <c r="I713" s="3"/>
      <c r="J713" s="2"/>
      <c r="K713" s="2"/>
      <c r="L713" s="2"/>
      <c r="M713" s="4"/>
      <c r="N713" s="2"/>
      <c r="O713" s="5" t="str">
        <f t="shared" ca="1" si="67"/>
        <v/>
      </c>
      <c r="P713" s="6"/>
      <c r="V713" t="str">
        <f t="shared" si="68"/>
        <v/>
      </c>
      <c r="W713" t="str">
        <f t="shared" si="69"/>
        <v/>
      </c>
      <c r="X713" t="str">
        <f t="shared" si="70"/>
        <v/>
      </c>
      <c r="Y713" t="str">
        <f t="shared" si="71"/>
        <v/>
      </c>
    </row>
    <row r="714" spans="1:25" ht="14.5" x14ac:dyDescent="0.35">
      <c r="A714" s="3"/>
      <c r="B714" s="2"/>
      <c r="C714" s="2"/>
      <c r="D714" s="4"/>
      <c r="E714" s="2"/>
      <c r="F714" s="2"/>
      <c r="G714" s="3" t="str">
        <f t="shared" si="66"/>
        <v/>
      </c>
      <c r="H714" s="3"/>
      <c r="I714" s="3"/>
      <c r="J714" s="2"/>
      <c r="K714" s="2"/>
      <c r="L714" s="2"/>
      <c r="M714" s="4"/>
      <c r="N714" s="2"/>
      <c r="O714" s="5" t="str">
        <f t="shared" ca="1" si="67"/>
        <v/>
      </c>
      <c r="P714" s="6"/>
      <c r="V714" t="str">
        <f t="shared" si="68"/>
        <v/>
      </c>
      <c r="W714" t="str">
        <f t="shared" si="69"/>
        <v/>
      </c>
      <c r="X714" t="str">
        <f t="shared" si="70"/>
        <v/>
      </c>
      <c r="Y714" t="str">
        <f t="shared" si="71"/>
        <v/>
      </c>
    </row>
    <row r="715" spans="1:25" ht="14.5" x14ac:dyDescent="0.35">
      <c r="A715" s="3"/>
      <c r="B715" s="2"/>
      <c r="C715" s="2"/>
      <c r="D715" s="4"/>
      <c r="E715" s="2"/>
      <c r="F715" s="2"/>
      <c r="G715" s="3" t="str">
        <f t="shared" si="66"/>
        <v/>
      </c>
      <c r="H715" s="3"/>
      <c r="I715" s="3"/>
      <c r="J715" s="2"/>
      <c r="K715" s="2"/>
      <c r="L715" s="2"/>
      <c r="M715" s="4"/>
      <c r="N715" s="2"/>
      <c r="O715" s="5" t="str">
        <f t="shared" ca="1" si="67"/>
        <v/>
      </c>
      <c r="P715" s="6"/>
      <c r="V715" t="str">
        <f t="shared" si="68"/>
        <v/>
      </c>
      <c r="W715" t="str">
        <f t="shared" si="69"/>
        <v/>
      </c>
      <c r="X715" t="str">
        <f t="shared" si="70"/>
        <v/>
      </c>
      <c r="Y715" t="str">
        <f t="shared" si="71"/>
        <v/>
      </c>
    </row>
    <row r="716" spans="1:25" ht="14.5" x14ac:dyDescent="0.35">
      <c r="A716" s="3"/>
      <c r="B716" s="2"/>
      <c r="C716" s="2"/>
      <c r="D716" s="4"/>
      <c r="E716" s="2"/>
      <c r="F716" s="2"/>
      <c r="G716" s="3" t="str">
        <f t="shared" si="66"/>
        <v/>
      </c>
      <c r="H716" s="3"/>
      <c r="I716" s="3"/>
      <c r="J716" s="2"/>
      <c r="K716" s="2"/>
      <c r="L716" s="2"/>
      <c r="M716" s="4"/>
      <c r="N716" s="2"/>
      <c r="O716" s="5" t="str">
        <f t="shared" ca="1" si="67"/>
        <v/>
      </c>
      <c r="P716" s="6"/>
      <c r="V716" t="str">
        <f t="shared" si="68"/>
        <v/>
      </c>
      <c r="W716" t="str">
        <f t="shared" si="69"/>
        <v/>
      </c>
      <c r="X716" t="str">
        <f t="shared" si="70"/>
        <v/>
      </c>
      <c r="Y716" t="str">
        <f t="shared" si="71"/>
        <v/>
      </c>
    </row>
    <row r="717" spans="1:25" ht="14.5" x14ac:dyDescent="0.35">
      <c r="A717" s="3"/>
      <c r="B717" s="2"/>
      <c r="C717" s="2"/>
      <c r="D717" s="4"/>
      <c r="E717" s="2"/>
      <c r="F717" s="2"/>
      <c r="G717" s="3" t="str">
        <f t="shared" si="66"/>
        <v/>
      </c>
      <c r="H717" s="3"/>
      <c r="I717" s="3"/>
      <c r="J717" s="2"/>
      <c r="K717" s="2"/>
      <c r="L717" s="2"/>
      <c r="M717" s="4"/>
      <c r="N717" s="2"/>
      <c r="O717" s="5" t="str">
        <f t="shared" ca="1" si="67"/>
        <v/>
      </c>
      <c r="P717" s="6"/>
      <c r="V717" t="str">
        <f t="shared" si="68"/>
        <v/>
      </c>
      <c r="W717" t="str">
        <f t="shared" si="69"/>
        <v/>
      </c>
      <c r="X717" t="str">
        <f t="shared" si="70"/>
        <v/>
      </c>
      <c r="Y717" t="str">
        <f t="shared" si="71"/>
        <v/>
      </c>
    </row>
    <row r="718" spans="1:25" ht="14.5" x14ac:dyDescent="0.35">
      <c r="A718" s="3"/>
      <c r="B718" s="2"/>
      <c r="C718" s="2"/>
      <c r="D718" s="4"/>
      <c r="E718" s="2"/>
      <c r="F718" s="2"/>
      <c r="G718" s="3" t="str">
        <f t="shared" si="66"/>
        <v/>
      </c>
      <c r="H718" s="3"/>
      <c r="I718" s="3"/>
      <c r="J718" s="2"/>
      <c r="K718" s="2"/>
      <c r="L718" s="2"/>
      <c r="M718" s="4"/>
      <c r="N718" s="2"/>
      <c r="O718" s="5" t="str">
        <f t="shared" ca="1" si="67"/>
        <v/>
      </c>
      <c r="P718" s="6"/>
      <c r="V718" t="str">
        <f t="shared" si="68"/>
        <v/>
      </c>
      <c r="W718" t="str">
        <f t="shared" si="69"/>
        <v/>
      </c>
      <c r="X718" t="str">
        <f t="shared" si="70"/>
        <v/>
      </c>
      <c r="Y718" t="str">
        <f t="shared" si="71"/>
        <v/>
      </c>
    </row>
    <row r="719" spans="1:25" ht="14.5" x14ac:dyDescent="0.35">
      <c r="A719" s="3"/>
      <c r="B719" s="2"/>
      <c r="C719" s="2"/>
      <c r="D719" s="4"/>
      <c r="E719" s="2"/>
      <c r="F719" s="2"/>
      <c r="G719" s="3" t="str">
        <f t="shared" si="66"/>
        <v/>
      </c>
      <c r="H719" s="3"/>
      <c r="I719" s="3"/>
      <c r="J719" s="2"/>
      <c r="K719" s="2"/>
      <c r="L719" s="2"/>
      <c r="M719" s="4"/>
      <c r="N719" s="2"/>
      <c r="O719" s="5" t="str">
        <f t="shared" ca="1" si="67"/>
        <v/>
      </c>
      <c r="P719" s="6"/>
      <c r="V719" t="str">
        <f t="shared" si="68"/>
        <v/>
      </c>
      <c r="W719" t="str">
        <f t="shared" si="69"/>
        <v/>
      </c>
      <c r="X719" t="str">
        <f t="shared" si="70"/>
        <v/>
      </c>
      <c r="Y719" t="str">
        <f t="shared" si="71"/>
        <v/>
      </c>
    </row>
    <row r="720" spans="1:25" ht="14.5" x14ac:dyDescent="0.35">
      <c r="A720" s="3"/>
      <c r="B720" s="2"/>
      <c r="C720" s="2"/>
      <c r="D720" s="4"/>
      <c r="E720" s="2"/>
      <c r="F720" s="2"/>
      <c r="G720" s="3" t="str">
        <f t="shared" si="66"/>
        <v/>
      </c>
      <c r="H720" s="3"/>
      <c r="I720" s="3"/>
      <c r="J720" s="2"/>
      <c r="K720" s="2"/>
      <c r="L720" s="2"/>
      <c r="M720" s="4"/>
      <c r="N720" s="2"/>
      <c r="O720" s="5" t="str">
        <f t="shared" ca="1" si="67"/>
        <v/>
      </c>
      <c r="P720" s="6"/>
      <c r="V720" t="str">
        <f t="shared" si="68"/>
        <v/>
      </c>
      <c r="W720" t="str">
        <f t="shared" si="69"/>
        <v/>
      </c>
      <c r="X720" t="str">
        <f t="shared" si="70"/>
        <v/>
      </c>
      <c r="Y720" t="str">
        <f t="shared" si="71"/>
        <v/>
      </c>
    </row>
    <row r="721" spans="1:25" ht="14.5" x14ac:dyDescent="0.35">
      <c r="A721" s="3"/>
      <c r="B721" s="2"/>
      <c r="C721" s="2"/>
      <c r="D721" s="4"/>
      <c r="E721" s="2"/>
      <c r="F721" s="2"/>
      <c r="G721" s="3" t="str">
        <f t="shared" si="66"/>
        <v/>
      </c>
      <c r="H721" s="3"/>
      <c r="I721" s="3"/>
      <c r="J721" s="2"/>
      <c r="K721" s="2"/>
      <c r="L721" s="2"/>
      <c r="M721" s="4"/>
      <c r="N721" s="2"/>
      <c r="O721" s="5" t="str">
        <f t="shared" ca="1" si="67"/>
        <v/>
      </c>
      <c r="P721" s="6"/>
      <c r="V721" t="str">
        <f t="shared" si="68"/>
        <v/>
      </c>
      <c r="W721" t="str">
        <f t="shared" si="69"/>
        <v/>
      </c>
      <c r="X721" t="str">
        <f t="shared" si="70"/>
        <v/>
      </c>
      <c r="Y721" t="str">
        <f t="shared" si="71"/>
        <v/>
      </c>
    </row>
    <row r="722" spans="1:25" ht="14.5" x14ac:dyDescent="0.35">
      <c r="A722" s="3"/>
      <c r="B722" s="2"/>
      <c r="C722" s="2"/>
      <c r="D722" s="4"/>
      <c r="E722" s="2"/>
      <c r="F722" s="2"/>
      <c r="G722" s="3" t="str">
        <f t="shared" si="66"/>
        <v/>
      </c>
      <c r="H722" s="3"/>
      <c r="I722" s="3"/>
      <c r="J722" s="2"/>
      <c r="K722" s="2"/>
      <c r="L722" s="2"/>
      <c r="M722" s="4"/>
      <c r="N722" s="2"/>
      <c r="O722" s="5" t="str">
        <f t="shared" ca="1" si="67"/>
        <v/>
      </c>
      <c r="P722" s="6"/>
      <c r="V722" t="str">
        <f t="shared" si="68"/>
        <v/>
      </c>
      <c r="W722" t="str">
        <f t="shared" si="69"/>
        <v/>
      </c>
      <c r="X722" t="str">
        <f t="shared" si="70"/>
        <v/>
      </c>
      <c r="Y722" t="str">
        <f t="shared" si="71"/>
        <v/>
      </c>
    </row>
    <row r="723" spans="1:25" ht="14.5" x14ac:dyDescent="0.35">
      <c r="A723" s="3"/>
      <c r="B723" s="2"/>
      <c r="C723" s="2"/>
      <c r="D723" s="4"/>
      <c r="E723" s="2"/>
      <c r="F723" s="2"/>
      <c r="G723" s="3" t="str">
        <f t="shared" si="66"/>
        <v/>
      </c>
      <c r="H723" s="3"/>
      <c r="I723" s="3"/>
      <c r="J723" s="2"/>
      <c r="K723" s="2"/>
      <c r="L723" s="2"/>
      <c r="M723" s="4"/>
      <c r="N723" s="2"/>
      <c r="O723" s="5" t="str">
        <f t="shared" ca="1" si="67"/>
        <v/>
      </c>
      <c r="P723" s="6"/>
      <c r="V723" t="str">
        <f t="shared" si="68"/>
        <v/>
      </c>
      <c r="W723" t="str">
        <f t="shared" si="69"/>
        <v/>
      </c>
      <c r="X723" t="str">
        <f t="shared" si="70"/>
        <v/>
      </c>
      <c r="Y723" t="str">
        <f t="shared" si="71"/>
        <v/>
      </c>
    </row>
    <row r="724" spans="1:25" ht="14.5" x14ac:dyDescent="0.35">
      <c r="A724" s="3"/>
      <c r="B724" s="2"/>
      <c r="C724" s="2"/>
      <c r="D724" s="4"/>
      <c r="E724" s="2"/>
      <c r="F724" s="2"/>
      <c r="G724" s="3" t="str">
        <f t="shared" si="66"/>
        <v/>
      </c>
      <c r="H724" s="3"/>
      <c r="I724" s="3"/>
      <c r="J724" s="2"/>
      <c r="K724" s="2"/>
      <c r="L724" s="2"/>
      <c r="M724" s="4"/>
      <c r="N724" s="2"/>
      <c r="O724" s="5" t="str">
        <f t="shared" ca="1" si="67"/>
        <v/>
      </c>
      <c r="P724" s="6"/>
      <c r="V724" t="str">
        <f t="shared" si="68"/>
        <v/>
      </c>
      <c r="W724" t="str">
        <f t="shared" si="69"/>
        <v/>
      </c>
      <c r="X724" t="str">
        <f t="shared" si="70"/>
        <v/>
      </c>
      <c r="Y724" t="str">
        <f t="shared" si="71"/>
        <v/>
      </c>
    </row>
    <row r="725" spans="1:25" ht="14.5" x14ac:dyDescent="0.35">
      <c r="A725" s="3"/>
      <c r="B725" s="2"/>
      <c r="C725" s="2"/>
      <c r="D725" s="4"/>
      <c r="E725" s="2"/>
      <c r="F725" s="2"/>
      <c r="G725" s="3" t="str">
        <f t="shared" si="66"/>
        <v/>
      </c>
      <c r="H725" s="3"/>
      <c r="I725" s="3"/>
      <c r="J725" s="2"/>
      <c r="K725" s="2"/>
      <c r="L725" s="2"/>
      <c r="M725" s="4"/>
      <c r="N725" s="2"/>
      <c r="O725" s="5" t="str">
        <f t="shared" ca="1" si="67"/>
        <v/>
      </c>
      <c r="P725" s="6"/>
      <c r="V725" t="str">
        <f t="shared" si="68"/>
        <v/>
      </c>
      <c r="W725" t="str">
        <f t="shared" si="69"/>
        <v/>
      </c>
      <c r="X725" t="str">
        <f t="shared" si="70"/>
        <v/>
      </c>
      <c r="Y725" t="str">
        <f t="shared" si="71"/>
        <v/>
      </c>
    </row>
    <row r="726" spans="1:25" ht="14.5" x14ac:dyDescent="0.35">
      <c r="A726" s="3"/>
      <c r="B726" s="2"/>
      <c r="C726" s="2"/>
      <c r="D726" s="4"/>
      <c r="E726" s="2"/>
      <c r="F726" s="2"/>
      <c r="G726" s="3" t="str">
        <f t="shared" si="66"/>
        <v/>
      </c>
      <c r="H726" s="3"/>
      <c r="I726" s="3"/>
      <c r="J726" s="2"/>
      <c r="K726" s="2"/>
      <c r="L726" s="2"/>
      <c r="M726" s="4"/>
      <c r="N726" s="2"/>
      <c r="O726" s="5" t="str">
        <f t="shared" ca="1" si="67"/>
        <v/>
      </c>
      <c r="P726" s="6"/>
      <c r="V726" t="str">
        <f t="shared" si="68"/>
        <v/>
      </c>
      <c r="W726" t="str">
        <f t="shared" si="69"/>
        <v/>
      </c>
      <c r="X726" t="str">
        <f t="shared" si="70"/>
        <v/>
      </c>
      <c r="Y726" t="str">
        <f t="shared" si="71"/>
        <v/>
      </c>
    </row>
    <row r="727" spans="1:25" ht="14.5" x14ac:dyDescent="0.35">
      <c r="A727" s="3"/>
      <c r="B727" s="2"/>
      <c r="C727" s="2"/>
      <c r="D727" s="4"/>
      <c r="E727" s="2"/>
      <c r="F727" s="2"/>
      <c r="G727" s="3" t="str">
        <f t="shared" si="66"/>
        <v/>
      </c>
      <c r="H727" s="3"/>
      <c r="I727" s="3"/>
      <c r="J727" s="2"/>
      <c r="K727" s="2"/>
      <c r="L727" s="2"/>
      <c r="M727" s="4"/>
      <c r="N727" s="2"/>
      <c r="O727" s="5" t="str">
        <f t="shared" ca="1" si="67"/>
        <v/>
      </c>
      <c r="P727" s="6"/>
      <c r="V727" t="str">
        <f t="shared" si="68"/>
        <v/>
      </c>
      <c r="W727" t="str">
        <f t="shared" si="69"/>
        <v/>
      </c>
      <c r="X727" t="str">
        <f t="shared" si="70"/>
        <v/>
      </c>
      <c r="Y727" t="str">
        <f t="shared" si="71"/>
        <v/>
      </c>
    </row>
    <row r="728" spans="1:25" ht="14.5" x14ac:dyDescent="0.35">
      <c r="A728" s="3"/>
      <c r="B728" s="2"/>
      <c r="C728" s="2"/>
      <c r="D728" s="4"/>
      <c r="E728" s="2"/>
      <c r="F728" s="2"/>
      <c r="G728" s="3" t="str">
        <f t="shared" si="66"/>
        <v/>
      </c>
      <c r="H728" s="3"/>
      <c r="I728" s="3"/>
      <c r="J728" s="2"/>
      <c r="K728" s="2"/>
      <c r="L728" s="2"/>
      <c r="M728" s="4"/>
      <c r="N728" s="2"/>
      <c r="O728" s="5" t="str">
        <f t="shared" ca="1" si="67"/>
        <v/>
      </c>
      <c r="P728" s="6"/>
      <c r="V728" t="str">
        <f t="shared" si="68"/>
        <v/>
      </c>
      <c r="W728" t="str">
        <f t="shared" si="69"/>
        <v/>
      </c>
      <c r="X728" t="str">
        <f t="shared" si="70"/>
        <v/>
      </c>
      <c r="Y728" t="str">
        <f t="shared" si="71"/>
        <v/>
      </c>
    </row>
    <row r="729" spans="1:25" ht="14.5" x14ac:dyDescent="0.35">
      <c r="A729" s="3"/>
      <c r="B729" s="2"/>
      <c r="C729" s="2"/>
      <c r="D729" s="4"/>
      <c r="E729" s="2"/>
      <c r="F729" s="2"/>
      <c r="G729" s="3" t="str">
        <f t="shared" si="66"/>
        <v/>
      </c>
      <c r="H729" s="3"/>
      <c r="I729" s="3"/>
      <c r="J729" s="2"/>
      <c r="K729" s="2"/>
      <c r="L729" s="2"/>
      <c r="M729" s="4"/>
      <c r="N729" s="2"/>
      <c r="O729" s="5" t="str">
        <f t="shared" ca="1" si="67"/>
        <v/>
      </c>
      <c r="P729" s="6"/>
      <c r="V729" t="str">
        <f t="shared" si="68"/>
        <v/>
      </c>
      <c r="W729" t="str">
        <f t="shared" si="69"/>
        <v/>
      </c>
      <c r="X729" t="str">
        <f t="shared" si="70"/>
        <v/>
      </c>
      <c r="Y729" t="str">
        <f t="shared" si="71"/>
        <v/>
      </c>
    </row>
    <row r="730" spans="1:25" ht="14.5" x14ac:dyDescent="0.35">
      <c r="A730" s="3"/>
      <c r="B730" s="2"/>
      <c r="C730" s="2"/>
      <c r="D730" s="4"/>
      <c r="E730" s="2"/>
      <c r="F730" s="2"/>
      <c r="G730" s="3" t="str">
        <f t="shared" si="66"/>
        <v/>
      </c>
      <c r="H730" s="3"/>
      <c r="I730" s="3"/>
      <c r="J730" s="2"/>
      <c r="K730" s="2"/>
      <c r="L730" s="2"/>
      <c r="M730" s="4"/>
      <c r="N730" s="2"/>
      <c r="O730" s="5" t="str">
        <f t="shared" ca="1" si="67"/>
        <v/>
      </c>
      <c r="P730" s="6"/>
      <c r="V730" t="str">
        <f t="shared" si="68"/>
        <v/>
      </c>
      <c r="W730" t="str">
        <f t="shared" si="69"/>
        <v/>
      </c>
      <c r="X730" t="str">
        <f t="shared" si="70"/>
        <v/>
      </c>
      <c r="Y730" t="str">
        <f t="shared" si="71"/>
        <v/>
      </c>
    </row>
    <row r="731" spans="1:25" ht="14.5" x14ac:dyDescent="0.35">
      <c r="A731" s="3"/>
      <c r="B731" s="2"/>
      <c r="C731" s="2"/>
      <c r="D731" s="4"/>
      <c r="E731" s="2"/>
      <c r="F731" s="2"/>
      <c r="G731" s="3" t="str">
        <f t="shared" si="66"/>
        <v/>
      </c>
      <c r="H731" s="3"/>
      <c r="I731" s="3"/>
      <c r="J731" s="2"/>
      <c r="K731" s="2"/>
      <c r="L731" s="2"/>
      <c r="M731" s="4"/>
      <c r="N731" s="2"/>
      <c r="O731" s="5" t="str">
        <f t="shared" ca="1" si="67"/>
        <v/>
      </c>
      <c r="P731" s="6"/>
      <c r="V731" t="str">
        <f t="shared" si="68"/>
        <v/>
      </c>
      <c r="W731" t="str">
        <f t="shared" si="69"/>
        <v/>
      </c>
      <c r="X731" t="str">
        <f t="shared" si="70"/>
        <v/>
      </c>
      <c r="Y731" t="str">
        <f t="shared" si="71"/>
        <v/>
      </c>
    </row>
    <row r="732" spans="1:25" ht="14.5" x14ac:dyDescent="0.35">
      <c r="A732" s="3"/>
      <c r="B732" s="2"/>
      <c r="C732" s="2"/>
      <c r="D732" s="4"/>
      <c r="E732" s="2"/>
      <c r="F732" s="2"/>
      <c r="G732" s="3" t="str">
        <f t="shared" si="66"/>
        <v/>
      </c>
      <c r="H732" s="3"/>
      <c r="I732" s="3"/>
      <c r="J732" s="2"/>
      <c r="K732" s="2"/>
      <c r="L732" s="2"/>
      <c r="M732" s="4"/>
      <c r="N732" s="2"/>
      <c r="O732" s="5" t="str">
        <f t="shared" ca="1" si="67"/>
        <v/>
      </c>
      <c r="P732" s="6"/>
      <c r="V732" t="str">
        <f t="shared" si="68"/>
        <v/>
      </c>
      <c r="W732" t="str">
        <f t="shared" si="69"/>
        <v/>
      </c>
      <c r="X732" t="str">
        <f t="shared" si="70"/>
        <v/>
      </c>
      <c r="Y732" t="str">
        <f t="shared" si="71"/>
        <v/>
      </c>
    </row>
    <row r="733" spans="1:25" ht="14.5" x14ac:dyDescent="0.35">
      <c r="A733" s="3"/>
      <c r="B733" s="2"/>
      <c r="C733" s="2"/>
      <c r="D733" s="4"/>
      <c r="E733" s="2"/>
      <c r="F733" s="2"/>
      <c r="G733" s="3" t="str">
        <f t="shared" si="66"/>
        <v/>
      </c>
      <c r="H733" s="3"/>
      <c r="I733" s="3"/>
      <c r="J733" s="2"/>
      <c r="K733" s="2"/>
      <c r="L733" s="2"/>
      <c r="M733" s="4"/>
      <c r="N733" s="2"/>
      <c r="O733" s="5" t="str">
        <f t="shared" ca="1" si="67"/>
        <v/>
      </c>
      <c r="P733" s="6"/>
      <c r="V733" t="str">
        <f t="shared" si="68"/>
        <v/>
      </c>
      <c r="W733" t="str">
        <f t="shared" si="69"/>
        <v/>
      </c>
      <c r="X733" t="str">
        <f t="shared" si="70"/>
        <v/>
      </c>
      <c r="Y733" t="str">
        <f t="shared" si="71"/>
        <v/>
      </c>
    </row>
    <row r="734" spans="1:25" ht="14.5" x14ac:dyDescent="0.35">
      <c r="A734" s="3"/>
      <c r="B734" s="2"/>
      <c r="C734" s="2"/>
      <c r="D734" s="4"/>
      <c r="E734" s="2"/>
      <c r="F734" s="2"/>
      <c r="G734" s="3" t="str">
        <f t="shared" si="66"/>
        <v/>
      </c>
      <c r="H734" s="3"/>
      <c r="I734" s="3"/>
      <c r="J734" s="2"/>
      <c r="K734" s="2"/>
      <c r="L734" s="2"/>
      <c r="M734" s="4"/>
      <c r="N734" s="2"/>
      <c r="O734" s="5" t="str">
        <f t="shared" ca="1" si="67"/>
        <v/>
      </c>
      <c r="P734" s="6"/>
      <c r="V734" t="str">
        <f t="shared" si="68"/>
        <v/>
      </c>
      <c r="W734" t="str">
        <f t="shared" si="69"/>
        <v/>
      </c>
      <c r="X734" t="str">
        <f t="shared" si="70"/>
        <v/>
      </c>
      <c r="Y734" t="str">
        <f t="shared" si="71"/>
        <v/>
      </c>
    </row>
    <row r="735" spans="1:25" ht="14.5" x14ac:dyDescent="0.35">
      <c r="A735" s="3"/>
      <c r="B735" s="2"/>
      <c r="C735" s="2"/>
      <c r="D735" s="4"/>
      <c r="E735" s="2"/>
      <c r="F735" s="2"/>
      <c r="G735" s="3" t="str">
        <f t="shared" si="66"/>
        <v/>
      </c>
      <c r="H735" s="3"/>
      <c r="I735" s="3"/>
      <c r="J735" s="2"/>
      <c r="K735" s="2"/>
      <c r="L735" s="2"/>
      <c r="M735" s="4"/>
      <c r="N735" s="2"/>
      <c r="O735" s="5" t="str">
        <f t="shared" ca="1" si="67"/>
        <v/>
      </c>
      <c r="P735" s="6"/>
      <c r="V735" t="str">
        <f t="shared" si="68"/>
        <v/>
      </c>
      <c r="W735" t="str">
        <f t="shared" si="69"/>
        <v/>
      </c>
      <c r="X735" t="str">
        <f t="shared" si="70"/>
        <v/>
      </c>
      <c r="Y735" t="str">
        <f t="shared" si="71"/>
        <v/>
      </c>
    </row>
    <row r="736" spans="1:25" ht="14.5" x14ac:dyDescent="0.35">
      <c r="A736" s="3"/>
      <c r="B736" s="2"/>
      <c r="C736" s="2"/>
      <c r="D736" s="4"/>
      <c r="E736" s="2"/>
      <c r="F736" s="2"/>
      <c r="G736" s="3" t="str">
        <f t="shared" si="66"/>
        <v/>
      </c>
      <c r="H736" s="3"/>
      <c r="I736" s="3"/>
      <c r="J736" s="2"/>
      <c r="K736" s="2"/>
      <c r="L736" s="2"/>
      <c r="M736" s="4"/>
      <c r="N736" s="2"/>
      <c r="O736" s="5" t="str">
        <f t="shared" ca="1" si="67"/>
        <v/>
      </c>
      <c r="P736" s="6"/>
      <c r="V736" t="str">
        <f t="shared" si="68"/>
        <v/>
      </c>
      <c r="W736" t="str">
        <f t="shared" si="69"/>
        <v/>
      </c>
      <c r="X736" t="str">
        <f t="shared" si="70"/>
        <v/>
      </c>
      <c r="Y736" t="str">
        <f t="shared" si="71"/>
        <v/>
      </c>
    </row>
    <row r="737" spans="1:25" ht="14.5" x14ac:dyDescent="0.35">
      <c r="A737" s="3"/>
      <c r="B737" s="2"/>
      <c r="C737" s="2"/>
      <c r="D737" s="4"/>
      <c r="E737" s="2"/>
      <c r="F737" s="2"/>
      <c r="G737" s="3" t="str">
        <f t="shared" si="66"/>
        <v/>
      </c>
      <c r="H737" s="3"/>
      <c r="I737" s="3"/>
      <c r="J737" s="2"/>
      <c r="K737" s="2"/>
      <c r="L737" s="2"/>
      <c r="M737" s="4"/>
      <c r="N737" s="2"/>
      <c r="O737" s="5" t="str">
        <f t="shared" ca="1" si="67"/>
        <v/>
      </c>
      <c r="P737" s="6"/>
      <c r="V737" t="str">
        <f t="shared" si="68"/>
        <v/>
      </c>
      <c r="W737" t="str">
        <f t="shared" si="69"/>
        <v/>
      </c>
      <c r="X737" t="str">
        <f t="shared" si="70"/>
        <v/>
      </c>
      <c r="Y737" t="str">
        <f t="shared" si="71"/>
        <v/>
      </c>
    </row>
    <row r="738" spans="1:25" ht="14.5" x14ac:dyDescent="0.35">
      <c r="A738" s="3"/>
      <c r="B738" s="2"/>
      <c r="C738" s="2"/>
      <c r="D738" s="4"/>
      <c r="E738" s="2"/>
      <c r="F738" s="2"/>
      <c r="G738" s="3" t="str">
        <f t="shared" si="66"/>
        <v/>
      </c>
      <c r="H738" s="3"/>
      <c r="I738" s="3"/>
      <c r="J738" s="2"/>
      <c r="K738" s="2"/>
      <c r="L738" s="2"/>
      <c r="M738" s="4"/>
      <c r="N738" s="2"/>
      <c r="O738" s="5" t="str">
        <f t="shared" ca="1" si="67"/>
        <v/>
      </c>
      <c r="P738" s="6"/>
      <c r="V738" t="str">
        <f t="shared" si="68"/>
        <v/>
      </c>
      <c r="W738" t="str">
        <f t="shared" si="69"/>
        <v/>
      </c>
      <c r="X738" t="str">
        <f t="shared" si="70"/>
        <v/>
      </c>
      <c r="Y738" t="str">
        <f t="shared" si="71"/>
        <v/>
      </c>
    </row>
    <row r="739" spans="1:25" ht="14.5" x14ac:dyDescent="0.35">
      <c r="A739" s="3"/>
      <c r="B739" s="2"/>
      <c r="C739" s="2"/>
      <c r="D739" s="4"/>
      <c r="E739" s="2"/>
      <c r="F739" s="2"/>
      <c r="G739" s="3" t="str">
        <f t="shared" si="66"/>
        <v/>
      </c>
      <c r="H739" s="3"/>
      <c r="I739" s="3"/>
      <c r="J739" s="2"/>
      <c r="K739" s="2"/>
      <c r="L739" s="2"/>
      <c r="M739" s="4"/>
      <c r="N739" s="2"/>
      <c r="O739" s="5" t="str">
        <f t="shared" ca="1" si="67"/>
        <v/>
      </c>
      <c r="P739" s="6"/>
      <c r="V739" t="str">
        <f t="shared" si="68"/>
        <v/>
      </c>
      <c r="W739" t="str">
        <f t="shared" si="69"/>
        <v/>
      </c>
      <c r="X739" t="str">
        <f t="shared" si="70"/>
        <v/>
      </c>
      <c r="Y739" t="str">
        <f t="shared" si="71"/>
        <v/>
      </c>
    </row>
    <row r="740" spans="1:25" ht="14.5" x14ac:dyDescent="0.35">
      <c r="A740" s="3"/>
      <c r="B740" s="2"/>
      <c r="C740" s="2"/>
      <c r="D740" s="4"/>
      <c r="E740" s="2"/>
      <c r="F740" s="2"/>
      <c r="G740" s="3" t="str">
        <f t="shared" si="66"/>
        <v/>
      </c>
      <c r="H740" s="3"/>
      <c r="I740" s="3"/>
      <c r="J740" s="2"/>
      <c r="K740" s="2"/>
      <c r="L740" s="2"/>
      <c r="M740" s="4"/>
      <c r="N740" s="2"/>
      <c r="O740" s="5" t="str">
        <f t="shared" ca="1" si="67"/>
        <v/>
      </c>
      <c r="P740" s="6"/>
      <c r="V740" t="str">
        <f t="shared" si="68"/>
        <v/>
      </c>
      <c r="W740" t="str">
        <f t="shared" si="69"/>
        <v/>
      </c>
      <c r="X740" t="str">
        <f t="shared" si="70"/>
        <v/>
      </c>
      <c r="Y740" t="str">
        <f t="shared" si="71"/>
        <v/>
      </c>
    </row>
    <row r="741" spans="1:25" ht="14.5" x14ac:dyDescent="0.35">
      <c r="A741" s="3"/>
      <c r="B741" s="2"/>
      <c r="C741" s="2"/>
      <c r="D741" s="4"/>
      <c r="E741" s="2"/>
      <c r="F741" s="2"/>
      <c r="G741" s="3" t="str">
        <f t="shared" si="66"/>
        <v/>
      </c>
      <c r="H741" s="3"/>
      <c r="I741" s="3"/>
      <c r="J741" s="2"/>
      <c r="K741" s="2"/>
      <c r="L741" s="2"/>
      <c r="M741" s="4"/>
      <c r="N741" s="2"/>
      <c r="O741" s="5" t="str">
        <f t="shared" ca="1" si="67"/>
        <v/>
      </c>
      <c r="P741" s="6"/>
      <c r="V741" t="str">
        <f t="shared" si="68"/>
        <v/>
      </c>
      <c r="W741" t="str">
        <f t="shared" si="69"/>
        <v/>
      </c>
      <c r="X741" t="str">
        <f t="shared" si="70"/>
        <v/>
      </c>
      <c r="Y741" t="str">
        <f t="shared" si="71"/>
        <v/>
      </c>
    </row>
    <row r="742" spans="1:25" ht="14.5" x14ac:dyDescent="0.35">
      <c r="A742" s="3"/>
      <c r="B742" s="2"/>
      <c r="C742" s="2"/>
      <c r="D742" s="4"/>
      <c r="E742" s="2"/>
      <c r="F742" s="2"/>
      <c r="G742" s="3" t="str">
        <f t="shared" si="66"/>
        <v/>
      </c>
      <c r="H742" s="3"/>
      <c r="I742" s="3"/>
      <c r="J742" s="2"/>
      <c r="K742" s="2"/>
      <c r="L742" s="2"/>
      <c r="M742" s="4"/>
      <c r="N742" s="2"/>
      <c r="O742" s="5" t="str">
        <f t="shared" ca="1" si="67"/>
        <v/>
      </c>
      <c r="P742" s="6"/>
      <c r="V742" t="str">
        <f t="shared" si="68"/>
        <v/>
      </c>
      <c r="W742" t="str">
        <f t="shared" si="69"/>
        <v/>
      </c>
      <c r="X742" t="str">
        <f t="shared" si="70"/>
        <v/>
      </c>
      <c r="Y742" t="str">
        <f t="shared" si="71"/>
        <v/>
      </c>
    </row>
    <row r="743" spans="1:25" ht="14.5" x14ac:dyDescent="0.35">
      <c r="A743" s="3"/>
      <c r="B743" s="2"/>
      <c r="C743" s="2"/>
      <c r="D743" s="4"/>
      <c r="E743" s="2"/>
      <c r="F743" s="2"/>
      <c r="G743" s="3" t="str">
        <f t="shared" si="66"/>
        <v/>
      </c>
      <c r="H743" s="3"/>
      <c r="I743" s="3"/>
      <c r="J743" s="2"/>
      <c r="K743" s="2"/>
      <c r="L743" s="2"/>
      <c r="M743" s="4"/>
      <c r="N743" s="2"/>
      <c r="O743" s="5" t="str">
        <f t="shared" ca="1" si="67"/>
        <v/>
      </c>
      <c r="P743" s="6"/>
      <c r="V743" t="str">
        <f t="shared" si="68"/>
        <v/>
      </c>
      <c r="W743" t="str">
        <f t="shared" si="69"/>
        <v/>
      </c>
      <c r="X743" t="str">
        <f t="shared" si="70"/>
        <v/>
      </c>
      <c r="Y743" t="str">
        <f t="shared" si="71"/>
        <v/>
      </c>
    </row>
    <row r="744" spans="1:25" ht="14.5" x14ac:dyDescent="0.35">
      <c r="A744" s="3"/>
      <c r="B744" s="2"/>
      <c r="C744" s="2"/>
      <c r="D744" s="4"/>
      <c r="E744" s="2"/>
      <c r="F744" s="2"/>
      <c r="G744" s="3" t="str">
        <f t="shared" si="66"/>
        <v/>
      </c>
      <c r="H744" s="3"/>
      <c r="I744" s="3"/>
      <c r="J744" s="2"/>
      <c r="K744" s="2"/>
      <c r="L744" s="2"/>
      <c r="M744" s="4"/>
      <c r="N744" s="2"/>
      <c r="O744" s="5" t="str">
        <f t="shared" ca="1" si="67"/>
        <v/>
      </c>
      <c r="P744" s="6"/>
      <c r="V744" t="str">
        <f t="shared" si="68"/>
        <v/>
      </c>
      <c r="W744" t="str">
        <f t="shared" si="69"/>
        <v/>
      </c>
      <c r="X744" t="str">
        <f t="shared" si="70"/>
        <v/>
      </c>
      <c r="Y744" t="str">
        <f t="shared" si="71"/>
        <v/>
      </c>
    </row>
    <row r="745" spans="1:25" ht="14.5" x14ac:dyDescent="0.35">
      <c r="A745" s="3"/>
      <c r="B745" s="2"/>
      <c r="C745" s="2"/>
      <c r="D745" s="4"/>
      <c r="E745" s="2"/>
      <c r="F745" s="2"/>
      <c r="G745" s="3" t="str">
        <f t="shared" si="66"/>
        <v/>
      </c>
      <c r="H745" s="3"/>
      <c r="I745" s="3"/>
      <c r="J745" s="2"/>
      <c r="K745" s="2"/>
      <c r="L745" s="2"/>
      <c r="M745" s="4"/>
      <c r="N745" s="2"/>
      <c r="O745" s="5" t="str">
        <f t="shared" ca="1" si="67"/>
        <v/>
      </c>
      <c r="P745" s="6"/>
      <c r="V745" t="str">
        <f t="shared" si="68"/>
        <v/>
      </c>
      <c r="W745" t="str">
        <f t="shared" si="69"/>
        <v/>
      </c>
      <c r="X745" t="str">
        <f t="shared" si="70"/>
        <v/>
      </c>
      <c r="Y745" t="str">
        <f t="shared" si="71"/>
        <v/>
      </c>
    </row>
    <row r="746" spans="1:25" ht="14.5" x14ac:dyDescent="0.35">
      <c r="A746" s="3"/>
      <c r="B746" s="2"/>
      <c r="C746" s="2"/>
      <c r="D746" s="4"/>
      <c r="E746" s="2"/>
      <c r="F746" s="2"/>
      <c r="G746" s="3" t="str">
        <f t="shared" si="66"/>
        <v/>
      </c>
      <c r="H746" s="3"/>
      <c r="I746" s="3"/>
      <c r="J746" s="2"/>
      <c r="K746" s="2"/>
      <c r="L746" s="2"/>
      <c r="M746" s="4"/>
      <c r="N746" s="2"/>
      <c r="O746" s="5" t="str">
        <f t="shared" ca="1" si="67"/>
        <v/>
      </c>
      <c r="P746" s="6"/>
      <c r="V746" t="str">
        <f t="shared" si="68"/>
        <v/>
      </c>
      <c r="W746" t="str">
        <f t="shared" si="69"/>
        <v/>
      </c>
      <c r="X746" t="str">
        <f t="shared" si="70"/>
        <v/>
      </c>
      <c r="Y746" t="str">
        <f t="shared" si="71"/>
        <v/>
      </c>
    </row>
    <row r="747" spans="1:25" ht="14.5" x14ac:dyDescent="0.35">
      <c r="A747" s="3"/>
      <c r="B747" s="2"/>
      <c r="C747" s="2"/>
      <c r="D747" s="4"/>
      <c r="E747" s="2"/>
      <c r="F747" s="2"/>
      <c r="G747" s="3" t="str">
        <f t="shared" si="66"/>
        <v/>
      </c>
      <c r="H747" s="3"/>
      <c r="I747" s="3"/>
      <c r="J747" s="2"/>
      <c r="K747" s="2"/>
      <c r="L747" s="2"/>
      <c r="M747" s="4"/>
      <c r="N747" s="2"/>
      <c r="O747" s="5" t="str">
        <f t="shared" ca="1" si="67"/>
        <v/>
      </c>
      <c r="P747" s="6"/>
      <c r="V747" t="str">
        <f t="shared" si="68"/>
        <v/>
      </c>
      <c r="W747" t="str">
        <f t="shared" si="69"/>
        <v/>
      </c>
      <c r="X747" t="str">
        <f t="shared" si="70"/>
        <v/>
      </c>
      <c r="Y747" t="str">
        <f t="shared" si="71"/>
        <v/>
      </c>
    </row>
    <row r="748" spans="1:25" ht="14.5" x14ac:dyDescent="0.35">
      <c r="A748" s="3"/>
      <c r="B748" s="2"/>
      <c r="C748" s="2"/>
      <c r="D748" s="4"/>
      <c r="E748" s="2"/>
      <c r="F748" s="2"/>
      <c r="G748" s="3" t="str">
        <f t="shared" si="66"/>
        <v/>
      </c>
      <c r="H748" s="3"/>
      <c r="I748" s="3"/>
      <c r="J748" s="2"/>
      <c r="K748" s="2"/>
      <c r="L748" s="2"/>
      <c r="M748" s="4"/>
      <c r="N748" s="2"/>
      <c r="O748" s="5" t="str">
        <f t="shared" ca="1" si="67"/>
        <v/>
      </c>
      <c r="P748" s="6"/>
      <c r="V748" t="str">
        <f t="shared" si="68"/>
        <v/>
      </c>
      <c r="W748" t="str">
        <f t="shared" si="69"/>
        <v/>
      </c>
      <c r="X748" t="str">
        <f t="shared" si="70"/>
        <v/>
      </c>
      <c r="Y748" t="str">
        <f t="shared" si="71"/>
        <v/>
      </c>
    </row>
    <row r="749" spans="1:25" ht="14.5" x14ac:dyDescent="0.35">
      <c r="A749" s="3"/>
      <c r="B749" s="2"/>
      <c r="C749" s="2"/>
      <c r="D749" s="4"/>
      <c r="E749" s="2"/>
      <c r="F749" s="2"/>
      <c r="G749" s="3" t="str">
        <f t="shared" si="66"/>
        <v/>
      </c>
      <c r="H749" s="3"/>
      <c r="I749" s="3"/>
      <c r="J749" s="2"/>
      <c r="K749" s="2"/>
      <c r="L749" s="2"/>
      <c r="M749" s="4"/>
      <c r="N749" s="2"/>
      <c r="O749" s="5" t="str">
        <f t="shared" ca="1" si="67"/>
        <v/>
      </c>
      <c r="P749" s="6"/>
      <c r="V749" t="str">
        <f t="shared" si="68"/>
        <v/>
      </c>
      <c r="W749" t="str">
        <f t="shared" si="69"/>
        <v/>
      </c>
      <c r="X749" t="str">
        <f t="shared" si="70"/>
        <v/>
      </c>
      <c r="Y749" t="str">
        <f t="shared" si="71"/>
        <v/>
      </c>
    </row>
    <row r="750" spans="1:25" ht="14.5" x14ac:dyDescent="0.35">
      <c r="A750" s="3"/>
      <c r="B750" s="2"/>
      <c r="C750" s="2"/>
      <c r="D750" s="4"/>
      <c r="E750" s="2"/>
      <c r="F750" s="2"/>
      <c r="G750" s="3" t="str">
        <f t="shared" si="66"/>
        <v/>
      </c>
      <c r="H750" s="3"/>
      <c r="I750" s="3"/>
      <c r="J750" s="2"/>
      <c r="K750" s="2"/>
      <c r="L750" s="2"/>
      <c r="M750" s="4"/>
      <c r="N750" s="2"/>
      <c r="O750" s="5" t="str">
        <f t="shared" ca="1" si="67"/>
        <v/>
      </c>
      <c r="P750" s="6"/>
      <c r="V750" t="str">
        <f t="shared" si="68"/>
        <v/>
      </c>
      <c r="W750" t="str">
        <f t="shared" si="69"/>
        <v/>
      </c>
      <c r="X750" t="str">
        <f t="shared" si="70"/>
        <v/>
      </c>
      <c r="Y750" t="str">
        <f t="shared" si="71"/>
        <v/>
      </c>
    </row>
    <row r="751" spans="1:25" ht="14.5" x14ac:dyDescent="0.35">
      <c r="A751" s="3"/>
      <c r="B751" s="2"/>
      <c r="C751" s="2"/>
      <c r="D751" s="4"/>
      <c r="E751" s="2"/>
      <c r="F751" s="2"/>
      <c r="G751" s="3" t="str">
        <f t="shared" si="66"/>
        <v/>
      </c>
      <c r="H751" s="3"/>
      <c r="I751" s="3"/>
      <c r="J751" s="2"/>
      <c r="K751" s="2"/>
      <c r="L751" s="2"/>
      <c r="M751" s="4"/>
      <c r="N751" s="2"/>
      <c r="O751" s="5" t="str">
        <f t="shared" ca="1" si="67"/>
        <v/>
      </c>
      <c r="P751" s="6"/>
      <c r="V751" t="str">
        <f t="shared" si="68"/>
        <v/>
      </c>
      <c r="W751" t="str">
        <f t="shared" si="69"/>
        <v/>
      </c>
      <c r="X751" t="str">
        <f t="shared" si="70"/>
        <v/>
      </c>
      <c r="Y751" t="str">
        <f t="shared" si="71"/>
        <v/>
      </c>
    </row>
    <row r="752" spans="1:25" ht="14.5" x14ac:dyDescent="0.35">
      <c r="A752" s="3"/>
      <c r="B752" s="2"/>
      <c r="C752" s="2"/>
      <c r="D752" s="4"/>
      <c r="E752" s="2"/>
      <c r="F752" s="2"/>
      <c r="G752" s="3" t="str">
        <f t="shared" si="66"/>
        <v/>
      </c>
      <c r="H752" s="3"/>
      <c r="I752" s="3"/>
      <c r="J752" s="2"/>
      <c r="K752" s="2"/>
      <c r="L752" s="2"/>
      <c r="M752" s="4"/>
      <c r="N752" s="2"/>
      <c r="O752" s="5" t="str">
        <f t="shared" ca="1" si="67"/>
        <v/>
      </c>
      <c r="P752" s="6"/>
      <c r="V752" t="str">
        <f t="shared" si="68"/>
        <v/>
      </c>
      <c r="W752" t="str">
        <f t="shared" si="69"/>
        <v/>
      </c>
      <c r="X752" t="str">
        <f t="shared" si="70"/>
        <v/>
      </c>
      <c r="Y752" t="str">
        <f t="shared" si="71"/>
        <v/>
      </c>
    </row>
    <row r="753" spans="1:25" ht="14.5" x14ac:dyDescent="0.35">
      <c r="A753" s="3"/>
      <c r="B753" s="2"/>
      <c r="C753" s="2"/>
      <c r="D753" s="4"/>
      <c r="E753" s="2"/>
      <c r="F753" s="2"/>
      <c r="G753" s="3" t="str">
        <f t="shared" si="66"/>
        <v/>
      </c>
      <c r="H753" s="3"/>
      <c r="I753" s="3"/>
      <c r="J753" s="2"/>
      <c r="K753" s="2"/>
      <c r="L753" s="2"/>
      <c r="M753" s="4"/>
      <c r="N753" s="2"/>
      <c r="O753" s="5" t="str">
        <f t="shared" ca="1" si="67"/>
        <v/>
      </c>
      <c r="P753" s="6"/>
      <c r="V753" t="str">
        <f t="shared" si="68"/>
        <v/>
      </c>
      <c r="W753" t="str">
        <f t="shared" si="69"/>
        <v/>
      </c>
      <c r="X753" t="str">
        <f t="shared" si="70"/>
        <v/>
      </c>
      <c r="Y753" t="str">
        <f t="shared" si="71"/>
        <v/>
      </c>
    </row>
    <row r="754" spans="1:25" ht="14.5" x14ac:dyDescent="0.35">
      <c r="A754" s="3"/>
      <c r="B754" s="2"/>
      <c r="C754" s="2"/>
      <c r="D754" s="4"/>
      <c r="E754" s="2"/>
      <c r="F754" s="2"/>
      <c r="G754" s="3" t="str">
        <f t="shared" si="66"/>
        <v/>
      </c>
      <c r="H754" s="3"/>
      <c r="I754" s="3"/>
      <c r="J754" s="2"/>
      <c r="K754" s="2"/>
      <c r="L754" s="2"/>
      <c r="M754" s="4"/>
      <c r="N754" s="2"/>
      <c r="O754" s="5" t="str">
        <f t="shared" ca="1" si="67"/>
        <v/>
      </c>
      <c r="P754" s="6"/>
      <c r="V754" t="str">
        <f t="shared" si="68"/>
        <v/>
      </c>
      <c r="W754" t="str">
        <f t="shared" si="69"/>
        <v/>
      </c>
      <c r="X754" t="str">
        <f t="shared" si="70"/>
        <v/>
      </c>
      <c r="Y754" t="str">
        <f t="shared" si="71"/>
        <v/>
      </c>
    </row>
    <row r="755" spans="1:25" ht="14.5" x14ac:dyDescent="0.35">
      <c r="A755" s="3"/>
      <c r="B755" s="2"/>
      <c r="C755" s="2"/>
      <c r="D755" s="4"/>
      <c r="E755" s="2"/>
      <c r="F755" s="2"/>
      <c r="G755" s="3" t="str">
        <f t="shared" si="66"/>
        <v/>
      </c>
      <c r="H755" s="3"/>
      <c r="I755" s="3"/>
      <c r="J755" s="2"/>
      <c r="K755" s="2"/>
      <c r="L755" s="2"/>
      <c r="M755" s="4"/>
      <c r="N755" s="2"/>
      <c r="O755" s="5" t="str">
        <f t="shared" ca="1" si="67"/>
        <v/>
      </c>
      <c r="P755" s="6"/>
      <c r="V755" t="str">
        <f t="shared" si="68"/>
        <v/>
      </c>
      <c r="W755" t="str">
        <f t="shared" si="69"/>
        <v/>
      </c>
      <c r="X755" t="str">
        <f t="shared" si="70"/>
        <v/>
      </c>
      <c r="Y755" t="str">
        <f t="shared" si="71"/>
        <v/>
      </c>
    </row>
    <row r="756" spans="1:25" ht="14.5" x14ac:dyDescent="0.35">
      <c r="A756" s="3"/>
      <c r="B756" s="2"/>
      <c r="C756" s="2"/>
      <c r="D756" s="4"/>
      <c r="E756" s="2"/>
      <c r="F756" s="2"/>
      <c r="G756" s="3" t="str">
        <f t="shared" si="66"/>
        <v/>
      </c>
      <c r="H756" s="3"/>
      <c r="I756" s="3"/>
      <c r="J756" s="2"/>
      <c r="K756" s="2"/>
      <c r="L756" s="2"/>
      <c r="M756" s="4"/>
      <c r="N756" s="2"/>
      <c r="O756" s="5" t="str">
        <f t="shared" ca="1" si="67"/>
        <v/>
      </c>
      <c r="P756" s="6"/>
      <c r="V756" t="str">
        <f t="shared" si="68"/>
        <v/>
      </c>
      <c r="W756" t="str">
        <f t="shared" si="69"/>
        <v/>
      </c>
      <c r="X756" t="str">
        <f t="shared" si="70"/>
        <v/>
      </c>
      <c r="Y756" t="str">
        <f t="shared" si="71"/>
        <v/>
      </c>
    </row>
    <row r="757" spans="1:25" ht="14.5" x14ac:dyDescent="0.35">
      <c r="A757" s="3"/>
      <c r="B757" s="2"/>
      <c r="C757" s="2"/>
      <c r="D757" s="4"/>
      <c r="E757" s="2"/>
      <c r="F757" s="2"/>
      <c r="G757" s="3" t="str">
        <f t="shared" si="66"/>
        <v/>
      </c>
      <c r="H757" s="3"/>
      <c r="I757" s="3"/>
      <c r="J757" s="2"/>
      <c r="K757" s="2"/>
      <c r="L757" s="2"/>
      <c r="M757" s="4"/>
      <c r="N757" s="2"/>
      <c r="O757" s="5" t="str">
        <f t="shared" ca="1" si="67"/>
        <v/>
      </c>
      <c r="P757" s="6"/>
      <c r="V757" t="str">
        <f t="shared" si="68"/>
        <v/>
      </c>
      <c r="W757" t="str">
        <f t="shared" si="69"/>
        <v/>
      </c>
      <c r="X757" t="str">
        <f t="shared" si="70"/>
        <v/>
      </c>
      <c r="Y757" t="str">
        <f t="shared" si="71"/>
        <v/>
      </c>
    </row>
    <row r="758" spans="1:25" ht="14.5" x14ac:dyDescent="0.35">
      <c r="A758" s="3"/>
      <c r="B758" s="2"/>
      <c r="C758" s="2"/>
      <c r="D758" s="4"/>
      <c r="E758" s="2"/>
      <c r="F758" s="2"/>
      <c r="G758" s="3" t="str">
        <f t="shared" si="66"/>
        <v/>
      </c>
      <c r="H758" s="3"/>
      <c r="I758" s="3"/>
      <c r="J758" s="2"/>
      <c r="K758" s="2"/>
      <c r="L758" s="2"/>
      <c r="M758" s="4"/>
      <c r="N758" s="2"/>
      <c r="O758" s="5" t="str">
        <f t="shared" ca="1" si="67"/>
        <v/>
      </c>
      <c r="P758" s="6"/>
      <c r="V758" t="str">
        <f t="shared" si="68"/>
        <v/>
      </c>
      <c r="W758" t="str">
        <f t="shared" si="69"/>
        <v/>
      </c>
      <c r="X758" t="str">
        <f t="shared" si="70"/>
        <v/>
      </c>
      <c r="Y758" t="str">
        <f t="shared" si="71"/>
        <v/>
      </c>
    </row>
    <row r="759" spans="1:25" ht="14.5" x14ac:dyDescent="0.35">
      <c r="A759" s="3"/>
      <c r="B759" s="2"/>
      <c r="C759" s="2"/>
      <c r="D759" s="4"/>
      <c r="E759" s="2"/>
      <c r="F759" s="2"/>
      <c r="G759" s="3" t="str">
        <f t="shared" si="66"/>
        <v/>
      </c>
      <c r="H759" s="3"/>
      <c r="I759" s="3"/>
      <c r="J759" s="2"/>
      <c r="K759" s="2"/>
      <c r="L759" s="2"/>
      <c r="M759" s="4"/>
      <c r="N759" s="2"/>
      <c r="O759" s="5" t="str">
        <f t="shared" ca="1" si="67"/>
        <v/>
      </c>
      <c r="P759" s="6"/>
      <c r="V759" t="str">
        <f t="shared" si="68"/>
        <v/>
      </c>
      <c r="W759" t="str">
        <f t="shared" si="69"/>
        <v/>
      </c>
      <c r="X759" t="str">
        <f t="shared" si="70"/>
        <v/>
      </c>
      <c r="Y759" t="str">
        <f t="shared" si="71"/>
        <v/>
      </c>
    </row>
    <row r="760" spans="1:25" ht="14.5" x14ac:dyDescent="0.35">
      <c r="A760" s="3"/>
      <c r="B760" s="2"/>
      <c r="C760" s="2"/>
      <c r="D760" s="4"/>
      <c r="E760" s="2"/>
      <c r="F760" s="2"/>
      <c r="G760" s="3" t="str">
        <f t="shared" si="66"/>
        <v/>
      </c>
      <c r="H760" s="3"/>
      <c r="I760" s="3"/>
      <c r="J760" s="2"/>
      <c r="K760" s="2"/>
      <c r="L760" s="2"/>
      <c r="M760" s="4"/>
      <c r="N760" s="2"/>
      <c r="O760" s="5" t="str">
        <f t="shared" ca="1" si="67"/>
        <v/>
      </c>
      <c r="P760" s="6"/>
      <c r="V760" t="str">
        <f t="shared" si="68"/>
        <v/>
      </c>
      <c r="W760" t="str">
        <f t="shared" si="69"/>
        <v/>
      </c>
      <c r="X760" t="str">
        <f t="shared" si="70"/>
        <v/>
      </c>
      <c r="Y760" t="str">
        <f t="shared" si="71"/>
        <v/>
      </c>
    </row>
    <row r="761" spans="1:25" ht="14.5" x14ac:dyDescent="0.35">
      <c r="A761" s="3"/>
      <c r="B761" s="2"/>
      <c r="C761" s="2"/>
      <c r="D761" s="4"/>
      <c r="E761" s="2"/>
      <c r="F761" s="2"/>
      <c r="G761" s="3" t="str">
        <f t="shared" si="66"/>
        <v/>
      </c>
      <c r="H761" s="3"/>
      <c r="I761" s="3"/>
      <c r="J761" s="2"/>
      <c r="K761" s="2"/>
      <c r="L761" s="2"/>
      <c r="M761" s="4"/>
      <c r="N761" s="2"/>
      <c r="O761" s="5" t="str">
        <f t="shared" ca="1" si="67"/>
        <v/>
      </c>
      <c r="P761" s="6"/>
      <c r="V761" t="str">
        <f t="shared" si="68"/>
        <v/>
      </c>
      <c r="W761" t="str">
        <f t="shared" si="69"/>
        <v/>
      </c>
      <c r="X761" t="str">
        <f t="shared" si="70"/>
        <v/>
      </c>
      <c r="Y761" t="str">
        <f t="shared" si="71"/>
        <v/>
      </c>
    </row>
    <row r="762" spans="1:25" ht="14.5" x14ac:dyDescent="0.35">
      <c r="A762" s="3"/>
      <c r="B762" s="2"/>
      <c r="C762" s="2"/>
      <c r="D762" s="4"/>
      <c r="E762" s="2"/>
      <c r="F762" s="2"/>
      <c r="G762" s="3" t="str">
        <f t="shared" si="66"/>
        <v/>
      </c>
      <c r="H762" s="3"/>
      <c r="I762" s="3"/>
      <c r="J762" s="2"/>
      <c r="K762" s="2"/>
      <c r="L762" s="2"/>
      <c r="M762" s="4"/>
      <c r="N762" s="2"/>
      <c r="O762" s="5" t="str">
        <f t="shared" ca="1" si="67"/>
        <v/>
      </c>
      <c r="P762" s="6"/>
      <c r="V762" t="str">
        <f t="shared" si="68"/>
        <v/>
      </c>
      <c r="W762" t="str">
        <f t="shared" si="69"/>
        <v/>
      </c>
      <c r="X762" t="str">
        <f t="shared" si="70"/>
        <v/>
      </c>
      <c r="Y762" t="str">
        <f t="shared" si="71"/>
        <v/>
      </c>
    </row>
    <row r="763" spans="1:25" ht="14.5" x14ac:dyDescent="0.35">
      <c r="A763" s="3"/>
      <c r="B763" s="2"/>
      <c r="C763" s="2"/>
      <c r="D763" s="4"/>
      <c r="E763" s="2"/>
      <c r="F763" s="2"/>
      <c r="G763" s="3" t="str">
        <f t="shared" si="66"/>
        <v/>
      </c>
      <c r="H763" s="3"/>
      <c r="I763" s="3"/>
      <c r="J763" s="2"/>
      <c r="K763" s="2"/>
      <c r="L763" s="2"/>
      <c r="M763" s="4"/>
      <c r="N763" s="2"/>
      <c r="O763" s="5" t="str">
        <f t="shared" ca="1" si="67"/>
        <v/>
      </c>
      <c r="P763" s="6"/>
      <c r="V763" t="str">
        <f t="shared" si="68"/>
        <v/>
      </c>
      <c r="W763" t="str">
        <f t="shared" si="69"/>
        <v/>
      </c>
      <c r="X763" t="str">
        <f t="shared" si="70"/>
        <v/>
      </c>
      <c r="Y763" t="str">
        <f t="shared" si="71"/>
        <v/>
      </c>
    </row>
    <row r="764" spans="1:25" ht="14.5" x14ac:dyDescent="0.35">
      <c r="A764" s="3"/>
      <c r="B764" s="2"/>
      <c r="C764" s="2"/>
      <c r="D764" s="4"/>
      <c r="E764" s="2"/>
      <c r="F764" s="2"/>
      <c r="G764" s="3" t="str">
        <f t="shared" si="66"/>
        <v/>
      </c>
      <c r="H764" s="3"/>
      <c r="I764" s="3"/>
      <c r="J764" s="2"/>
      <c r="K764" s="2"/>
      <c r="L764" s="2"/>
      <c r="M764" s="4"/>
      <c r="N764" s="2"/>
      <c r="O764" s="5" t="str">
        <f t="shared" ca="1" si="67"/>
        <v/>
      </c>
      <c r="P764" s="6"/>
      <c r="V764" t="str">
        <f t="shared" si="68"/>
        <v/>
      </c>
      <c r="W764" t="str">
        <f t="shared" si="69"/>
        <v/>
      </c>
      <c r="X764" t="str">
        <f t="shared" si="70"/>
        <v/>
      </c>
      <c r="Y764" t="str">
        <f t="shared" si="71"/>
        <v/>
      </c>
    </row>
    <row r="765" spans="1:25" ht="14.5" x14ac:dyDescent="0.35">
      <c r="A765" s="3"/>
      <c r="B765" s="2"/>
      <c r="C765" s="2"/>
      <c r="D765" s="4"/>
      <c r="E765" s="2"/>
      <c r="F765" s="2"/>
      <c r="G765" s="3" t="str">
        <f t="shared" si="66"/>
        <v/>
      </c>
      <c r="H765" s="3"/>
      <c r="I765" s="3"/>
      <c r="J765" s="2"/>
      <c r="K765" s="2"/>
      <c r="L765" s="2"/>
      <c r="M765" s="4"/>
      <c r="N765" s="2"/>
      <c r="O765" s="5" t="str">
        <f t="shared" ca="1" si="67"/>
        <v/>
      </c>
      <c r="P765" s="6"/>
      <c r="V765" t="str">
        <f t="shared" si="68"/>
        <v/>
      </c>
      <c r="W765" t="str">
        <f t="shared" si="69"/>
        <v/>
      </c>
      <c r="X765" t="str">
        <f t="shared" si="70"/>
        <v/>
      </c>
      <c r="Y765" t="str">
        <f t="shared" si="71"/>
        <v/>
      </c>
    </row>
    <row r="766" spans="1:25" ht="14.5" x14ac:dyDescent="0.35">
      <c r="A766" s="3"/>
      <c r="B766" s="2"/>
      <c r="C766" s="2"/>
      <c r="D766" s="4"/>
      <c r="E766" s="2"/>
      <c r="F766" s="2"/>
      <c r="G766" s="3" t="str">
        <f t="shared" si="66"/>
        <v/>
      </c>
      <c r="H766" s="3"/>
      <c r="I766" s="3"/>
      <c r="J766" s="2"/>
      <c r="K766" s="2"/>
      <c r="L766" s="2"/>
      <c r="M766" s="4"/>
      <c r="N766" s="2"/>
      <c r="O766" s="5" t="str">
        <f t="shared" ca="1" si="67"/>
        <v/>
      </c>
      <c r="P766" s="6"/>
      <c r="V766" t="str">
        <f t="shared" si="68"/>
        <v/>
      </c>
      <c r="W766" t="str">
        <f t="shared" si="69"/>
        <v/>
      </c>
      <c r="X766" t="str">
        <f t="shared" si="70"/>
        <v/>
      </c>
      <c r="Y766" t="str">
        <f t="shared" si="71"/>
        <v/>
      </c>
    </row>
    <row r="767" spans="1:25" ht="14.5" x14ac:dyDescent="0.35">
      <c r="A767" s="3"/>
      <c r="B767" s="2"/>
      <c r="C767" s="2"/>
      <c r="D767" s="4"/>
      <c r="E767" s="2"/>
      <c r="F767" s="2"/>
      <c r="G767" s="3" t="str">
        <f t="shared" si="66"/>
        <v/>
      </c>
      <c r="H767" s="3"/>
      <c r="I767" s="3"/>
      <c r="J767" s="2"/>
      <c r="K767" s="2"/>
      <c r="L767" s="2"/>
      <c r="M767" s="4"/>
      <c r="N767" s="2"/>
      <c r="O767" s="5" t="str">
        <f t="shared" ca="1" si="67"/>
        <v/>
      </c>
      <c r="P767" s="6"/>
      <c r="V767" t="str">
        <f t="shared" si="68"/>
        <v/>
      </c>
      <c r="W767" t="str">
        <f t="shared" si="69"/>
        <v/>
      </c>
      <c r="X767" t="str">
        <f t="shared" si="70"/>
        <v/>
      </c>
      <c r="Y767" t="str">
        <f t="shared" si="71"/>
        <v/>
      </c>
    </row>
    <row r="768" spans="1:25" ht="14.5" x14ac:dyDescent="0.35">
      <c r="A768" s="3"/>
      <c r="B768" s="2"/>
      <c r="C768" s="2"/>
      <c r="D768" s="4"/>
      <c r="E768" s="2"/>
      <c r="F768" s="2"/>
      <c r="G768" s="3" t="str">
        <f t="shared" si="66"/>
        <v/>
      </c>
      <c r="H768" s="3"/>
      <c r="I768" s="3"/>
      <c r="J768" s="2"/>
      <c r="K768" s="2"/>
      <c r="L768" s="2"/>
      <c r="M768" s="4"/>
      <c r="N768" s="2"/>
      <c r="O768" s="5" t="str">
        <f t="shared" ca="1" si="67"/>
        <v/>
      </c>
      <c r="P768" s="6"/>
      <c r="V768" t="str">
        <f t="shared" si="68"/>
        <v/>
      </c>
      <c r="W768" t="str">
        <f t="shared" si="69"/>
        <v/>
      </c>
      <c r="X768" t="str">
        <f t="shared" si="70"/>
        <v/>
      </c>
      <c r="Y768" t="str">
        <f t="shared" si="71"/>
        <v/>
      </c>
    </row>
    <row r="769" spans="1:25" ht="14.5" x14ac:dyDescent="0.35">
      <c r="A769" s="3"/>
      <c r="B769" s="2"/>
      <c r="C769" s="2"/>
      <c r="D769" s="4"/>
      <c r="E769" s="2"/>
      <c r="F769" s="2"/>
      <c r="G769" s="3" t="str">
        <f t="shared" si="66"/>
        <v/>
      </c>
      <c r="H769" s="3"/>
      <c r="I769" s="3"/>
      <c r="J769" s="2"/>
      <c r="K769" s="2"/>
      <c r="L769" s="2"/>
      <c r="M769" s="4"/>
      <c r="N769" s="2"/>
      <c r="O769" s="5" t="str">
        <f t="shared" ca="1" si="67"/>
        <v/>
      </c>
      <c r="P769" s="6"/>
      <c r="V769" t="str">
        <f t="shared" si="68"/>
        <v/>
      </c>
      <c r="W769" t="str">
        <f t="shared" si="69"/>
        <v/>
      </c>
      <c r="X769" t="str">
        <f t="shared" si="70"/>
        <v/>
      </c>
      <c r="Y769" t="str">
        <f t="shared" si="71"/>
        <v/>
      </c>
    </row>
    <row r="770" spans="1:25" ht="14.5" x14ac:dyDescent="0.35">
      <c r="A770" s="3"/>
      <c r="B770" s="2"/>
      <c r="C770" s="2"/>
      <c r="D770" s="4"/>
      <c r="E770" s="2"/>
      <c r="F770" s="2"/>
      <c r="G770" s="3" t="str">
        <f t="shared" ref="G770:G833" si="72">IF(COUNTIF($A$2:$A$1500,A770&amp;".*")=0,"",COUNTIF($A$2:$A$1500,A770&amp;".*"))</f>
        <v/>
      </c>
      <c r="H770" s="3"/>
      <c r="I770" s="3"/>
      <c r="J770" s="2"/>
      <c r="K770" s="2"/>
      <c r="L770" s="2"/>
      <c r="M770" s="4"/>
      <c r="N770" s="2"/>
      <c r="O770" s="5" t="str">
        <f t="shared" ref="O770:O833" ca="1" si="73">IF(M770="","",INT(M770)-TODAY())</f>
        <v/>
      </c>
      <c r="P770" s="6"/>
      <c r="V770" t="str">
        <f t="shared" ref="V770:V833" si="74">IF(M770="","",M770+Q770/1000000)</f>
        <v/>
      </c>
      <c r="W770" t="str">
        <f t="shared" ref="W770:W833" si="75">IF(U770="","",IF(M770="",9999999+Q770/1000000,M770+Q770/1000000))</f>
        <v/>
      </c>
      <c r="X770" t="str">
        <f t="shared" ref="X770:X833" si="76">IF(U770="","",SUMPRODUCT(($U$2:$U$1500=U770)*($W$2:$W$1500&lt;=W770)))</f>
        <v/>
      </c>
      <c r="Y770" t="str">
        <f t="shared" ref="Y770:Y833" si="77">IF(U770="","",U770&amp;"|"&amp;X770)</f>
        <v/>
      </c>
    </row>
    <row r="771" spans="1:25" ht="14.5" x14ac:dyDescent="0.35">
      <c r="A771" s="3"/>
      <c r="B771" s="2"/>
      <c r="C771" s="2"/>
      <c r="D771" s="4"/>
      <c r="E771" s="2"/>
      <c r="F771" s="2"/>
      <c r="G771" s="3" t="str">
        <f t="shared" si="72"/>
        <v/>
      </c>
      <c r="H771" s="3"/>
      <c r="I771" s="3"/>
      <c r="J771" s="2"/>
      <c r="K771" s="2"/>
      <c r="L771" s="2"/>
      <c r="M771" s="4"/>
      <c r="N771" s="2"/>
      <c r="O771" s="5" t="str">
        <f t="shared" ca="1" si="73"/>
        <v/>
      </c>
      <c r="P771" s="6"/>
      <c r="V771" t="str">
        <f t="shared" si="74"/>
        <v/>
      </c>
      <c r="W771" t="str">
        <f t="shared" si="75"/>
        <v/>
      </c>
      <c r="X771" t="str">
        <f t="shared" si="76"/>
        <v/>
      </c>
      <c r="Y771" t="str">
        <f t="shared" si="77"/>
        <v/>
      </c>
    </row>
    <row r="772" spans="1:25" ht="14.5" x14ac:dyDescent="0.35">
      <c r="A772" s="3"/>
      <c r="B772" s="2"/>
      <c r="C772" s="2"/>
      <c r="D772" s="4"/>
      <c r="E772" s="2"/>
      <c r="F772" s="2"/>
      <c r="G772" s="3" t="str">
        <f t="shared" si="72"/>
        <v/>
      </c>
      <c r="H772" s="3"/>
      <c r="I772" s="3"/>
      <c r="J772" s="2"/>
      <c r="K772" s="2"/>
      <c r="L772" s="2"/>
      <c r="M772" s="4"/>
      <c r="N772" s="2"/>
      <c r="O772" s="5" t="str">
        <f t="shared" ca="1" si="73"/>
        <v/>
      </c>
      <c r="P772" s="6"/>
      <c r="V772" t="str">
        <f t="shared" si="74"/>
        <v/>
      </c>
      <c r="W772" t="str">
        <f t="shared" si="75"/>
        <v/>
      </c>
      <c r="X772" t="str">
        <f t="shared" si="76"/>
        <v/>
      </c>
      <c r="Y772" t="str">
        <f t="shared" si="77"/>
        <v/>
      </c>
    </row>
    <row r="773" spans="1:25" ht="14.5" x14ac:dyDescent="0.35">
      <c r="A773" s="3"/>
      <c r="B773" s="2"/>
      <c r="C773" s="2"/>
      <c r="D773" s="4"/>
      <c r="E773" s="2"/>
      <c r="F773" s="2"/>
      <c r="G773" s="3" t="str">
        <f t="shared" si="72"/>
        <v/>
      </c>
      <c r="H773" s="3"/>
      <c r="I773" s="3"/>
      <c r="J773" s="2"/>
      <c r="K773" s="2"/>
      <c r="L773" s="2"/>
      <c r="M773" s="4"/>
      <c r="N773" s="2"/>
      <c r="O773" s="5" t="str">
        <f t="shared" ca="1" si="73"/>
        <v/>
      </c>
      <c r="P773" s="6"/>
      <c r="V773" t="str">
        <f t="shared" si="74"/>
        <v/>
      </c>
      <c r="W773" t="str">
        <f t="shared" si="75"/>
        <v/>
      </c>
      <c r="X773" t="str">
        <f t="shared" si="76"/>
        <v/>
      </c>
      <c r="Y773" t="str">
        <f t="shared" si="77"/>
        <v/>
      </c>
    </row>
    <row r="774" spans="1:25" ht="14.5" x14ac:dyDescent="0.35">
      <c r="A774" s="3"/>
      <c r="B774" s="2"/>
      <c r="C774" s="2"/>
      <c r="D774" s="4"/>
      <c r="E774" s="2"/>
      <c r="F774" s="2"/>
      <c r="G774" s="3" t="str">
        <f t="shared" si="72"/>
        <v/>
      </c>
      <c r="H774" s="3"/>
      <c r="I774" s="3"/>
      <c r="J774" s="2"/>
      <c r="K774" s="2"/>
      <c r="L774" s="2"/>
      <c r="M774" s="4"/>
      <c r="N774" s="2"/>
      <c r="O774" s="5" t="str">
        <f t="shared" ca="1" si="73"/>
        <v/>
      </c>
      <c r="P774" s="6"/>
      <c r="V774" t="str">
        <f t="shared" si="74"/>
        <v/>
      </c>
      <c r="W774" t="str">
        <f t="shared" si="75"/>
        <v/>
      </c>
      <c r="X774" t="str">
        <f t="shared" si="76"/>
        <v/>
      </c>
      <c r="Y774" t="str">
        <f t="shared" si="77"/>
        <v/>
      </c>
    </row>
    <row r="775" spans="1:25" ht="14.5" x14ac:dyDescent="0.35">
      <c r="A775" s="3"/>
      <c r="B775" s="2"/>
      <c r="C775" s="2"/>
      <c r="D775" s="4"/>
      <c r="E775" s="2"/>
      <c r="F775" s="2"/>
      <c r="G775" s="3" t="str">
        <f t="shared" si="72"/>
        <v/>
      </c>
      <c r="H775" s="3"/>
      <c r="I775" s="3"/>
      <c r="J775" s="2"/>
      <c r="K775" s="2"/>
      <c r="L775" s="2"/>
      <c r="M775" s="4"/>
      <c r="N775" s="2"/>
      <c r="O775" s="5" t="str">
        <f t="shared" ca="1" si="73"/>
        <v/>
      </c>
      <c r="P775" s="6"/>
      <c r="V775" t="str">
        <f t="shared" si="74"/>
        <v/>
      </c>
      <c r="W775" t="str">
        <f t="shared" si="75"/>
        <v/>
      </c>
      <c r="X775" t="str">
        <f t="shared" si="76"/>
        <v/>
      </c>
      <c r="Y775" t="str">
        <f t="shared" si="77"/>
        <v/>
      </c>
    </row>
    <row r="776" spans="1:25" ht="14.5" x14ac:dyDescent="0.35">
      <c r="A776" s="3"/>
      <c r="B776" s="2"/>
      <c r="C776" s="2"/>
      <c r="D776" s="4"/>
      <c r="E776" s="2"/>
      <c r="F776" s="2"/>
      <c r="G776" s="3" t="str">
        <f t="shared" si="72"/>
        <v/>
      </c>
      <c r="H776" s="3"/>
      <c r="I776" s="3"/>
      <c r="J776" s="2"/>
      <c r="K776" s="2"/>
      <c r="L776" s="2"/>
      <c r="M776" s="4"/>
      <c r="N776" s="2"/>
      <c r="O776" s="5" t="str">
        <f t="shared" ca="1" si="73"/>
        <v/>
      </c>
      <c r="P776" s="6"/>
      <c r="V776" t="str">
        <f t="shared" si="74"/>
        <v/>
      </c>
      <c r="W776" t="str">
        <f t="shared" si="75"/>
        <v/>
      </c>
      <c r="X776" t="str">
        <f t="shared" si="76"/>
        <v/>
      </c>
      <c r="Y776" t="str">
        <f t="shared" si="77"/>
        <v/>
      </c>
    </row>
    <row r="777" spans="1:25" ht="14.5" x14ac:dyDescent="0.35">
      <c r="A777" s="3"/>
      <c r="B777" s="2"/>
      <c r="C777" s="2"/>
      <c r="D777" s="4"/>
      <c r="E777" s="2"/>
      <c r="F777" s="2"/>
      <c r="G777" s="3" t="str">
        <f t="shared" si="72"/>
        <v/>
      </c>
      <c r="H777" s="3"/>
      <c r="I777" s="3"/>
      <c r="J777" s="2"/>
      <c r="K777" s="2"/>
      <c r="L777" s="2"/>
      <c r="M777" s="4"/>
      <c r="N777" s="2"/>
      <c r="O777" s="5" t="str">
        <f t="shared" ca="1" si="73"/>
        <v/>
      </c>
      <c r="P777" s="6"/>
      <c r="V777" t="str">
        <f t="shared" si="74"/>
        <v/>
      </c>
      <c r="W777" t="str">
        <f t="shared" si="75"/>
        <v/>
      </c>
      <c r="X777" t="str">
        <f t="shared" si="76"/>
        <v/>
      </c>
      <c r="Y777" t="str">
        <f t="shared" si="77"/>
        <v/>
      </c>
    </row>
    <row r="778" spans="1:25" ht="14.5" x14ac:dyDescent="0.35">
      <c r="A778" s="3"/>
      <c r="B778" s="2"/>
      <c r="C778" s="2"/>
      <c r="D778" s="4"/>
      <c r="E778" s="2"/>
      <c r="F778" s="2"/>
      <c r="G778" s="3" t="str">
        <f t="shared" si="72"/>
        <v/>
      </c>
      <c r="H778" s="3"/>
      <c r="I778" s="3"/>
      <c r="J778" s="2"/>
      <c r="K778" s="2"/>
      <c r="L778" s="2"/>
      <c r="M778" s="4"/>
      <c r="N778" s="2"/>
      <c r="O778" s="5" t="str">
        <f t="shared" ca="1" si="73"/>
        <v/>
      </c>
      <c r="P778" s="6"/>
      <c r="V778" t="str">
        <f t="shared" si="74"/>
        <v/>
      </c>
      <c r="W778" t="str">
        <f t="shared" si="75"/>
        <v/>
      </c>
      <c r="X778" t="str">
        <f t="shared" si="76"/>
        <v/>
      </c>
      <c r="Y778" t="str">
        <f t="shared" si="77"/>
        <v/>
      </c>
    </row>
    <row r="779" spans="1:25" ht="14.5" x14ac:dyDescent="0.35">
      <c r="A779" s="3"/>
      <c r="B779" s="2"/>
      <c r="C779" s="2"/>
      <c r="D779" s="4"/>
      <c r="E779" s="2"/>
      <c r="F779" s="2"/>
      <c r="G779" s="3" t="str">
        <f t="shared" si="72"/>
        <v/>
      </c>
      <c r="H779" s="3"/>
      <c r="I779" s="3"/>
      <c r="J779" s="2"/>
      <c r="K779" s="2"/>
      <c r="L779" s="2"/>
      <c r="M779" s="4"/>
      <c r="N779" s="2"/>
      <c r="O779" s="5" t="str">
        <f t="shared" ca="1" si="73"/>
        <v/>
      </c>
      <c r="P779" s="6"/>
      <c r="V779" t="str">
        <f t="shared" si="74"/>
        <v/>
      </c>
      <c r="W779" t="str">
        <f t="shared" si="75"/>
        <v/>
      </c>
      <c r="X779" t="str">
        <f t="shared" si="76"/>
        <v/>
      </c>
      <c r="Y779" t="str">
        <f t="shared" si="77"/>
        <v/>
      </c>
    </row>
    <row r="780" spans="1:25" ht="14.5" x14ac:dyDescent="0.35">
      <c r="A780" s="3"/>
      <c r="B780" s="2"/>
      <c r="C780" s="2"/>
      <c r="D780" s="4"/>
      <c r="E780" s="2"/>
      <c r="F780" s="2"/>
      <c r="G780" s="3" t="str">
        <f t="shared" si="72"/>
        <v/>
      </c>
      <c r="H780" s="3"/>
      <c r="I780" s="3"/>
      <c r="J780" s="2"/>
      <c r="K780" s="2"/>
      <c r="L780" s="2"/>
      <c r="M780" s="4"/>
      <c r="N780" s="2"/>
      <c r="O780" s="5" t="str">
        <f t="shared" ca="1" si="73"/>
        <v/>
      </c>
      <c r="P780" s="6"/>
      <c r="V780" t="str">
        <f t="shared" si="74"/>
        <v/>
      </c>
      <c r="W780" t="str">
        <f t="shared" si="75"/>
        <v/>
      </c>
      <c r="X780" t="str">
        <f t="shared" si="76"/>
        <v/>
      </c>
      <c r="Y780" t="str">
        <f t="shared" si="77"/>
        <v/>
      </c>
    </row>
    <row r="781" spans="1:25" ht="14.5" x14ac:dyDescent="0.35">
      <c r="A781" s="3"/>
      <c r="B781" s="2"/>
      <c r="C781" s="2"/>
      <c r="D781" s="4"/>
      <c r="E781" s="2"/>
      <c r="F781" s="2"/>
      <c r="G781" s="3" t="str">
        <f t="shared" si="72"/>
        <v/>
      </c>
      <c r="H781" s="3"/>
      <c r="I781" s="3"/>
      <c r="J781" s="2"/>
      <c r="K781" s="2"/>
      <c r="L781" s="2"/>
      <c r="M781" s="4"/>
      <c r="N781" s="2"/>
      <c r="O781" s="5" t="str">
        <f t="shared" ca="1" si="73"/>
        <v/>
      </c>
      <c r="P781" s="6"/>
      <c r="V781" t="str">
        <f t="shared" si="74"/>
        <v/>
      </c>
      <c r="W781" t="str">
        <f t="shared" si="75"/>
        <v/>
      </c>
      <c r="X781" t="str">
        <f t="shared" si="76"/>
        <v/>
      </c>
      <c r="Y781" t="str">
        <f t="shared" si="77"/>
        <v/>
      </c>
    </row>
    <row r="782" spans="1:25" ht="14.5" x14ac:dyDescent="0.35">
      <c r="A782" s="3"/>
      <c r="B782" s="2"/>
      <c r="C782" s="2"/>
      <c r="D782" s="4"/>
      <c r="E782" s="2"/>
      <c r="F782" s="2"/>
      <c r="G782" s="3" t="str">
        <f t="shared" si="72"/>
        <v/>
      </c>
      <c r="H782" s="3"/>
      <c r="I782" s="3"/>
      <c r="J782" s="2"/>
      <c r="K782" s="2"/>
      <c r="L782" s="2"/>
      <c r="M782" s="4"/>
      <c r="N782" s="2"/>
      <c r="O782" s="5" t="str">
        <f t="shared" ca="1" si="73"/>
        <v/>
      </c>
      <c r="P782" s="6"/>
      <c r="V782" t="str">
        <f t="shared" si="74"/>
        <v/>
      </c>
      <c r="W782" t="str">
        <f t="shared" si="75"/>
        <v/>
      </c>
      <c r="X782" t="str">
        <f t="shared" si="76"/>
        <v/>
      </c>
      <c r="Y782" t="str">
        <f t="shared" si="77"/>
        <v/>
      </c>
    </row>
    <row r="783" spans="1:25" ht="14.5" x14ac:dyDescent="0.35">
      <c r="A783" s="3"/>
      <c r="B783" s="2"/>
      <c r="C783" s="2"/>
      <c r="D783" s="4"/>
      <c r="E783" s="2"/>
      <c r="F783" s="2"/>
      <c r="G783" s="3" t="str">
        <f t="shared" si="72"/>
        <v/>
      </c>
      <c r="H783" s="3"/>
      <c r="I783" s="3"/>
      <c r="J783" s="2"/>
      <c r="K783" s="2"/>
      <c r="L783" s="2"/>
      <c r="M783" s="4"/>
      <c r="N783" s="2"/>
      <c r="O783" s="5" t="str">
        <f t="shared" ca="1" si="73"/>
        <v/>
      </c>
      <c r="P783" s="6"/>
      <c r="V783" t="str">
        <f t="shared" si="74"/>
        <v/>
      </c>
      <c r="W783" t="str">
        <f t="shared" si="75"/>
        <v/>
      </c>
      <c r="X783" t="str">
        <f t="shared" si="76"/>
        <v/>
      </c>
      <c r="Y783" t="str">
        <f t="shared" si="77"/>
        <v/>
      </c>
    </row>
    <row r="784" spans="1:25" ht="14.5" x14ac:dyDescent="0.35">
      <c r="A784" s="3"/>
      <c r="B784" s="2"/>
      <c r="C784" s="2"/>
      <c r="D784" s="4"/>
      <c r="E784" s="2"/>
      <c r="F784" s="2"/>
      <c r="G784" s="3" t="str">
        <f t="shared" si="72"/>
        <v/>
      </c>
      <c r="H784" s="3"/>
      <c r="I784" s="3"/>
      <c r="J784" s="2"/>
      <c r="K784" s="2"/>
      <c r="L784" s="2"/>
      <c r="M784" s="4"/>
      <c r="N784" s="2"/>
      <c r="O784" s="5" t="str">
        <f t="shared" ca="1" si="73"/>
        <v/>
      </c>
      <c r="P784" s="6"/>
      <c r="V784" t="str">
        <f t="shared" si="74"/>
        <v/>
      </c>
      <c r="W784" t="str">
        <f t="shared" si="75"/>
        <v/>
      </c>
      <c r="X784" t="str">
        <f t="shared" si="76"/>
        <v/>
      </c>
      <c r="Y784" t="str">
        <f t="shared" si="77"/>
        <v/>
      </c>
    </row>
    <row r="785" spans="1:25" ht="14.5" x14ac:dyDescent="0.35">
      <c r="A785" s="3"/>
      <c r="B785" s="2"/>
      <c r="C785" s="2"/>
      <c r="D785" s="4"/>
      <c r="E785" s="2"/>
      <c r="F785" s="2"/>
      <c r="G785" s="3" t="str">
        <f t="shared" si="72"/>
        <v/>
      </c>
      <c r="H785" s="3"/>
      <c r="I785" s="3"/>
      <c r="J785" s="2"/>
      <c r="K785" s="2"/>
      <c r="L785" s="2"/>
      <c r="M785" s="4"/>
      <c r="N785" s="2"/>
      <c r="O785" s="5" t="str">
        <f t="shared" ca="1" si="73"/>
        <v/>
      </c>
      <c r="P785" s="6"/>
      <c r="V785" t="str">
        <f t="shared" si="74"/>
        <v/>
      </c>
      <c r="W785" t="str">
        <f t="shared" si="75"/>
        <v/>
      </c>
      <c r="X785" t="str">
        <f t="shared" si="76"/>
        <v/>
      </c>
      <c r="Y785" t="str">
        <f t="shared" si="77"/>
        <v/>
      </c>
    </row>
    <row r="786" spans="1:25" ht="14.5" x14ac:dyDescent="0.35">
      <c r="A786" s="3"/>
      <c r="B786" s="2"/>
      <c r="C786" s="2"/>
      <c r="D786" s="4"/>
      <c r="E786" s="2"/>
      <c r="F786" s="2"/>
      <c r="G786" s="3" t="str">
        <f t="shared" si="72"/>
        <v/>
      </c>
      <c r="H786" s="3"/>
      <c r="I786" s="3"/>
      <c r="J786" s="2"/>
      <c r="K786" s="2"/>
      <c r="L786" s="2"/>
      <c r="M786" s="4"/>
      <c r="N786" s="2"/>
      <c r="O786" s="5" t="str">
        <f t="shared" ca="1" si="73"/>
        <v/>
      </c>
      <c r="P786" s="6"/>
      <c r="V786" t="str">
        <f t="shared" si="74"/>
        <v/>
      </c>
      <c r="W786" t="str">
        <f t="shared" si="75"/>
        <v/>
      </c>
      <c r="X786" t="str">
        <f t="shared" si="76"/>
        <v/>
      </c>
      <c r="Y786" t="str">
        <f t="shared" si="77"/>
        <v/>
      </c>
    </row>
    <row r="787" spans="1:25" ht="14.5" x14ac:dyDescent="0.35">
      <c r="A787" s="3"/>
      <c r="B787" s="2"/>
      <c r="C787" s="2"/>
      <c r="D787" s="4"/>
      <c r="E787" s="2"/>
      <c r="F787" s="2"/>
      <c r="G787" s="3" t="str">
        <f t="shared" si="72"/>
        <v/>
      </c>
      <c r="H787" s="3"/>
      <c r="I787" s="3"/>
      <c r="J787" s="2"/>
      <c r="K787" s="2"/>
      <c r="L787" s="2"/>
      <c r="M787" s="4"/>
      <c r="N787" s="2"/>
      <c r="O787" s="5" t="str">
        <f t="shared" ca="1" si="73"/>
        <v/>
      </c>
      <c r="P787" s="6"/>
      <c r="V787" t="str">
        <f t="shared" si="74"/>
        <v/>
      </c>
      <c r="W787" t="str">
        <f t="shared" si="75"/>
        <v/>
      </c>
      <c r="X787" t="str">
        <f t="shared" si="76"/>
        <v/>
      </c>
      <c r="Y787" t="str">
        <f t="shared" si="77"/>
        <v/>
      </c>
    </row>
    <row r="788" spans="1:25" ht="14.5" x14ac:dyDescent="0.35">
      <c r="A788" s="3"/>
      <c r="B788" s="2"/>
      <c r="C788" s="2"/>
      <c r="D788" s="4"/>
      <c r="E788" s="2"/>
      <c r="F788" s="2"/>
      <c r="G788" s="3" t="str">
        <f t="shared" si="72"/>
        <v/>
      </c>
      <c r="H788" s="3"/>
      <c r="I788" s="3"/>
      <c r="J788" s="2"/>
      <c r="K788" s="2"/>
      <c r="L788" s="2"/>
      <c r="M788" s="4"/>
      <c r="N788" s="2"/>
      <c r="O788" s="5" t="str">
        <f t="shared" ca="1" si="73"/>
        <v/>
      </c>
      <c r="P788" s="6"/>
      <c r="V788" t="str">
        <f t="shared" si="74"/>
        <v/>
      </c>
      <c r="W788" t="str">
        <f t="shared" si="75"/>
        <v/>
      </c>
      <c r="X788" t="str">
        <f t="shared" si="76"/>
        <v/>
      </c>
      <c r="Y788" t="str">
        <f t="shared" si="77"/>
        <v/>
      </c>
    </row>
    <row r="789" spans="1:25" ht="14.5" x14ac:dyDescent="0.35">
      <c r="A789" s="3"/>
      <c r="B789" s="2"/>
      <c r="C789" s="2"/>
      <c r="D789" s="4"/>
      <c r="E789" s="2"/>
      <c r="F789" s="2"/>
      <c r="G789" s="3" t="str">
        <f t="shared" si="72"/>
        <v/>
      </c>
      <c r="H789" s="3"/>
      <c r="I789" s="3"/>
      <c r="J789" s="2"/>
      <c r="K789" s="2"/>
      <c r="L789" s="2"/>
      <c r="M789" s="4"/>
      <c r="N789" s="2"/>
      <c r="O789" s="5" t="str">
        <f t="shared" ca="1" si="73"/>
        <v/>
      </c>
      <c r="P789" s="6"/>
      <c r="V789" t="str">
        <f t="shared" si="74"/>
        <v/>
      </c>
      <c r="W789" t="str">
        <f t="shared" si="75"/>
        <v/>
      </c>
      <c r="X789" t="str">
        <f t="shared" si="76"/>
        <v/>
      </c>
      <c r="Y789" t="str">
        <f t="shared" si="77"/>
        <v/>
      </c>
    </row>
    <row r="790" spans="1:25" ht="14.5" x14ac:dyDescent="0.35">
      <c r="A790" s="3"/>
      <c r="B790" s="2"/>
      <c r="C790" s="2"/>
      <c r="D790" s="4"/>
      <c r="E790" s="2"/>
      <c r="F790" s="2"/>
      <c r="G790" s="3" t="str">
        <f t="shared" si="72"/>
        <v/>
      </c>
      <c r="H790" s="3"/>
      <c r="I790" s="3"/>
      <c r="J790" s="2"/>
      <c r="K790" s="2"/>
      <c r="L790" s="2"/>
      <c r="M790" s="4"/>
      <c r="N790" s="2"/>
      <c r="O790" s="5" t="str">
        <f t="shared" ca="1" si="73"/>
        <v/>
      </c>
      <c r="P790" s="6"/>
      <c r="V790" t="str">
        <f t="shared" si="74"/>
        <v/>
      </c>
      <c r="W790" t="str">
        <f t="shared" si="75"/>
        <v/>
      </c>
      <c r="X790" t="str">
        <f t="shared" si="76"/>
        <v/>
      </c>
      <c r="Y790" t="str">
        <f t="shared" si="77"/>
        <v/>
      </c>
    </row>
    <row r="791" spans="1:25" ht="14.5" x14ac:dyDescent="0.35">
      <c r="A791" s="3"/>
      <c r="B791" s="2"/>
      <c r="C791" s="2"/>
      <c r="D791" s="4"/>
      <c r="E791" s="2"/>
      <c r="F791" s="2"/>
      <c r="G791" s="3" t="str">
        <f t="shared" si="72"/>
        <v/>
      </c>
      <c r="H791" s="3"/>
      <c r="I791" s="3"/>
      <c r="J791" s="2"/>
      <c r="K791" s="2"/>
      <c r="L791" s="2"/>
      <c r="M791" s="4"/>
      <c r="N791" s="2"/>
      <c r="O791" s="5" t="str">
        <f t="shared" ca="1" si="73"/>
        <v/>
      </c>
      <c r="P791" s="6"/>
      <c r="V791" t="str">
        <f t="shared" si="74"/>
        <v/>
      </c>
      <c r="W791" t="str">
        <f t="shared" si="75"/>
        <v/>
      </c>
      <c r="X791" t="str">
        <f t="shared" si="76"/>
        <v/>
      </c>
      <c r="Y791" t="str">
        <f t="shared" si="77"/>
        <v/>
      </c>
    </row>
    <row r="792" spans="1:25" ht="14.5" x14ac:dyDescent="0.35">
      <c r="A792" s="3"/>
      <c r="B792" s="2"/>
      <c r="C792" s="2"/>
      <c r="D792" s="4"/>
      <c r="E792" s="2"/>
      <c r="F792" s="2"/>
      <c r="G792" s="3" t="str">
        <f t="shared" si="72"/>
        <v/>
      </c>
      <c r="H792" s="3"/>
      <c r="I792" s="3"/>
      <c r="J792" s="2"/>
      <c r="K792" s="2"/>
      <c r="L792" s="2"/>
      <c r="M792" s="4"/>
      <c r="N792" s="2"/>
      <c r="O792" s="5" t="str">
        <f t="shared" ca="1" si="73"/>
        <v/>
      </c>
      <c r="P792" s="6"/>
      <c r="V792" t="str">
        <f t="shared" si="74"/>
        <v/>
      </c>
      <c r="W792" t="str">
        <f t="shared" si="75"/>
        <v/>
      </c>
      <c r="X792" t="str">
        <f t="shared" si="76"/>
        <v/>
      </c>
      <c r="Y792" t="str">
        <f t="shared" si="77"/>
        <v/>
      </c>
    </row>
    <row r="793" spans="1:25" ht="14.5" x14ac:dyDescent="0.35">
      <c r="A793" s="3"/>
      <c r="B793" s="2"/>
      <c r="C793" s="2"/>
      <c r="D793" s="4"/>
      <c r="E793" s="2"/>
      <c r="F793" s="2"/>
      <c r="G793" s="3" t="str">
        <f t="shared" si="72"/>
        <v/>
      </c>
      <c r="H793" s="3"/>
      <c r="I793" s="3"/>
      <c r="J793" s="2"/>
      <c r="K793" s="2"/>
      <c r="L793" s="2"/>
      <c r="M793" s="4"/>
      <c r="N793" s="2"/>
      <c r="O793" s="5" t="str">
        <f t="shared" ca="1" si="73"/>
        <v/>
      </c>
      <c r="P793" s="6"/>
      <c r="V793" t="str">
        <f t="shared" si="74"/>
        <v/>
      </c>
      <c r="W793" t="str">
        <f t="shared" si="75"/>
        <v/>
      </c>
      <c r="X793" t="str">
        <f t="shared" si="76"/>
        <v/>
      </c>
      <c r="Y793" t="str">
        <f t="shared" si="77"/>
        <v/>
      </c>
    </row>
    <row r="794" spans="1:25" ht="14.5" x14ac:dyDescent="0.35">
      <c r="A794" s="3"/>
      <c r="B794" s="2"/>
      <c r="C794" s="2"/>
      <c r="D794" s="4"/>
      <c r="E794" s="2"/>
      <c r="F794" s="2"/>
      <c r="G794" s="3" t="str">
        <f t="shared" si="72"/>
        <v/>
      </c>
      <c r="H794" s="3"/>
      <c r="I794" s="3"/>
      <c r="J794" s="2"/>
      <c r="K794" s="2"/>
      <c r="L794" s="2"/>
      <c r="M794" s="4"/>
      <c r="N794" s="2"/>
      <c r="O794" s="5" t="str">
        <f t="shared" ca="1" si="73"/>
        <v/>
      </c>
      <c r="P794" s="6"/>
      <c r="V794" t="str">
        <f t="shared" si="74"/>
        <v/>
      </c>
      <c r="W794" t="str">
        <f t="shared" si="75"/>
        <v/>
      </c>
      <c r="X794" t="str">
        <f t="shared" si="76"/>
        <v/>
      </c>
      <c r="Y794" t="str">
        <f t="shared" si="77"/>
        <v/>
      </c>
    </row>
    <row r="795" spans="1:25" ht="14.5" x14ac:dyDescent="0.35">
      <c r="A795" s="3"/>
      <c r="B795" s="2"/>
      <c r="C795" s="2"/>
      <c r="D795" s="4"/>
      <c r="E795" s="2"/>
      <c r="F795" s="2"/>
      <c r="G795" s="3" t="str">
        <f t="shared" si="72"/>
        <v/>
      </c>
      <c r="H795" s="3"/>
      <c r="I795" s="3"/>
      <c r="J795" s="2"/>
      <c r="K795" s="2"/>
      <c r="L795" s="2"/>
      <c r="M795" s="4"/>
      <c r="N795" s="2"/>
      <c r="O795" s="5" t="str">
        <f t="shared" ca="1" si="73"/>
        <v/>
      </c>
      <c r="P795" s="6"/>
      <c r="V795" t="str">
        <f t="shared" si="74"/>
        <v/>
      </c>
      <c r="W795" t="str">
        <f t="shared" si="75"/>
        <v/>
      </c>
      <c r="X795" t="str">
        <f t="shared" si="76"/>
        <v/>
      </c>
      <c r="Y795" t="str">
        <f t="shared" si="77"/>
        <v/>
      </c>
    </row>
    <row r="796" spans="1:25" ht="14.5" x14ac:dyDescent="0.35">
      <c r="A796" s="3"/>
      <c r="B796" s="2"/>
      <c r="C796" s="2"/>
      <c r="D796" s="4"/>
      <c r="E796" s="2"/>
      <c r="F796" s="2"/>
      <c r="G796" s="3" t="str">
        <f t="shared" si="72"/>
        <v/>
      </c>
      <c r="H796" s="3"/>
      <c r="I796" s="3"/>
      <c r="J796" s="2"/>
      <c r="K796" s="2"/>
      <c r="L796" s="2"/>
      <c r="M796" s="4"/>
      <c r="N796" s="2"/>
      <c r="O796" s="5" t="str">
        <f t="shared" ca="1" si="73"/>
        <v/>
      </c>
      <c r="P796" s="6"/>
      <c r="V796" t="str">
        <f t="shared" si="74"/>
        <v/>
      </c>
      <c r="W796" t="str">
        <f t="shared" si="75"/>
        <v/>
      </c>
      <c r="X796" t="str">
        <f t="shared" si="76"/>
        <v/>
      </c>
      <c r="Y796" t="str">
        <f t="shared" si="77"/>
        <v/>
      </c>
    </row>
    <row r="797" spans="1:25" ht="14.5" x14ac:dyDescent="0.35">
      <c r="A797" s="3"/>
      <c r="B797" s="2"/>
      <c r="C797" s="2"/>
      <c r="D797" s="4"/>
      <c r="E797" s="2"/>
      <c r="F797" s="2"/>
      <c r="G797" s="3" t="str">
        <f t="shared" si="72"/>
        <v/>
      </c>
      <c r="H797" s="3"/>
      <c r="I797" s="3"/>
      <c r="J797" s="2"/>
      <c r="K797" s="2"/>
      <c r="L797" s="2"/>
      <c r="M797" s="4"/>
      <c r="N797" s="2"/>
      <c r="O797" s="5" t="str">
        <f t="shared" ca="1" si="73"/>
        <v/>
      </c>
      <c r="P797" s="6"/>
      <c r="V797" t="str">
        <f t="shared" si="74"/>
        <v/>
      </c>
      <c r="W797" t="str">
        <f t="shared" si="75"/>
        <v/>
      </c>
      <c r="X797" t="str">
        <f t="shared" si="76"/>
        <v/>
      </c>
      <c r="Y797" t="str">
        <f t="shared" si="77"/>
        <v/>
      </c>
    </row>
    <row r="798" spans="1:25" ht="14.5" x14ac:dyDescent="0.35">
      <c r="A798" s="3"/>
      <c r="B798" s="2"/>
      <c r="C798" s="2"/>
      <c r="D798" s="4"/>
      <c r="E798" s="2"/>
      <c r="F798" s="2"/>
      <c r="G798" s="3" t="str">
        <f t="shared" si="72"/>
        <v/>
      </c>
      <c r="H798" s="3"/>
      <c r="I798" s="3"/>
      <c r="J798" s="2"/>
      <c r="K798" s="2"/>
      <c r="L798" s="2"/>
      <c r="M798" s="4"/>
      <c r="N798" s="2"/>
      <c r="O798" s="5" t="str">
        <f t="shared" ca="1" si="73"/>
        <v/>
      </c>
      <c r="P798" s="6"/>
      <c r="V798" t="str">
        <f t="shared" si="74"/>
        <v/>
      </c>
      <c r="W798" t="str">
        <f t="shared" si="75"/>
        <v/>
      </c>
      <c r="X798" t="str">
        <f t="shared" si="76"/>
        <v/>
      </c>
      <c r="Y798" t="str">
        <f t="shared" si="77"/>
        <v/>
      </c>
    </row>
    <row r="799" spans="1:25" ht="14.5" x14ac:dyDescent="0.35">
      <c r="A799" s="3"/>
      <c r="B799" s="2"/>
      <c r="C799" s="2"/>
      <c r="D799" s="4"/>
      <c r="E799" s="2"/>
      <c r="F799" s="2"/>
      <c r="G799" s="3" t="str">
        <f t="shared" si="72"/>
        <v/>
      </c>
      <c r="H799" s="3"/>
      <c r="I799" s="3"/>
      <c r="J799" s="2"/>
      <c r="K799" s="2"/>
      <c r="L799" s="2"/>
      <c r="M799" s="4"/>
      <c r="N799" s="2"/>
      <c r="O799" s="5" t="str">
        <f t="shared" ca="1" si="73"/>
        <v/>
      </c>
      <c r="P799" s="6"/>
      <c r="V799" t="str">
        <f t="shared" si="74"/>
        <v/>
      </c>
      <c r="W799" t="str">
        <f t="shared" si="75"/>
        <v/>
      </c>
      <c r="X799" t="str">
        <f t="shared" si="76"/>
        <v/>
      </c>
      <c r="Y799" t="str">
        <f t="shared" si="77"/>
        <v/>
      </c>
    </row>
    <row r="800" spans="1:25" ht="14.5" x14ac:dyDescent="0.35">
      <c r="A800" s="3"/>
      <c r="B800" s="2"/>
      <c r="C800" s="2"/>
      <c r="D800" s="4"/>
      <c r="E800" s="2"/>
      <c r="F800" s="2"/>
      <c r="G800" s="3" t="str">
        <f t="shared" si="72"/>
        <v/>
      </c>
      <c r="H800" s="3"/>
      <c r="I800" s="3"/>
      <c r="J800" s="2"/>
      <c r="K800" s="2"/>
      <c r="L800" s="2"/>
      <c r="M800" s="4"/>
      <c r="N800" s="2"/>
      <c r="O800" s="5" t="str">
        <f t="shared" ca="1" si="73"/>
        <v/>
      </c>
      <c r="P800" s="6"/>
      <c r="V800" t="str">
        <f t="shared" si="74"/>
        <v/>
      </c>
      <c r="W800" t="str">
        <f t="shared" si="75"/>
        <v/>
      </c>
      <c r="X800" t="str">
        <f t="shared" si="76"/>
        <v/>
      </c>
      <c r="Y800" t="str">
        <f t="shared" si="77"/>
        <v/>
      </c>
    </row>
    <row r="801" spans="1:25" ht="14.5" x14ac:dyDescent="0.35">
      <c r="A801" s="3"/>
      <c r="B801" s="2"/>
      <c r="C801" s="2"/>
      <c r="D801" s="4"/>
      <c r="E801" s="2"/>
      <c r="F801" s="2"/>
      <c r="G801" s="3" t="str">
        <f t="shared" si="72"/>
        <v/>
      </c>
      <c r="H801" s="3"/>
      <c r="I801" s="3"/>
      <c r="J801" s="2"/>
      <c r="K801" s="2"/>
      <c r="L801" s="2"/>
      <c r="M801" s="4"/>
      <c r="N801" s="2"/>
      <c r="O801" s="5" t="str">
        <f t="shared" ca="1" si="73"/>
        <v/>
      </c>
      <c r="P801" s="6"/>
      <c r="V801" t="str">
        <f t="shared" si="74"/>
        <v/>
      </c>
      <c r="W801" t="str">
        <f t="shared" si="75"/>
        <v/>
      </c>
      <c r="X801" t="str">
        <f t="shared" si="76"/>
        <v/>
      </c>
      <c r="Y801" t="str">
        <f t="shared" si="77"/>
        <v/>
      </c>
    </row>
    <row r="802" spans="1:25" ht="14.5" x14ac:dyDescent="0.35">
      <c r="A802" s="3"/>
      <c r="B802" s="2"/>
      <c r="C802" s="2"/>
      <c r="D802" s="4"/>
      <c r="E802" s="2"/>
      <c r="F802" s="2"/>
      <c r="G802" s="3" t="str">
        <f t="shared" si="72"/>
        <v/>
      </c>
      <c r="H802" s="3"/>
      <c r="I802" s="3"/>
      <c r="J802" s="2"/>
      <c r="K802" s="2"/>
      <c r="L802" s="2"/>
      <c r="M802" s="4"/>
      <c r="N802" s="2"/>
      <c r="O802" s="5" t="str">
        <f t="shared" ca="1" si="73"/>
        <v/>
      </c>
      <c r="P802" s="6"/>
      <c r="V802" t="str">
        <f t="shared" si="74"/>
        <v/>
      </c>
      <c r="W802" t="str">
        <f t="shared" si="75"/>
        <v/>
      </c>
      <c r="X802" t="str">
        <f t="shared" si="76"/>
        <v/>
      </c>
      <c r="Y802" t="str">
        <f t="shared" si="77"/>
        <v/>
      </c>
    </row>
    <row r="803" spans="1:25" ht="14.5" x14ac:dyDescent="0.35">
      <c r="A803" s="3"/>
      <c r="B803" s="2"/>
      <c r="C803" s="2"/>
      <c r="D803" s="4"/>
      <c r="E803" s="2"/>
      <c r="F803" s="2"/>
      <c r="G803" s="3" t="str">
        <f t="shared" si="72"/>
        <v/>
      </c>
      <c r="H803" s="3"/>
      <c r="I803" s="3"/>
      <c r="J803" s="2"/>
      <c r="K803" s="2"/>
      <c r="L803" s="2"/>
      <c r="M803" s="4"/>
      <c r="N803" s="2"/>
      <c r="O803" s="5" t="str">
        <f t="shared" ca="1" si="73"/>
        <v/>
      </c>
      <c r="P803" s="6"/>
      <c r="V803" t="str">
        <f t="shared" si="74"/>
        <v/>
      </c>
      <c r="W803" t="str">
        <f t="shared" si="75"/>
        <v/>
      </c>
      <c r="X803" t="str">
        <f t="shared" si="76"/>
        <v/>
      </c>
      <c r="Y803" t="str">
        <f t="shared" si="77"/>
        <v/>
      </c>
    </row>
    <row r="804" spans="1:25" ht="14.5" x14ac:dyDescent="0.35">
      <c r="A804" s="3"/>
      <c r="B804" s="2"/>
      <c r="C804" s="2"/>
      <c r="D804" s="4"/>
      <c r="E804" s="2"/>
      <c r="F804" s="2"/>
      <c r="G804" s="3" t="str">
        <f t="shared" si="72"/>
        <v/>
      </c>
      <c r="H804" s="3"/>
      <c r="I804" s="3"/>
      <c r="J804" s="2"/>
      <c r="K804" s="2"/>
      <c r="L804" s="2"/>
      <c r="M804" s="4"/>
      <c r="N804" s="2"/>
      <c r="O804" s="5" t="str">
        <f t="shared" ca="1" si="73"/>
        <v/>
      </c>
      <c r="P804" s="6"/>
      <c r="V804" t="str">
        <f t="shared" si="74"/>
        <v/>
      </c>
      <c r="W804" t="str">
        <f t="shared" si="75"/>
        <v/>
      </c>
      <c r="X804" t="str">
        <f t="shared" si="76"/>
        <v/>
      </c>
      <c r="Y804" t="str">
        <f t="shared" si="77"/>
        <v/>
      </c>
    </row>
    <row r="805" spans="1:25" ht="14.5" x14ac:dyDescent="0.35">
      <c r="A805" s="3"/>
      <c r="B805" s="2"/>
      <c r="C805" s="2"/>
      <c r="D805" s="4"/>
      <c r="E805" s="2"/>
      <c r="F805" s="2"/>
      <c r="G805" s="3" t="str">
        <f t="shared" si="72"/>
        <v/>
      </c>
      <c r="H805" s="3"/>
      <c r="I805" s="3"/>
      <c r="J805" s="2"/>
      <c r="K805" s="2"/>
      <c r="L805" s="2"/>
      <c r="M805" s="4"/>
      <c r="N805" s="2"/>
      <c r="O805" s="5" t="str">
        <f t="shared" ca="1" si="73"/>
        <v/>
      </c>
      <c r="P805" s="6"/>
      <c r="V805" t="str">
        <f t="shared" si="74"/>
        <v/>
      </c>
      <c r="W805" t="str">
        <f t="shared" si="75"/>
        <v/>
      </c>
      <c r="X805" t="str">
        <f t="shared" si="76"/>
        <v/>
      </c>
      <c r="Y805" t="str">
        <f t="shared" si="77"/>
        <v/>
      </c>
    </row>
    <row r="806" spans="1:25" ht="14.5" x14ac:dyDescent="0.35">
      <c r="A806" s="3"/>
      <c r="B806" s="2"/>
      <c r="C806" s="2"/>
      <c r="D806" s="4"/>
      <c r="E806" s="2"/>
      <c r="F806" s="2"/>
      <c r="G806" s="3" t="str">
        <f t="shared" si="72"/>
        <v/>
      </c>
      <c r="H806" s="3"/>
      <c r="I806" s="3"/>
      <c r="J806" s="2"/>
      <c r="K806" s="2"/>
      <c r="L806" s="2"/>
      <c r="M806" s="4"/>
      <c r="N806" s="2"/>
      <c r="O806" s="5" t="str">
        <f t="shared" ca="1" si="73"/>
        <v/>
      </c>
      <c r="P806" s="6"/>
      <c r="V806" t="str">
        <f t="shared" si="74"/>
        <v/>
      </c>
      <c r="W806" t="str">
        <f t="shared" si="75"/>
        <v/>
      </c>
      <c r="X806" t="str">
        <f t="shared" si="76"/>
        <v/>
      </c>
      <c r="Y806" t="str">
        <f t="shared" si="77"/>
        <v/>
      </c>
    </row>
    <row r="807" spans="1:25" ht="14.5" x14ac:dyDescent="0.35">
      <c r="A807" s="3"/>
      <c r="B807" s="2"/>
      <c r="C807" s="2"/>
      <c r="D807" s="4"/>
      <c r="E807" s="2"/>
      <c r="F807" s="2"/>
      <c r="G807" s="3" t="str">
        <f t="shared" si="72"/>
        <v/>
      </c>
      <c r="H807" s="3"/>
      <c r="I807" s="3"/>
      <c r="J807" s="2"/>
      <c r="K807" s="2"/>
      <c r="L807" s="2"/>
      <c r="M807" s="4"/>
      <c r="N807" s="2"/>
      <c r="O807" s="5" t="str">
        <f t="shared" ca="1" si="73"/>
        <v/>
      </c>
      <c r="P807" s="6"/>
      <c r="V807" t="str">
        <f t="shared" si="74"/>
        <v/>
      </c>
      <c r="W807" t="str">
        <f t="shared" si="75"/>
        <v/>
      </c>
      <c r="X807" t="str">
        <f t="shared" si="76"/>
        <v/>
      </c>
      <c r="Y807" t="str">
        <f t="shared" si="77"/>
        <v/>
      </c>
    </row>
    <row r="808" spans="1:25" ht="14.5" x14ac:dyDescent="0.35">
      <c r="A808" s="3"/>
      <c r="B808" s="2"/>
      <c r="C808" s="2"/>
      <c r="D808" s="4"/>
      <c r="E808" s="2"/>
      <c r="F808" s="2"/>
      <c r="G808" s="3" t="str">
        <f t="shared" si="72"/>
        <v/>
      </c>
      <c r="H808" s="3"/>
      <c r="I808" s="3"/>
      <c r="J808" s="2"/>
      <c r="K808" s="2"/>
      <c r="L808" s="2"/>
      <c r="M808" s="4"/>
      <c r="N808" s="2"/>
      <c r="O808" s="5" t="str">
        <f t="shared" ca="1" si="73"/>
        <v/>
      </c>
      <c r="P808" s="6"/>
      <c r="V808" t="str">
        <f t="shared" si="74"/>
        <v/>
      </c>
      <c r="W808" t="str">
        <f t="shared" si="75"/>
        <v/>
      </c>
      <c r="X808" t="str">
        <f t="shared" si="76"/>
        <v/>
      </c>
      <c r="Y808" t="str">
        <f t="shared" si="77"/>
        <v/>
      </c>
    </row>
    <row r="809" spans="1:25" ht="14.5" x14ac:dyDescent="0.35">
      <c r="A809" s="3"/>
      <c r="B809" s="2"/>
      <c r="C809" s="2"/>
      <c r="D809" s="4"/>
      <c r="E809" s="2"/>
      <c r="F809" s="2"/>
      <c r="G809" s="3" t="str">
        <f t="shared" si="72"/>
        <v/>
      </c>
      <c r="H809" s="3"/>
      <c r="I809" s="3"/>
      <c r="J809" s="2"/>
      <c r="K809" s="2"/>
      <c r="L809" s="2"/>
      <c r="M809" s="4"/>
      <c r="N809" s="2"/>
      <c r="O809" s="5" t="str">
        <f t="shared" ca="1" si="73"/>
        <v/>
      </c>
      <c r="P809" s="6"/>
      <c r="V809" t="str">
        <f t="shared" si="74"/>
        <v/>
      </c>
      <c r="W809" t="str">
        <f t="shared" si="75"/>
        <v/>
      </c>
      <c r="X809" t="str">
        <f t="shared" si="76"/>
        <v/>
      </c>
      <c r="Y809" t="str">
        <f t="shared" si="77"/>
        <v/>
      </c>
    </row>
    <row r="810" spans="1:25" ht="14.5" x14ac:dyDescent="0.35">
      <c r="A810" s="3"/>
      <c r="B810" s="2"/>
      <c r="C810" s="2"/>
      <c r="D810" s="4"/>
      <c r="E810" s="2"/>
      <c r="F810" s="2"/>
      <c r="G810" s="3" t="str">
        <f t="shared" si="72"/>
        <v/>
      </c>
      <c r="H810" s="3"/>
      <c r="I810" s="3"/>
      <c r="J810" s="2"/>
      <c r="K810" s="2"/>
      <c r="L810" s="2"/>
      <c r="M810" s="4"/>
      <c r="N810" s="2"/>
      <c r="O810" s="5" t="str">
        <f t="shared" ca="1" si="73"/>
        <v/>
      </c>
      <c r="P810" s="6"/>
      <c r="V810" t="str">
        <f t="shared" si="74"/>
        <v/>
      </c>
      <c r="W810" t="str">
        <f t="shared" si="75"/>
        <v/>
      </c>
      <c r="X810" t="str">
        <f t="shared" si="76"/>
        <v/>
      </c>
      <c r="Y810" t="str">
        <f t="shared" si="77"/>
        <v/>
      </c>
    </row>
    <row r="811" spans="1:25" ht="14.5" x14ac:dyDescent="0.35">
      <c r="A811" s="3"/>
      <c r="B811" s="2"/>
      <c r="C811" s="2"/>
      <c r="D811" s="4"/>
      <c r="E811" s="2"/>
      <c r="F811" s="2"/>
      <c r="G811" s="3" t="str">
        <f t="shared" si="72"/>
        <v/>
      </c>
      <c r="H811" s="3"/>
      <c r="I811" s="3"/>
      <c r="J811" s="2"/>
      <c r="K811" s="2"/>
      <c r="L811" s="2"/>
      <c r="M811" s="4"/>
      <c r="N811" s="2"/>
      <c r="O811" s="5" t="str">
        <f t="shared" ca="1" si="73"/>
        <v/>
      </c>
      <c r="P811" s="6"/>
      <c r="V811" t="str">
        <f t="shared" si="74"/>
        <v/>
      </c>
      <c r="W811" t="str">
        <f t="shared" si="75"/>
        <v/>
      </c>
      <c r="X811" t="str">
        <f t="shared" si="76"/>
        <v/>
      </c>
      <c r="Y811" t="str">
        <f t="shared" si="77"/>
        <v/>
      </c>
    </row>
    <row r="812" spans="1:25" ht="14.5" x14ac:dyDescent="0.35">
      <c r="A812" s="3"/>
      <c r="B812" s="2"/>
      <c r="C812" s="2"/>
      <c r="D812" s="4"/>
      <c r="E812" s="2"/>
      <c r="F812" s="2"/>
      <c r="G812" s="3" t="str">
        <f t="shared" si="72"/>
        <v/>
      </c>
      <c r="H812" s="3"/>
      <c r="I812" s="3"/>
      <c r="J812" s="2"/>
      <c r="K812" s="2"/>
      <c r="L812" s="2"/>
      <c r="M812" s="4"/>
      <c r="N812" s="2"/>
      <c r="O812" s="5" t="str">
        <f t="shared" ca="1" si="73"/>
        <v/>
      </c>
      <c r="P812" s="6"/>
      <c r="V812" t="str">
        <f t="shared" si="74"/>
        <v/>
      </c>
      <c r="W812" t="str">
        <f t="shared" si="75"/>
        <v/>
      </c>
      <c r="X812" t="str">
        <f t="shared" si="76"/>
        <v/>
      </c>
      <c r="Y812" t="str">
        <f t="shared" si="77"/>
        <v/>
      </c>
    </row>
    <row r="813" spans="1:25" ht="14.5" x14ac:dyDescent="0.35">
      <c r="A813" s="3"/>
      <c r="B813" s="2"/>
      <c r="C813" s="2"/>
      <c r="D813" s="4"/>
      <c r="E813" s="2"/>
      <c r="F813" s="2"/>
      <c r="G813" s="3" t="str">
        <f t="shared" si="72"/>
        <v/>
      </c>
      <c r="H813" s="3"/>
      <c r="I813" s="3"/>
      <c r="J813" s="2"/>
      <c r="K813" s="2"/>
      <c r="L813" s="2"/>
      <c r="M813" s="4"/>
      <c r="N813" s="2"/>
      <c r="O813" s="5" t="str">
        <f t="shared" ca="1" si="73"/>
        <v/>
      </c>
      <c r="P813" s="6"/>
      <c r="V813" t="str">
        <f t="shared" si="74"/>
        <v/>
      </c>
      <c r="W813" t="str">
        <f t="shared" si="75"/>
        <v/>
      </c>
      <c r="X813" t="str">
        <f t="shared" si="76"/>
        <v/>
      </c>
      <c r="Y813" t="str">
        <f t="shared" si="77"/>
        <v/>
      </c>
    </row>
    <row r="814" spans="1:25" ht="14.5" x14ac:dyDescent="0.35">
      <c r="A814" s="3"/>
      <c r="B814" s="2"/>
      <c r="C814" s="2"/>
      <c r="D814" s="4"/>
      <c r="E814" s="2"/>
      <c r="F814" s="2"/>
      <c r="G814" s="3" t="str">
        <f t="shared" si="72"/>
        <v/>
      </c>
      <c r="H814" s="3"/>
      <c r="I814" s="3"/>
      <c r="J814" s="2"/>
      <c r="K814" s="2"/>
      <c r="L814" s="2"/>
      <c r="M814" s="4"/>
      <c r="N814" s="2"/>
      <c r="O814" s="5" t="str">
        <f t="shared" ca="1" si="73"/>
        <v/>
      </c>
      <c r="P814" s="6"/>
      <c r="V814" t="str">
        <f t="shared" si="74"/>
        <v/>
      </c>
      <c r="W814" t="str">
        <f t="shared" si="75"/>
        <v/>
      </c>
      <c r="X814" t="str">
        <f t="shared" si="76"/>
        <v/>
      </c>
      <c r="Y814" t="str">
        <f t="shared" si="77"/>
        <v/>
      </c>
    </row>
    <row r="815" spans="1:25" ht="14.5" x14ac:dyDescent="0.35">
      <c r="A815" s="3"/>
      <c r="B815" s="2"/>
      <c r="C815" s="2"/>
      <c r="D815" s="4"/>
      <c r="E815" s="2"/>
      <c r="F815" s="2"/>
      <c r="G815" s="3" t="str">
        <f t="shared" si="72"/>
        <v/>
      </c>
      <c r="H815" s="3"/>
      <c r="I815" s="3"/>
      <c r="J815" s="2"/>
      <c r="K815" s="2"/>
      <c r="L815" s="2"/>
      <c r="M815" s="4"/>
      <c r="N815" s="2"/>
      <c r="O815" s="5" t="str">
        <f t="shared" ca="1" si="73"/>
        <v/>
      </c>
      <c r="P815" s="6"/>
      <c r="V815" t="str">
        <f t="shared" si="74"/>
        <v/>
      </c>
      <c r="W815" t="str">
        <f t="shared" si="75"/>
        <v/>
      </c>
      <c r="X815" t="str">
        <f t="shared" si="76"/>
        <v/>
      </c>
      <c r="Y815" t="str">
        <f t="shared" si="77"/>
        <v/>
      </c>
    </row>
    <row r="816" spans="1:25" ht="14.5" x14ac:dyDescent="0.35">
      <c r="A816" s="3"/>
      <c r="B816" s="2"/>
      <c r="C816" s="2"/>
      <c r="D816" s="4"/>
      <c r="E816" s="2"/>
      <c r="F816" s="2"/>
      <c r="G816" s="3" t="str">
        <f t="shared" si="72"/>
        <v/>
      </c>
      <c r="H816" s="3"/>
      <c r="I816" s="3"/>
      <c r="J816" s="2"/>
      <c r="K816" s="2"/>
      <c r="L816" s="2"/>
      <c r="M816" s="4"/>
      <c r="N816" s="2"/>
      <c r="O816" s="5" t="str">
        <f t="shared" ca="1" si="73"/>
        <v/>
      </c>
      <c r="P816" s="6"/>
      <c r="V816" t="str">
        <f t="shared" si="74"/>
        <v/>
      </c>
      <c r="W816" t="str">
        <f t="shared" si="75"/>
        <v/>
      </c>
      <c r="X816" t="str">
        <f t="shared" si="76"/>
        <v/>
      </c>
      <c r="Y816" t="str">
        <f t="shared" si="77"/>
        <v/>
      </c>
    </row>
    <row r="817" spans="1:25" ht="14.5" x14ac:dyDescent="0.35">
      <c r="A817" s="3"/>
      <c r="B817" s="2"/>
      <c r="C817" s="2"/>
      <c r="D817" s="4"/>
      <c r="E817" s="2"/>
      <c r="F817" s="2"/>
      <c r="G817" s="3" t="str">
        <f t="shared" si="72"/>
        <v/>
      </c>
      <c r="H817" s="3"/>
      <c r="I817" s="3"/>
      <c r="J817" s="2"/>
      <c r="K817" s="2"/>
      <c r="L817" s="2"/>
      <c r="M817" s="4"/>
      <c r="N817" s="2"/>
      <c r="O817" s="5" t="str">
        <f t="shared" ca="1" si="73"/>
        <v/>
      </c>
      <c r="P817" s="6"/>
      <c r="V817" t="str">
        <f t="shared" si="74"/>
        <v/>
      </c>
      <c r="W817" t="str">
        <f t="shared" si="75"/>
        <v/>
      </c>
      <c r="X817" t="str">
        <f t="shared" si="76"/>
        <v/>
      </c>
      <c r="Y817" t="str">
        <f t="shared" si="77"/>
        <v/>
      </c>
    </row>
    <row r="818" spans="1:25" ht="14.5" x14ac:dyDescent="0.35">
      <c r="A818" s="3"/>
      <c r="B818" s="2"/>
      <c r="C818" s="2"/>
      <c r="D818" s="4"/>
      <c r="E818" s="2"/>
      <c r="F818" s="2"/>
      <c r="G818" s="3" t="str">
        <f t="shared" si="72"/>
        <v/>
      </c>
      <c r="H818" s="3"/>
      <c r="I818" s="3"/>
      <c r="J818" s="2"/>
      <c r="K818" s="2"/>
      <c r="L818" s="2"/>
      <c r="M818" s="4"/>
      <c r="N818" s="2"/>
      <c r="O818" s="5" t="str">
        <f t="shared" ca="1" si="73"/>
        <v/>
      </c>
      <c r="P818" s="6"/>
      <c r="V818" t="str">
        <f t="shared" si="74"/>
        <v/>
      </c>
      <c r="W818" t="str">
        <f t="shared" si="75"/>
        <v/>
      </c>
      <c r="X818" t="str">
        <f t="shared" si="76"/>
        <v/>
      </c>
      <c r="Y818" t="str">
        <f t="shared" si="77"/>
        <v/>
      </c>
    </row>
    <row r="819" spans="1:25" ht="14.5" x14ac:dyDescent="0.35">
      <c r="A819" s="3"/>
      <c r="B819" s="2"/>
      <c r="C819" s="2"/>
      <c r="D819" s="4"/>
      <c r="E819" s="2"/>
      <c r="F819" s="2"/>
      <c r="G819" s="3" t="str">
        <f t="shared" si="72"/>
        <v/>
      </c>
      <c r="H819" s="3"/>
      <c r="I819" s="3"/>
      <c r="J819" s="2"/>
      <c r="K819" s="2"/>
      <c r="L819" s="2"/>
      <c r="M819" s="4"/>
      <c r="N819" s="2"/>
      <c r="O819" s="5" t="str">
        <f t="shared" ca="1" si="73"/>
        <v/>
      </c>
      <c r="P819" s="6"/>
      <c r="V819" t="str">
        <f t="shared" si="74"/>
        <v/>
      </c>
      <c r="W819" t="str">
        <f t="shared" si="75"/>
        <v/>
      </c>
      <c r="X819" t="str">
        <f t="shared" si="76"/>
        <v/>
      </c>
      <c r="Y819" t="str">
        <f t="shared" si="77"/>
        <v/>
      </c>
    </row>
    <row r="820" spans="1:25" ht="14.5" x14ac:dyDescent="0.35">
      <c r="A820" s="3"/>
      <c r="B820" s="2"/>
      <c r="C820" s="2"/>
      <c r="D820" s="4"/>
      <c r="E820" s="2"/>
      <c r="F820" s="2"/>
      <c r="G820" s="3" t="str">
        <f t="shared" si="72"/>
        <v/>
      </c>
      <c r="H820" s="3"/>
      <c r="I820" s="3"/>
      <c r="J820" s="2"/>
      <c r="K820" s="2"/>
      <c r="L820" s="2"/>
      <c r="M820" s="4"/>
      <c r="N820" s="2"/>
      <c r="O820" s="5" t="str">
        <f t="shared" ca="1" si="73"/>
        <v/>
      </c>
      <c r="P820" s="6"/>
      <c r="V820" t="str">
        <f t="shared" si="74"/>
        <v/>
      </c>
      <c r="W820" t="str">
        <f t="shared" si="75"/>
        <v/>
      </c>
      <c r="X820" t="str">
        <f t="shared" si="76"/>
        <v/>
      </c>
      <c r="Y820" t="str">
        <f t="shared" si="77"/>
        <v/>
      </c>
    </row>
    <row r="821" spans="1:25" ht="14.5" x14ac:dyDescent="0.35">
      <c r="A821" s="3"/>
      <c r="B821" s="2"/>
      <c r="C821" s="2"/>
      <c r="D821" s="4"/>
      <c r="E821" s="2"/>
      <c r="F821" s="2"/>
      <c r="G821" s="3" t="str">
        <f t="shared" si="72"/>
        <v/>
      </c>
      <c r="H821" s="3"/>
      <c r="I821" s="3"/>
      <c r="J821" s="2"/>
      <c r="K821" s="2"/>
      <c r="L821" s="2"/>
      <c r="M821" s="4"/>
      <c r="N821" s="2"/>
      <c r="O821" s="5" t="str">
        <f t="shared" ca="1" si="73"/>
        <v/>
      </c>
      <c r="P821" s="6"/>
      <c r="V821" t="str">
        <f t="shared" si="74"/>
        <v/>
      </c>
      <c r="W821" t="str">
        <f t="shared" si="75"/>
        <v/>
      </c>
      <c r="X821" t="str">
        <f t="shared" si="76"/>
        <v/>
      </c>
      <c r="Y821" t="str">
        <f t="shared" si="77"/>
        <v/>
      </c>
    </row>
    <row r="822" spans="1:25" ht="14.5" x14ac:dyDescent="0.35">
      <c r="A822" s="3"/>
      <c r="B822" s="2"/>
      <c r="C822" s="2"/>
      <c r="D822" s="4"/>
      <c r="E822" s="2"/>
      <c r="F822" s="2"/>
      <c r="G822" s="3" t="str">
        <f t="shared" si="72"/>
        <v/>
      </c>
      <c r="H822" s="3"/>
      <c r="I822" s="3"/>
      <c r="J822" s="2"/>
      <c r="K822" s="2"/>
      <c r="L822" s="2"/>
      <c r="M822" s="4"/>
      <c r="N822" s="2"/>
      <c r="O822" s="5" t="str">
        <f t="shared" ca="1" si="73"/>
        <v/>
      </c>
      <c r="P822" s="6"/>
      <c r="V822" t="str">
        <f t="shared" si="74"/>
        <v/>
      </c>
      <c r="W822" t="str">
        <f t="shared" si="75"/>
        <v/>
      </c>
      <c r="X822" t="str">
        <f t="shared" si="76"/>
        <v/>
      </c>
      <c r="Y822" t="str">
        <f t="shared" si="77"/>
        <v/>
      </c>
    </row>
    <row r="823" spans="1:25" ht="14.5" x14ac:dyDescent="0.35">
      <c r="A823" s="3"/>
      <c r="B823" s="2"/>
      <c r="C823" s="2"/>
      <c r="D823" s="4"/>
      <c r="E823" s="2"/>
      <c r="F823" s="2"/>
      <c r="G823" s="3" t="str">
        <f t="shared" si="72"/>
        <v/>
      </c>
      <c r="H823" s="3"/>
      <c r="I823" s="3"/>
      <c r="J823" s="2"/>
      <c r="K823" s="2"/>
      <c r="L823" s="2"/>
      <c r="M823" s="4"/>
      <c r="N823" s="2"/>
      <c r="O823" s="5" t="str">
        <f t="shared" ca="1" si="73"/>
        <v/>
      </c>
      <c r="P823" s="6"/>
      <c r="V823" t="str">
        <f t="shared" si="74"/>
        <v/>
      </c>
      <c r="W823" t="str">
        <f t="shared" si="75"/>
        <v/>
      </c>
      <c r="X823" t="str">
        <f t="shared" si="76"/>
        <v/>
      </c>
      <c r="Y823" t="str">
        <f t="shared" si="77"/>
        <v/>
      </c>
    </row>
    <row r="824" spans="1:25" ht="14.5" x14ac:dyDescent="0.35">
      <c r="A824" s="3"/>
      <c r="B824" s="2"/>
      <c r="C824" s="2"/>
      <c r="D824" s="4"/>
      <c r="E824" s="2"/>
      <c r="F824" s="2"/>
      <c r="G824" s="3" t="str">
        <f t="shared" si="72"/>
        <v/>
      </c>
      <c r="H824" s="3"/>
      <c r="I824" s="3"/>
      <c r="J824" s="2"/>
      <c r="K824" s="2"/>
      <c r="L824" s="2"/>
      <c r="M824" s="4"/>
      <c r="N824" s="2"/>
      <c r="O824" s="5" t="str">
        <f t="shared" ca="1" si="73"/>
        <v/>
      </c>
      <c r="P824" s="6"/>
      <c r="V824" t="str">
        <f t="shared" si="74"/>
        <v/>
      </c>
      <c r="W824" t="str">
        <f t="shared" si="75"/>
        <v/>
      </c>
      <c r="X824" t="str">
        <f t="shared" si="76"/>
        <v/>
      </c>
      <c r="Y824" t="str">
        <f t="shared" si="77"/>
        <v/>
      </c>
    </row>
    <row r="825" spans="1:25" ht="14.5" x14ac:dyDescent="0.35">
      <c r="A825" s="3"/>
      <c r="B825" s="2"/>
      <c r="C825" s="2"/>
      <c r="D825" s="4"/>
      <c r="E825" s="2"/>
      <c r="F825" s="2"/>
      <c r="G825" s="3" t="str">
        <f t="shared" si="72"/>
        <v/>
      </c>
      <c r="H825" s="3"/>
      <c r="I825" s="3"/>
      <c r="J825" s="2"/>
      <c r="K825" s="2"/>
      <c r="L825" s="2"/>
      <c r="M825" s="4"/>
      <c r="N825" s="2"/>
      <c r="O825" s="5" t="str">
        <f t="shared" ca="1" si="73"/>
        <v/>
      </c>
      <c r="P825" s="6"/>
      <c r="V825" t="str">
        <f t="shared" si="74"/>
        <v/>
      </c>
      <c r="W825" t="str">
        <f t="shared" si="75"/>
        <v/>
      </c>
      <c r="X825" t="str">
        <f t="shared" si="76"/>
        <v/>
      </c>
      <c r="Y825" t="str">
        <f t="shared" si="77"/>
        <v/>
      </c>
    </row>
    <row r="826" spans="1:25" ht="14.5" x14ac:dyDescent="0.35">
      <c r="A826" s="3"/>
      <c r="B826" s="2"/>
      <c r="C826" s="2"/>
      <c r="D826" s="4"/>
      <c r="E826" s="2"/>
      <c r="F826" s="2"/>
      <c r="G826" s="3" t="str">
        <f t="shared" si="72"/>
        <v/>
      </c>
      <c r="H826" s="3"/>
      <c r="I826" s="3"/>
      <c r="J826" s="2"/>
      <c r="K826" s="2"/>
      <c r="L826" s="2"/>
      <c r="M826" s="4"/>
      <c r="N826" s="2"/>
      <c r="O826" s="5" t="str">
        <f t="shared" ca="1" si="73"/>
        <v/>
      </c>
      <c r="P826" s="6"/>
      <c r="V826" t="str">
        <f t="shared" si="74"/>
        <v/>
      </c>
      <c r="W826" t="str">
        <f t="shared" si="75"/>
        <v/>
      </c>
      <c r="X826" t="str">
        <f t="shared" si="76"/>
        <v/>
      </c>
      <c r="Y826" t="str">
        <f t="shared" si="77"/>
        <v/>
      </c>
    </row>
    <row r="827" spans="1:25" ht="14.5" x14ac:dyDescent="0.35">
      <c r="A827" s="3"/>
      <c r="B827" s="2"/>
      <c r="C827" s="2"/>
      <c r="D827" s="4"/>
      <c r="E827" s="2"/>
      <c r="F827" s="2"/>
      <c r="G827" s="3" t="str">
        <f t="shared" si="72"/>
        <v/>
      </c>
      <c r="H827" s="3"/>
      <c r="I827" s="3"/>
      <c r="J827" s="2"/>
      <c r="K827" s="2"/>
      <c r="L827" s="2"/>
      <c r="M827" s="4"/>
      <c r="N827" s="2"/>
      <c r="O827" s="5" t="str">
        <f t="shared" ca="1" si="73"/>
        <v/>
      </c>
      <c r="P827" s="6"/>
      <c r="V827" t="str">
        <f t="shared" si="74"/>
        <v/>
      </c>
      <c r="W827" t="str">
        <f t="shared" si="75"/>
        <v/>
      </c>
      <c r="X827" t="str">
        <f t="shared" si="76"/>
        <v/>
      </c>
      <c r="Y827" t="str">
        <f t="shared" si="77"/>
        <v/>
      </c>
    </row>
    <row r="828" spans="1:25" ht="14.5" x14ac:dyDescent="0.35">
      <c r="A828" s="3"/>
      <c r="B828" s="2"/>
      <c r="C828" s="2"/>
      <c r="D828" s="4"/>
      <c r="E828" s="2"/>
      <c r="F828" s="2"/>
      <c r="G828" s="3" t="str">
        <f t="shared" si="72"/>
        <v/>
      </c>
      <c r="H828" s="3"/>
      <c r="I828" s="3"/>
      <c r="J828" s="2"/>
      <c r="K828" s="2"/>
      <c r="L828" s="2"/>
      <c r="M828" s="4"/>
      <c r="N828" s="2"/>
      <c r="O828" s="5" t="str">
        <f t="shared" ca="1" si="73"/>
        <v/>
      </c>
      <c r="P828" s="6"/>
      <c r="V828" t="str">
        <f t="shared" si="74"/>
        <v/>
      </c>
      <c r="W828" t="str">
        <f t="shared" si="75"/>
        <v/>
      </c>
      <c r="X828" t="str">
        <f t="shared" si="76"/>
        <v/>
      </c>
      <c r="Y828" t="str">
        <f t="shared" si="77"/>
        <v/>
      </c>
    </row>
    <row r="829" spans="1:25" ht="14.5" x14ac:dyDescent="0.35">
      <c r="A829" s="3"/>
      <c r="B829" s="2"/>
      <c r="C829" s="2"/>
      <c r="D829" s="4"/>
      <c r="E829" s="2"/>
      <c r="F829" s="2"/>
      <c r="G829" s="3" t="str">
        <f t="shared" si="72"/>
        <v/>
      </c>
      <c r="H829" s="3"/>
      <c r="I829" s="3"/>
      <c r="J829" s="2"/>
      <c r="K829" s="2"/>
      <c r="L829" s="2"/>
      <c r="M829" s="4"/>
      <c r="N829" s="2"/>
      <c r="O829" s="5" t="str">
        <f t="shared" ca="1" si="73"/>
        <v/>
      </c>
      <c r="P829" s="6"/>
      <c r="V829" t="str">
        <f t="shared" si="74"/>
        <v/>
      </c>
      <c r="W829" t="str">
        <f t="shared" si="75"/>
        <v/>
      </c>
      <c r="X829" t="str">
        <f t="shared" si="76"/>
        <v/>
      </c>
      <c r="Y829" t="str">
        <f t="shared" si="77"/>
        <v/>
      </c>
    </row>
    <row r="830" spans="1:25" ht="14.5" x14ac:dyDescent="0.35">
      <c r="A830" s="3"/>
      <c r="B830" s="2"/>
      <c r="C830" s="2"/>
      <c r="D830" s="4"/>
      <c r="E830" s="2"/>
      <c r="F830" s="2"/>
      <c r="G830" s="3" t="str">
        <f t="shared" si="72"/>
        <v/>
      </c>
      <c r="H830" s="3"/>
      <c r="I830" s="3"/>
      <c r="J830" s="2"/>
      <c r="K830" s="2"/>
      <c r="L830" s="2"/>
      <c r="M830" s="4"/>
      <c r="N830" s="2"/>
      <c r="O830" s="5" t="str">
        <f t="shared" ca="1" si="73"/>
        <v/>
      </c>
      <c r="P830" s="6"/>
      <c r="V830" t="str">
        <f t="shared" si="74"/>
        <v/>
      </c>
      <c r="W830" t="str">
        <f t="shared" si="75"/>
        <v/>
      </c>
      <c r="X830" t="str">
        <f t="shared" si="76"/>
        <v/>
      </c>
      <c r="Y830" t="str">
        <f t="shared" si="77"/>
        <v/>
      </c>
    </row>
    <row r="831" spans="1:25" ht="14.5" x14ac:dyDescent="0.35">
      <c r="A831" s="3"/>
      <c r="B831" s="2"/>
      <c r="C831" s="2"/>
      <c r="D831" s="4"/>
      <c r="E831" s="2"/>
      <c r="F831" s="2"/>
      <c r="G831" s="3" t="str">
        <f t="shared" si="72"/>
        <v/>
      </c>
      <c r="H831" s="3"/>
      <c r="I831" s="3"/>
      <c r="J831" s="2"/>
      <c r="K831" s="2"/>
      <c r="L831" s="2"/>
      <c r="M831" s="4"/>
      <c r="N831" s="2"/>
      <c r="O831" s="5" t="str">
        <f t="shared" ca="1" si="73"/>
        <v/>
      </c>
      <c r="P831" s="6"/>
      <c r="V831" t="str">
        <f t="shared" si="74"/>
        <v/>
      </c>
      <c r="W831" t="str">
        <f t="shared" si="75"/>
        <v/>
      </c>
      <c r="X831" t="str">
        <f t="shared" si="76"/>
        <v/>
      </c>
      <c r="Y831" t="str">
        <f t="shared" si="77"/>
        <v/>
      </c>
    </row>
    <row r="832" spans="1:25" ht="14.5" x14ac:dyDescent="0.35">
      <c r="A832" s="3"/>
      <c r="B832" s="2"/>
      <c r="C832" s="2"/>
      <c r="D832" s="4"/>
      <c r="E832" s="2"/>
      <c r="F832" s="2"/>
      <c r="G832" s="3" t="str">
        <f t="shared" si="72"/>
        <v/>
      </c>
      <c r="H832" s="3"/>
      <c r="I832" s="3"/>
      <c r="J832" s="2"/>
      <c r="K832" s="2"/>
      <c r="L832" s="2"/>
      <c r="M832" s="4"/>
      <c r="N832" s="2"/>
      <c r="O832" s="5" t="str">
        <f t="shared" ca="1" si="73"/>
        <v/>
      </c>
      <c r="P832" s="6"/>
      <c r="V832" t="str">
        <f t="shared" si="74"/>
        <v/>
      </c>
      <c r="W832" t="str">
        <f t="shared" si="75"/>
        <v/>
      </c>
      <c r="X832" t="str">
        <f t="shared" si="76"/>
        <v/>
      </c>
      <c r="Y832" t="str">
        <f t="shared" si="77"/>
        <v/>
      </c>
    </row>
    <row r="833" spans="1:25" ht="14.5" x14ac:dyDescent="0.35">
      <c r="A833" s="3"/>
      <c r="B833" s="2"/>
      <c r="C833" s="2"/>
      <c r="D833" s="4"/>
      <c r="E833" s="2"/>
      <c r="F833" s="2"/>
      <c r="G833" s="3" t="str">
        <f t="shared" si="72"/>
        <v/>
      </c>
      <c r="H833" s="3"/>
      <c r="I833" s="3"/>
      <c r="J833" s="2"/>
      <c r="K833" s="2"/>
      <c r="L833" s="2"/>
      <c r="M833" s="4"/>
      <c r="N833" s="2"/>
      <c r="O833" s="5" t="str">
        <f t="shared" ca="1" si="73"/>
        <v/>
      </c>
      <c r="P833" s="6"/>
      <c r="V833" t="str">
        <f t="shared" si="74"/>
        <v/>
      </c>
      <c r="W833" t="str">
        <f t="shared" si="75"/>
        <v/>
      </c>
      <c r="X833" t="str">
        <f t="shared" si="76"/>
        <v/>
      </c>
      <c r="Y833" t="str">
        <f t="shared" si="77"/>
        <v/>
      </c>
    </row>
    <row r="834" spans="1:25" ht="14.5" x14ac:dyDescent="0.35">
      <c r="A834" s="3"/>
      <c r="B834" s="2"/>
      <c r="C834" s="2"/>
      <c r="D834" s="4"/>
      <c r="E834" s="2"/>
      <c r="F834" s="2"/>
      <c r="G834" s="3" t="str">
        <f t="shared" ref="G834:G897" si="78">IF(COUNTIF($A$2:$A$1500,A834&amp;".*")=0,"",COUNTIF($A$2:$A$1500,A834&amp;".*"))</f>
        <v/>
      </c>
      <c r="H834" s="3"/>
      <c r="I834" s="3"/>
      <c r="J834" s="2"/>
      <c r="K834" s="2"/>
      <c r="L834" s="2"/>
      <c r="M834" s="4"/>
      <c r="N834" s="2"/>
      <c r="O834" s="5" t="str">
        <f t="shared" ref="O834:O897" ca="1" si="79">IF(M834="","",INT(M834)-TODAY())</f>
        <v/>
      </c>
      <c r="P834" s="6"/>
      <c r="V834" t="str">
        <f t="shared" ref="V834:V897" si="80">IF(M834="","",M834+Q834/1000000)</f>
        <v/>
      </c>
      <c r="W834" t="str">
        <f t="shared" ref="W834:W897" si="81">IF(U834="","",IF(M834="",9999999+Q834/1000000,M834+Q834/1000000))</f>
        <v/>
      </c>
      <c r="X834" t="str">
        <f t="shared" ref="X834:X897" si="82">IF(U834="","",SUMPRODUCT(($U$2:$U$1500=U834)*($W$2:$W$1500&lt;=W834)))</f>
        <v/>
      </c>
      <c r="Y834" t="str">
        <f t="shared" ref="Y834:Y897" si="83">IF(U834="","",U834&amp;"|"&amp;X834)</f>
        <v/>
      </c>
    </row>
    <row r="835" spans="1:25" ht="14.5" x14ac:dyDescent="0.35">
      <c r="A835" s="3"/>
      <c r="B835" s="2"/>
      <c r="C835" s="2"/>
      <c r="D835" s="4"/>
      <c r="E835" s="2"/>
      <c r="F835" s="2"/>
      <c r="G835" s="3" t="str">
        <f t="shared" si="78"/>
        <v/>
      </c>
      <c r="H835" s="3"/>
      <c r="I835" s="3"/>
      <c r="J835" s="2"/>
      <c r="K835" s="2"/>
      <c r="L835" s="2"/>
      <c r="M835" s="4"/>
      <c r="N835" s="2"/>
      <c r="O835" s="5" t="str">
        <f t="shared" ca="1" si="79"/>
        <v/>
      </c>
      <c r="P835" s="6"/>
      <c r="V835" t="str">
        <f t="shared" si="80"/>
        <v/>
      </c>
      <c r="W835" t="str">
        <f t="shared" si="81"/>
        <v/>
      </c>
      <c r="X835" t="str">
        <f t="shared" si="82"/>
        <v/>
      </c>
      <c r="Y835" t="str">
        <f t="shared" si="83"/>
        <v/>
      </c>
    </row>
    <row r="836" spans="1:25" ht="14.5" x14ac:dyDescent="0.35">
      <c r="A836" s="3"/>
      <c r="B836" s="2"/>
      <c r="C836" s="2"/>
      <c r="D836" s="4"/>
      <c r="E836" s="2"/>
      <c r="F836" s="2"/>
      <c r="G836" s="3" t="str">
        <f t="shared" si="78"/>
        <v/>
      </c>
      <c r="H836" s="3"/>
      <c r="I836" s="3"/>
      <c r="J836" s="2"/>
      <c r="K836" s="2"/>
      <c r="L836" s="2"/>
      <c r="M836" s="4"/>
      <c r="N836" s="2"/>
      <c r="O836" s="5" t="str">
        <f t="shared" ca="1" si="79"/>
        <v/>
      </c>
      <c r="P836" s="6"/>
      <c r="V836" t="str">
        <f t="shared" si="80"/>
        <v/>
      </c>
      <c r="W836" t="str">
        <f t="shared" si="81"/>
        <v/>
      </c>
      <c r="X836" t="str">
        <f t="shared" si="82"/>
        <v/>
      </c>
      <c r="Y836" t="str">
        <f t="shared" si="83"/>
        <v/>
      </c>
    </row>
    <row r="837" spans="1:25" ht="14.5" x14ac:dyDescent="0.35">
      <c r="A837" s="3"/>
      <c r="B837" s="2"/>
      <c r="C837" s="2"/>
      <c r="D837" s="4"/>
      <c r="E837" s="2"/>
      <c r="F837" s="2"/>
      <c r="G837" s="3" t="str">
        <f t="shared" si="78"/>
        <v/>
      </c>
      <c r="H837" s="3"/>
      <c r="I837" s="3"/>
      <c r="J837" s="2"/>
      <c r="K837" s="2"/>
      <c r="L837" s="2"/>
      <c r="M837" s="4"/>
      <c r="N837" s="2"/>
      <c r="O837" s="5" t="str">
        <f t="shared" ca="1" si="79"/>
        <v/>
      </c>
      <c r="P837" s="6"/>
      <c r="V837" t="str">
        <f t="shared" si="80"/>
        <v/>
      </c>
      <c r="W837" t="str">
        <f t="shared" si="81"/>
        <v/>
      </c>
      <c r="X837" t="str">
        <f t="shared" si="82"/>
        <v/>
      </c>
      <c r="Y837" t="str">
        <f t="shared" si="83"/>
        <v/>
      </c>
    </row>
    <row r="838" spans="1:25" ht="14.5" x14ac:dyDescent="0.35">
      <c r="A838" s="3"/>
      <c r="B838" s="2"/>
      <c r="C838" s="2"/>
      <c r="D838" s="4"/>
      <c r="E838" s="2"/>
      <c r="F838" s="2"/>
      <c r="G838" s="3" t="str">
        <f t="shared" si="78"/>
        <v/>
      </c>
      <c r="H838" s="3"/>
      <c r="I838" s="3"/>
      <c r="J838" s="2"/>
      <c r="K838" s="2"/>
      <c r="L838" s="2"/>
      <c r="M838" s="4"/>
      <c r="N838" s="2"/>
      <c r="O838" s="5" t="str">
        <f t="shared" ca="1" si="79"/>
        <v/>
      </c>
      <c r="P838" s="6"/>
      <c r="V838" t="str">
        <f t="shared" si="80"/>
        <v/>
      </c>
      <c r="W838" t="str">
        <f t="shared" si="81"/>
        <v/>
      </c>
      <c r="X838" t="str">
        <f t="shared" si="82"/>
        <v/>
      </c>
      <c r="Y838" t="str">
        <f t="shared" si="83"/>
        <v/>
      </c>
    </row>
    <row r="839" spans="1:25" ht="14.5" x14ac:dyDescent="0.35">
      <c r="A839" s="3"/>
      <c r="B839" s="2"/>
      <c r="C839" s="2"/>
      <c r="D839" s="4"/>
      <c r="E839" s="2"/>
      <c r="F839" s="2"/>
      <c r="G839" s="3" t="str">
        <f t="shared" si="78"/>
        <v/>
      </c>
      <c r="H839" s="3"/>
      <c r="I839" s="3"/>
      <c r="J839" s="2"/>
      <c r="K839" s="2"/>
      <c r="L839" s="2"/>
      <c r="M839" s="4"/>
      <c r="N839" s="2"/>
      <c r="O839" s="5" t="str">
        <f t="shared" ca="1" si="79"/>
        <v/>
      </c>
      <c r="P839" s="6"/>
      <c r="V839" t="str">
        <f t="shared" si="80"/>
        <v/>
      </c>
      <c r="W839" t="str">
        <f t="shared" si="81"/>
        <v/>
      </c>
      <c r="X839" t="str">
        <f t="shared" si="82"/>
        <v/>
      </c>
      <c r="Y839" t="str">
        <f t="shared" si="83"/>
        <v/>
      </c>
    </row>
    <row r="840" spans="1:25" ht="14.5" x14ac:dyDescent="0.35">
      <c r="A840" s="3"/>
      <c r="B840" s="2"/>
      <c r="C840" s="2"/>
      <c r="D840" s="4"/>
      <c r="E840" s="2"/>
      <c r="F840" s="2"/>
      <c r="G840" s="3" t="str">
        <f t="shared" si="78"/>
        <v/>
      </c>
      <c r="H840" s="3"/>
      <c r="I840" s="3"/>
      <c r="J840" s="2"/>
      <c r="K840" s="2"/>
      <c r="L840" s="2"/>
      <c r="M840" s="4"/>
      <c r="N840" s="2"/>
      <c r="O840" s="5" t="str">
        <f t="shared" ca="1" si="79"/>
        <v/>
      </c>
      <c r="P840" s="6"/>
      <c r="V840" t="str">
        <f t="shared" si="80"/>
        <v/>
      </c>
      <c r="W840" t="str">
        <f t="shared" si="81"/>
        <v/>
      </c>
      <c r="X840" t="str">
        <f t="shared" si="82"/>
        <v/>
      </c>
      <c r="Y840" t="str">
        <f t="shared" si="83"/>
        <v/>
      </c>
    </row>
    <row r="841" spans="1:25" ht="14.5" x14ac:dyDescent="0.35">
      <c r="A841" s="3"/>
      <c r="B841" s="2"/>
      <c r="C841" s="2"/>
      <c r="D841" s="4"/>
      <c r="E841" s="2"/>
      <c r="F841" s="2"/>
      <c r="G841" s="3" t="str">
        <f t="shared" si="78"/>
        <v/>
      </c>
      <c r="H841" s="3"/>
      <c r="I841" s="3"/>
      <c r="J841" s="2"/>
      <c r="K841" s="2"/>
      <c r="L841" s="2"/>
      <c r="M841" s="4"/>
      <c r="N841" s="2"/>
      <c r="O841" s="5" t="str">
        <f t="shared" ca="1" si="79"/>
        <v/>
      </c>
      <c r="P841" s="6"/>
      <c r="V841" t="str">
        <f t="shared" si="80"/>
        <v/>
      </c>
      <c r="W841" t="str">
        <f t="shared" si="81"/>
        <v/>
      </c>
      <c r="X841" t="str">
        <f t="shared" si="82"/>
        <v/>
      </c>
      <c r="Y841" t="str">
        <f t="shared" si="83"/>
        <v/>
      </c>
    </row>
    <row r="842" spans="1:25" ht="14.5" x14ac:dyDescent="0.35">
      <c r="A842" s="3"/>
      <c r="B842" s="2"/>
      <c r="C842" s="2"/>
      <c r="D842" s="4"/>
      <c r="E842" s="2"/>
      <c r="F842" s="2"/>
      <c r="G842" s="3" t="str">
        <f t="shared" si="78"/>
        <v/>
      </c>
      <c r="H842" s="3"/>
      <c r="I842" s="3"/>
      <c r="J842" s="2"/>
      <c r="K842" s="2"/>
      <c r="L842" s="2"/>
      <c r="M842" s="4"/>
      <c r="N842" s="2"/>
      <c r="O842" s="5" t="str">
        <f t="shared" ca="1" si="79"/>
        <v/>
      </c>
      <c r="P842" s="6"/>
      <c r="V842" t="str">
        <f t="shared" si="80"/>
        <v/>
      </c>
      <c r="W842" t="str">
        <f t="shared" si="81"/>
        <v/>
      </c>
      <c r="X842" t="str">
        <f t="shared" si="82"/>
        <v/>
      </c>
      <c r="Y842" t="str">
        <f t="shared" si="83"/>
        <v/>
      </c>
    </row>
    <row r="843" spans="1:25" ht="14.5" x14ac:dyDescent="0.35">
      <c r="A843" s="3"/>
      <c r="B843" s="2"/>
      <c r="C843" s="2"/>
      <c r="D843" s="4"/>
      <c r="E843" s="2"/>
      <c r="F843" s="2"/>
      <c r="G843" s="3" t="str">
        <f t="shared" si="78"/>
        <v/>
      </c>
      <c r="H843" s="3"/>
      <c r="I843" s="3"/>
      <c r="J843" s="2"/>
      <c r="K843" s="2"/>
      <c r="L843" s="2"/>
      <c r="M843" s="4"/>
      <c r="N843" s="2"/>
      <c r="O843" s="5" t="str">
        <f t="shared" ca="1" si="79"/>
        <v/>
      </c>
      <c r="P843" s="6"/>
      <c r="V843" t="str">
        <f t="shared" si="80"/>
        <v/>
      </c>
      <c r="W843" t="str">
        <f t="shared" si="81"/>
        <v/>
      </c>
      <c r="X843" t="str">
        <f t="shared" si="82"/>
        <v/>
      </c>
      <c r="Y843" t="str">
        <f t="shared" si="83"/>
        <v/>
      </c>
    </row>
    <row r="844" spans="1:25" ht="14.5" x14ac:dyDescent="0.35">
      <c r="A844" s="3"/>
      <c r="B844" s="2"/>
      <c r="C844" s="2"/>
      <c r="D844" s="4"/>
      <c r="E844" s="2"/>
      <c r="F844" s="2"/>
      <c r="G844" s="3" t="str">
        <f t="shared" si="78"/>
        <v/>
      </c>
      <c r="H844" s="3"/>
      <c r="I844" s="3"/>
      <c r="J844" s="2"/>
      <c r="K844" s="2"/>
      <c r="L844" s="2"/>
      <c r="M844" s="4"/>
      <c r="N844" s="2"/>
      <c r="O844" s="5" t="str">
        <f t="shared" ca="1" si="79"/>
        <v/>
      </c>
      <c r="P844" s="6"/>
      <c r="V844" t="str">
        <f t="shared" si="80"/>
        <v/>
      </c>
      <c r="W844" t="str">
        <f t="shared" si="81"/>
        <v/>
      </c>
      <c r="X844" t="str">
        <f t="shared" si="82"/>
        <v/>
      </c>
      <c r="Y844" t="str">
        <f t="shared" si="83"/>
        <v/>
      </c>
    </row>
    <row r="845" spans="1:25" ht="14.5" x14ac:dyDescent="0.35">
      <c r="A845" s="3"/>
      <c r="B845" s="2"/>
      <c r="C845" s="2"/>
      <c r="D845" s="4"/>
      <c r="E845" s="2"/>
      <c r="F845" s="2"/>
      <c r="G845" s="3" t="str">
        <f t="shared" si="78"/>
        <v/>
      </c>
      <c r="H845" s="3"/>
      <c r="I845" s="3"/>
      <c r="J845" s="2"/>
      <c r="K845" s="2"/>
      <c r="L845" s="2"/>
      <c r="M845" s="4"/>
      <c r="N845" s="2"/>
      <c r="O845" s="5" t="str">
        <f t="shared" ca="1" si="79"/>
        <v/>
      </c>
      <c r="P845" s="6"/>
      <c r="V845" t="str">
        <f t="shared" si="80"/>
        <v/>
      </c>
      <c r="W845" t="str">
        <f t="shared" si="81"/>
        <v/>
      </c>
      <c r="X845" t="str">
        <f t="shared" si="82"/>
        <v/>
      </c>
      <c r="Y845" t="str">
        <f t="shared" si="83"/>
        <v/>
      </c>
    </row>
    <row r="846" spans="1:25" ht="14.5" x14ac:dyDescent="0.35">
      <c r="A846" s="3"/>
      <c r="B846" s="2"/>
      <c r="C846" s="2"/>
      <c r="D846" s="4"/>
      <c r="E846" s="2"/>
      <c r="F846" s="2"/>
      <c r="G846" s="3" t="str">
        <f t="shared" si="78"/>
        <v/>
      </c>
      <c r="H846" s="3"/>
      <c r="I846" s="3"/>
      <c r="J846" s="2"/>
      <c r="K846" s="2"/>
      <c r="L846" s="2"/>
      <c r="M846" s="4"/>
      <c r="N846" s="2"/>
      <c r="O846" s="5" t="str">
        <f t="shared" ca="1" si="79"/>
        <v/>
      </c>
      <c r="P846" s="6"/>
      <c r="V846" t="str">
        <f t="shared" si="80"/>
        <v/>
      </c>
      <c r="W846" t="str">
        <f t="shared" si="81"/>
        <v/>
      </c>
      <c r="X846" t="str">
        <f t="shared" si="82"/>
        <v/>
      </c>
      <c r="Y846" t="str">
        <f t="shared" si="83"/>
        <v/>
      </c>
    </row>
    <row r="847" spans="1:25" ht="14.5" x14ac:dyDescent="0.35">
      <c r="A847" s="3"/>
      <c r="B847" s="2"/>
      <c r="C847" s="2"/>
      <c r="D847" s="4"/>
      <c r="E847" s="2"/>
      <c r="F847" s="2"/>
      <c r="G847" s="3" t="str">
        <f t="shared" si="78"/>
        <v/>
      </c>
      <c r="H847" s="3"/>
      <c r="I847" s="3"/>
      <c r="J847" s="2"/>
      <c r="K847" s="2"/>
      <c r="L847" s="2"/>
      <c r="M847" s="4"/>
      <c r="N847" s="2"/>
      <c r="O847" s="5" t="str">
        <f t="shared" ca="1" si="79"/>
        <v/>
      </c>
      <c r="P847" s="6"/>
      <c r="V847" t="str">
        <f t="shared" si="80"/>
        <v/>
      </c>
      <c r="W847" t="str">
        <f t="shared" si="81"/>
        <v/>
      </c>
      <c r="X847" t="str">
        <f t="shared" si="82"/>
        <v/>
      </c>
      <c r="Y847" t="str">
        <f t="shared" si="83"/>
        <v/>
      </c>
    </row>
    <row r="848" spans="1:25" ht="14.5" x14ac:dyDescent="0.35">
      <c r="A848" s="3"/>
      <c r="B848" s="2"/>
      <c r="C848" s="2"/>
      <c r="D848" s="4"/>
      <c r="E848" s="2"/>
      <c r="F848" s="2"/>
      <c r="G848" s="3" t="str">
        <f t="shared" si="78"/>
        <v/>
      </c>
      <c r="H848" s="3"/>
      <c r="I848" s="3"/>
      <c r="J848" s="2"/>
      <c r="K848" s="2"/>
      <c r="L848" s="2"/>
      <c r="M848" s="4"/>
      <c r="N848" s="2"/>
      <c r="O848" s="5" t="str">
        <f t="shared" ca="1" si="79"/>
        <v/>
      </c>
      <c r="P848" s="6"/>
      <c r="V848" t="str">
        <f t="shared" si="80"/>
        <v/>
      </c>
      <c r="W848" t="str">
        <f t="shared" si="81"/>
        <v/>
      </c>
      <c r="X848" t="str">
        <f t="shared" si="82"/>
        <v/>
      </c>
      <c r="Y848" t="str">
        <f t="shared" si="83"/>
        <v/>
      </c>
    </row>
    <row r="849" spans="1:25" ht="14.5" x14ac:dyDescent="0.35">
      <c r="A849" s="3"/>
      <c r="B849" s="2"/>
      <c r="C849" s="2"/>
      <c r="D849" s="4"/>
      <c r="E849" s="2"/>
      <c r="F849" s="2"/>
      <c r="G849" s="3" t="str">
        <f t="shared" si="78"/>
        <v/>
      </c>
      <c r="H849" s="3"/>
      <c r="I849" s="3"/>
      <c r="J849" s="2"/>
      <c r="K849" s="2"/>
      <c r="L849" s="2"/>
      <c r="M849" s="4"/>
      <c r="N849" s="2"/>
      <c r="O849" s="5" t="str">
        <f t="shared" ca="1" si="79"/>
        <v/>
      </c>
      <c r="P849" s="6"/>
      <c r="V849" t="str">
        <f t="shared" si="80"/>
        <v/>
      </c>
      <c r="W849" t="str">
        <f t="shared" si="81"/>
        <v/>
      </c>
      <c r="X849" t="str">
        <f t="shared" si="82"/>
        <v/>
      </c>
      <c r="Y849" t="str">
        <f t="shared" si="83"/>
        <v/>
      </c>
    </row>
    <row r="850" spans="1:25" ht="14.5" x14ac:dyDescent="0.35">
      <c r="A850" s="3"/>
      <c r="B850" s="2"/>
      <c r="C850" s="2"/>
      <c r="D850" s="4"/>
      <c r="E850" s="2"/>
      <c r="F850" s="2"/>
      <c r="G850" s="3" t="str">
        <f t="shared" si="78"/>
        <v/>
      </c>
      <c r="H850" s="3"/>
      <c r="I850" s="3"/>
      <c r="J850" s="2"/>
      <c r="K850" s="2"/>
      <c r="L850" s="2"/>
      <c r="M850" s="4"/>
      <c r="N850" s="2"/>
      <c r="O850" s="5" t="str">
        <f t="shared" ca="1" si="79"/>
        <v/>
      </c>
      <c r="P850" s="6"/>
      <c r="V850" t="str">
        <f t="shared" si="80"/>
        <v/>
      </c>
      <c r="W850" t="str">
        <f t="shared" si="81"/>
        <v/>
      </c>
      <c r="X850" t="str">
        <f t="shared" si="82"/>
        <v/>
      </c>
      <c r="Y850" t="str">
        <f t="shared" si="83"/>
        <v/>
      </c>
    </row>
    <row r="851" spans="1:25" ht="14.5" x14ac:dyDescent="0.35">
      <c r="A851" s="3"/>
      <c r="B851" s="2"/>
      <c r="C851" s="2"/>
      <c r="D851" s="4"/>
      <c r="E851" s="2"/>
      <c r="F851" s="2"/>
      <c r="G851" s="3" t="str">
        <f t="shared" si="78"/>
        <v/>
      </c>
      <c r="H851" s="3"/>
      <c r="I851" s="3"/>
      <c r="J851" s="2"/>
      <c r="K851" s="2"/>
      <c r="L851" s="2"/>
      <c r="M851" s="4"/>
      <c r="N851" s="2"/>
      <c r="O851" s="5" t="str">
        <f t="shared" ca="1" si="79"/>
        <v/>
      </c>
      <c r="P851" s="6"/>
      <c r="V851" t="str">
        <f t="shared" si="80"/>
        <v/>
      </c>
      <c r="W851" t="str">
        <f t="shared" si="81"/>
        <v/>
      </c>
      <c r="X851" t="str">
        <f t="shared" si="82"/>
        <v/>
      </c>
      <c r="Y851" t="str">
        <f t="shared" si="83"/>
        <v/>
      </c>
    </row>
    <row r="852" spans="1:25" ht="14.5" x14ac:dyDescent="0.35">
      <c r="A852" s="3"/>
      <c r="B852" s="2"/>
      <c r="C852" s="2"/>
      <c r="D852" s="4"/>
      <c r="E852" s="2"/>
      <c r="F852" s="2"/>
      <c r="G852" s="3" t="str">
        <f t="shared" si="78"/>
        <v/>
      </c>
      <c r="H852" s="3"/>
      <c r="I852" s="3"/>
      <c r="J852" s="2"/>
      <c r="K852" s="2"/>
      <c r="L852" s="2"/>
      <c r="M852" s="4"/>
      <c r="N852" s="2"/>
      <c r="O852" s="5" t="str">
        <f t="shared" ca="1" si="79"/>
        <v/>
      </c>
      <c r="P852" s="6"/>
      <c r="V852" t="str">
        <f t="shared" si="80"/>
        <v/>
      </c>
      <c r="W852" t="str">
        <f t="shared" si="81"/>
        <v/>
      </c>
      <c r="X852" t="str">
        <f t="shared" si="82"/>
        <v/>
      </c>
      <c r="Y852" t="str">
        <f t="shared" si="83"/>
        <v/>
      </c>
    </row>
    <row r="853" spans="1:25" ht="14.5" x14ac:dyDescent="0.35">
      <c r="A853" s="3"/>
      <c r="B853" s="2"/>
      <c r="C853" s="2"/>
      <c r="D853" s="4"/>
      <c r="E853" s="2"/>
      <c r="F853" s="2"/>
      <c r="G853" s="3" t="str">
        <f t="shared" si="78"/>
        <v/>
      </c>
      <c r="H853" s="3"/>
      <c r="I853" s="3"/>
      <c r="J853" s="2"/>
      <c r="K853" s="2"/>
      <c r="L853" s="2"/>
      <c r="M853" s="4"/>
      <c r="N853" s="2"/>
      <c r="O853" s="5" t="str">
        <f t="shared" ca="1" si="79"/>
        <v/>
      </c>
      <c r="P853" s="6"/>
      <c r="V853" t="str">
        <f t="shared" si="80"/>
        <v/>
      </c>
      <c r="W853" t="str">
        <f t="shared" si="81"/>
        <v/>
      </c>
      <c r="X853" t="str">
        <f t="shared" si="82"/>
        <v/>
      </c>
      <c r="Y853" t="str">
        <f t="shared" si="83"/>
        <v/>
      </c>
    </row>
    <row r="854" spans="1:25" ht="14.5" x14ac:dyDescent="0.35">
      <c r="A854" s="3"/>
      <c r="B854" s="2"/>
      <c r="C854" s="2"/>
      <c r="D854" s="4"/>
      <c r="E854" s="2"/>
      <c r="F854" s="2"/>
      <c r="G854" s="3" t="str">
        <f t="shared" si="78"/>
        <v/>
      </c>
      <c r="H854" s="3"/>
      <c r="I854" s="3"/>
      <c r="J854" s="2"/>
      <c r="K854" s="2"/>
      <c r="L854" s="2"/>
      <c r="M854" s="4"/>
      <c r="N854" s="2"/>
      <c r="O854" s="5" t="str">
        <f t="shared" ca="1" si="79"/>
        <v/>
      </c>
      <c r="P854" s="6"/>
      <c r="V854" t="str">
        <f t="shared" si="80"/>
        <v/>
      </c>
      <c r="W854" t="str">
        <f t="shared" si="81"/>
        <v/>
      </c>
      <c r="X854" t="str">
        <f t="shared" si="82"/>
        <v/>
      </c>
      <c r="Y854" t="str">
        <f t="shared" si="83"/>
        <v/>
      </c>
    </row>
    <row r="855" spans="1:25" ht="14.5" x14ac:dyDescent="0.35">
      <c r="A855" s="3"/>
      <c r="B855" s="2"/>
      <c r="C855" s="2"/>
      <c r="D855" s="4"/>
      <c r="E855" s="2"/>
      <c r="F855" s="2"/>
      <c r="G855" s="3" t="str">
        <f t="shared" si="78"/>
        <v/>
      </c>
      <c r="H855" s="3"/>
      <c r="I855" s="3"/>
      <c r="J855" s="2"/>
      <c r="K855" s="2"/>
      <c r="L855" s="2"/>
      <c r="M855" s="4"/>
      <c r="N855" s="2"/>
      <c r="O855" s="5" t="str">
        <f t="shared" ca="1" si="79"/>
        <v/>
      </c>
      <c r="P855" s="6"/>
      <c r="V855" t="str">
        <f t="shared" si="80"/>
        <v/>
      </c>
      <c r="W855" t="str">
        <f t="shared" si="81"/>
        <v/>
      </c>
      <c r="X855" t="str">
        <f t="shared" si="82"/>
        <v/>
      </c>
      <c r="Y855" t="str">
        <f t="shared" si="83"/>
        <v/>
      </c>
    </row>
    <row r="856" spans="1:25" ht="14.5" x14ac:dyDescent="0.35">
      <c r="A856" s="3"/>
      <c r="B856" s="2"/>
      <c r="C856" s="2"/>
      <c r="D856" s="4"/>
      <c r="E856" s="2"/>
      <c r="F856" s="2"/>
      <c r="G856" s="3" t="str">
        <f t="shared" si="78"/>
        <v/>
      </c>
      <c r="H856" s="3"/>
      <c r="I856" s="3"/>
      <c r="J856" s="2"/>
      <c r="K856" s="2"/>
      <c r="L856" s="2"/>
      <c r="M856" s="4"/>
      <c r="N856" s="2"/>
      <c r="O856" s="5" t="str">
        <f t="shared" ca="1" si="79"/>
        <v/>
      </c>
      <c r="P856" s="6"/>
      <c r="V856" t="str">
        <f t="shared" si="80"/>
        <v/>
      </c>
      <c r="W856" t="str">
        <f t="shared" si="81"/>
        <v/>
      </c>
      <c r="X856" t="str">
        <f t="shared" si="82"/>
        <v/>
      </c>
      <c r="Y856" t="str">
        <f t="shared" si="83"/>
        <v/>
      </c>
    </row>
    <row r="857" spans="1:25" ht="14.5" x14ac:dyDescent="0.35">
      <c r="A857" s="3"/>
      <c r="B857" s="2"/>
      <c r="C857" s="2"/>
      <c r="D857" s="4"/>
      <c r="E857" s="2"/>
      <c r="F857" s="2"/>
      <c r="G857" s="3" t="str">
        <f t="shared" si="78"/>
        <v/>
      </c>
      <c r="H857" s="3"/>
      <c r="I857" s="3"/>
      <c r="J857" s="2"/>
      <c r="K857" s="2"/>
      <c r="L857" s="2"/>
      <c r="M857" s="4"/>
      <c r="N857" s="2"/>
      <c r="O857" s="5" t="str">
        <f t="shared" ca="1" si="79"/>
        <v/>
      </c>
      <c r="P857" s="6"/>
      <c r="V857" t="str">
        <f t="shared" si="80"/>
        <v/>
      </c>
      <c r="W857" t="str">
        <f t="shared" si="81"/>
        <v/>
      </c>
      <c r="X857" t="str">
        <f t="shared" si="82"/>
        <v/>
      </c>
      <c r="Y857" t="str">
        <f t="shared" si="83"/>
        <v/>
      </c>
    </row>
    <row r="858" spans="1:25" ht="14.5" x14ac:dyDescent="0.35">
      <c r="A858" s="3"/>
      <c r="B858" s="2"/>
      <c r="C858" s="2"/>
      <c r="D858" s="4"/>
      <c r="E858" s="2"/>
      <c r="F858" s="2"/>
      <c r="G858" s="3" t="str">
        <f t="shared" si="78"/>
        <v/>
      </c>
      <c r="H858" s="3"/>
      <c r="I858" s="3"/>
      <c r="J858" s="2"/>
      <c r="K858" s="2"/>
      <c r="L858" s="2"/>
      <c r="M858" s="4"/>
      <c r="N858" s="2"/>
      <c r="O858" s="5" t="str">
        <f t="shared" ca="1" si="79"/>
        <v/>
      </c>
      <c r="P858" s="6"/>
      <c r="V858" t="str">
        <f t="shared" si="80"/>
        <v/>
      </c>
      <c r="W858" t="str">
        <f t="shared" si="81"/>
        <v/>
      </c>
      <c r="X858" t="str">
        <f t="shared" si="82"/>
        <v/>
      </c>
      <c r="Y858" t="str">
        <f t="shared" si="83"/>
        <v/>
      </c>
    </row>
    <row r="859" spans="1:25" ht="14.5" x14ac:dyDescent="0.35">
      <c r="A859" s="3"/>
      <c r="B859" s="2"/>
      <c r="C859" s="2"/>
      <c r="D859" s="4"/>
      <c r="E859" s="2"/>
      <c r="F859" s="2"/>
      <c r="G859" s="3" t="str">
        <f t="shared" si="78"/>
        <v/>
      </c>
      <c r="H859" s="3"/>
      <c r="I859" s="3"/>
      <c r="J859" s="2"/>
      <c r="K859" s="2"/>
      <c r="L859" s="2"/>
      <c r="M859" s="4"/>
      <c r="N859" s="2"/>
      <c r="O859" s="5" t="str">
        <f t="shared" ca="1" si="79"/>
        <v/>
      </c>
      <c r="P859" s="6"/>
      <c r="V859" t="str">
        <f t="shared" si="80"/>
        <v/>
      </c>
      <c r="W859" t="str">
        <f t="shared" si="81"/>
        <v/>
      </c>
      <c r="X859" t="str">
        <f t="shared" si="82"/>
        <v/>
      </c>
      <c r="Y859" t="str">
        <f t="shared" si="83"/>
        <v/>
      </c>
    </row>
    <row r="860" spans="1:25" ht="14.5" x14ac:dyDescent="0.35">
      <c r="A860" s="3"/>
      <c r="B860" s="2"/>
      <c r="C860" s="2"/>
      <c r="D860" s="4"/>
      <c r="E860" s="2"/>
      <c r="F860" s="2"/>
      <c r="G860" s="3" t="str">
        <f t="shared" si="78"/>
        <v/>
      </c>
      <c r="H860" s="3"/>
      <c r="I860" s="3"/>
      <c r="J860" s="2"/>
      <c r="K860" s="2"/>
      <c r="L860" s="2"/>
      <c r="M860" s="4"/>
      <c r="N860" s="2"/>
      <c r="O860" s="5" t="str">
        <f t="shared" ca="1" si="79"/>
        <v/>
      </c>
      <c r="P860" s="6"/>
      <c r="V860" t="str">
        <f t="shared" si="80"/>
        <v/>
      </c>
      <c r="W860" t="str">
        <f t="shared" si="81"/>
        <v/>
      </c>
      <c r="X860" t="str">
        <f t="shared" si="82"/>
        <v/>
      </c>
      <c r="Y860" t="str">
        <f t="shared" si="83"/>
        <v/>
      </c>
    </row>
    <row r="861" spans="1:25" ht="14.5" x14ac:dyDescent="0.35">
      <c r="A861" s="3"/>
      <c r="B861" s="2"/>
      <c r="C861" s="2"/>
      <c r="D861" s="4"/>
      <c r="E861" s="2"/>
      <c r="F861" s="2"/>
      <c r="G861" s="3" t="str">
        <f t="shared" si="78"/>
        <v/>
      </c>
      <c r="H861" s="3"/>
      <c r="I861" s="3"/>
      <c r="J861" s="2"/>
      <c r="K861" s="2"/>
      <c r="L861" s="2"/>
      <c r="M861" s="4"/>
      <c r="N861" s="2"/>
      <c r="O861" s="5" t="str">
        <f t="shared" ca="1" si="79"/>
        <v/>
      </c>
      <c r="P861" s="6"/>
      <c r="V861" t="str">
        <f t="shared" si="80"/>
        <v/>
      </c>
      <c r="W861" t="str">
        <f t="shared" si="81"/>
        <v/>
      </c>
      <c r="X861" t="str">
        <f t="shared" si="82"/>
        <v/>
      </c>
      <c r="Y861" t="str">
        <f t="shared" si="83"/>
        <v/>
      </c>
    </row>
    <row r="862" spans="1:25" ht="14.5" x14ac:dyDescent="0.35">
      <c r="A862" s="3"/>
      <c r="B862" s="2"/>
      <c r="C862" s="2"/>
      <c r="D862" s="4"/>
      <c r="E862" s="2"/>
      <c r="F862" s="2"/>
      <c r="G862" s="3" t="str">
        <f t="shared" si="78"/>
        <v/>
      </c>
      <c r="H862" s="3"/>
      <c r="I862" s="3"/>
      <c r="J862" s="2"/>
      <c r="K862" s="2"/>
      <c r="L862" s="2"/>
      <c r="M862" s="4"/>
      <c r="N862" s="2"/>
      <c r="O862" s="5" t="str">
        <f t="shared" ca="1" si="79"/>
        <v/>
      </c>
      <c r="P862" s="6"/>
      <c r="V862" t="str">
        <f t="shared" si="80"/>
        <v/>
      </c>
      <c r="W862" t="str">
        <f t="shared" si="81"/>
        <v/>
      </c>
      <c r="X862" t="str">
        <f t="shared" si="82"/>
        <v/>
      </c>
      <c r="Y862" t="str">
        <f t="shared" si="83"/>
        <v/>
      </c>
    </row>
    <row r="863" spans="1:25" ht="14.5" x14ac:dyDescent="0.35">
      <c r="A863" s="3"/>
      <c r="B863" s="2"/>
      <c r="C863" s="2"/>
      <c r="D863" s="4"/>
      <c r="E863" s="2"/>
      <c r="F863" s="2"/>
      <c r="G863" s="3" t="str">
        <f t="shared" si="78"/>
        <v/>
      </c>
      <c r="H863" s="3"/>
      <c r="I863" s="3"/>
      <c r="J863" s="2"/>
      <c r="K863" s="2"/>
      <c r="L863" s="2"/>
      <c r="M863" s="4"/>
      <c r="N863" s="2"/>
      <c r="O863" s="5" t="str">
        <f t="shared" ca="1" si="79"/>
        <v/>
      </c>
      <c r="P863" s="6"/>
      <c r="V863" t="str">
        <f t="shared" si="80"/>
        <v/>
      </c>
      <c r="W863" t="str">
        <f t="shared" si="81"/>
        <v/>
      </c>
      <c r="X863" t="str">
        <f t="shared" si="82"/>
        <v/>
      </c>
      <c r="Y863" t="str">
        <f t="shared" si="83"/>
        <v/>
      </c>
    </row>
    <row r="864" spans="1:25" ht="14.5" x14ac:dyDescent="0.35">
      <c r="A864" s="3"/>
      <c r="B864" s="2"/>
      <c r="C864" s="2"/>
      <c r="D864" s="4"/>
      <c r="E864" s="2"/>
      <c r="F864" s="2"/>
      <c r="G864" s="3" t="str">
        <f t="shared" si="78"/>
        <v/>
      </c>
      <c r="H864" s="3"/>
      <c r="I864" s="3"/>
      <c r="J864" s="2"/>
      <c r="K864" s="2"/>
      <c r="L864" s="2"/>
      <c r="M864" s="4"/>
      <c r="N864" s="2"/>
      <c r="O864" s="5" t="str">
        <f t="shared" ca="1" si="79"/>
        <v/>
      </c>
      <c r="P864" s="6"/>
      <c r="V864" t="str">
        <f t="shared" si="80"/>
        <v/>
      </c>
      <c r="W864" t="str">
        <f t="shared" si="81"/>
        <v/>
      </c>
      <c r="X864" t="str">
        <f t="shared" si="82"/>
        <v/>
      </c>
      <c r="Y864" t="str">
        <f t="shared" si="83"/>
        <v/>
      </c>
    </row>
    <row r="865" spans="1:25" ht="14.5" x14ac:dyDescent="0.35">
      <c r="A865" s="3"/>
      <c r="B865" s="2"/>
      <c r="C865" s="2"/>
      <c r="D865" s="4"/>
      <c r="E865" s="2"/>
      <c r="F865" s="2"/>
      <c r="G865" s="3" t="str">
        <f t="shared" si="78"/>
        <v/>
      </c>
      <c r="H865" s="3"/>
      <c r="I865" s="3"/>
      <c r="J865" s="2"/>
      <c r="K865" s="2"/>
      <c r="L865" s="2"/>
      <c r="M865" s="4"/>
      <c r="N865" s="2"/>
      <c r="O865" s="5" t="str">
        <f t="shared" ca="1" si="79"/>
        <v/>
      </c>
      <c r="P865" s="6"/>
      <c r="V865" t="str">
        <f t="shared" si="80"/>
        <v/>
      </c>
      <c r="W865" t="str">
        <f t="shared" si="81"/>
        <v/>
      </c>
      <c r="X865" t="str">
        <f t="shared" si="82"/>
        <v/>
      </c>
      <c r="Y865" t="str">
        <f t="shared" si="83"/>
        <v/>
      </c>
    </row>
    <row r="866" spans="1:25" ht="14.5" x14ac:dyDescent="0.35">
      <c r="A866" s="3"/>
      <c r="B866" s="2"/>
      <c r="C866" s="2"/>
      <c r="D866" s="4"/>
      <c r="E866" s="2"/>
      <c r="F866" s="2"/>
      <c r="G866" s="3" t="str">
        <f t="shared" si="78"/>
        <v/>
      </c>
      <c r="H866" s="3"/>
      <c r="I866" s="3"/>
      <c r="J866" s="2"/>
      <c r="K866" s="2"/>
      <c r="L866" s="2"/>
      <c r="M866" s="4"/>
      <c r="N866" s="2"/>
      <c r="O866" s="5" t="str">
        <f t="shared" ca="1" si="79"/>
        <v/>
      </c>
      <c r="P866" s="6"/>
      <c r="V866" t="str">
        <f t="shared" si="80"/>
        <v/>
      </c>
      <c r="W866" t="str">
        <f t="shared" si="81"/>
        <v/>
      </c>
      <c r="X866" t="str">
        <f t="shared" si="82"/>
        <v/>
      </c>
      <c r="Y866" t="str">
        <f t="shared" si="83"/>
        <v/>
      </c>
    </row>
    <row r="867" spans="1:25" ht="14.5" x14ac:dyDescent="0.35">
      <c r="A867" s="3"/>
      <c r="B867" s="2"/>
      <c r="C867" s="2"/>
      <c r="D867" s="4"/>
      <c r="E867" s="2"/>
      <c r="F867" s="2"/>
      <c r="G867" s="3" t="str">
        <f t="shared" si="78"/>
        <v/>
      </c>
      <c r="H867" s="3"/>
      <c r="I867" s="3"/>
      <c r="J867" s="2"/>
      <c r="K867" s="2"/>
      <c r="L867" s="2"/>
      <c r="M867" s="4"/>
      <c r="N867" s="2"/>
      <c r="O867" s="5" t="str">
        <f t="shared" ca="1" si="79"/>
        <v/>
      </c>
      <c r="P867" s="6"/>
      <c r="V867" t="str">
        <f t="shared" si="80"/>
        <v/>
      </c>
      <c r="W867" t="str">
        <f t="shared" si="81"/>
        <v/>
      </c>
      <c r="X867" t="str">
        <f t="shared" si="82"/>
        <v/>
      </c>
      <c r="Y867" t="str">
        <f t="shared" si="83"/>
        <v/>
      </c>
    </row>
    <row r="868" spans="1:25" ht="14.5" x14ac:dyDescent="0.35">
      <c r="A868" s="3"/>
      <c r="B868" s="2"/>
      <c r="C868" s="2"/>
      <c r="D868" s="4"/>
      <c r="E868" s="2"/>
      <c r="F868" s="2"/>
      <c r="G868" s="3" t="str">
        <f t="shared" si="78"/>
        <v/>
      </c>
      <c r="H868" s="3"/>
      <c r="I868" s="3"/>
      <c r="J868" s="2"/>
      <c r="K868" s="2"/>
      <c r="L868" s="2"/>
      <c r="M868" s="4"/>
      <c r="N868" s="2"/>
      <c r="O868" s="5" t="str">
        <f t="shared" ca="1" si="79"/>
        <v/>
      </c>
      <c r="P868" s="6"/>
      <c r="V868" t="str">
        <f t="shared" si="80"/>
        <v/>
      </c>
      <c r="W868" t="str">
        <f t="shared" si="81"/>
        <v/>
      </c>
      <c r="X868" t="str">
        <f t="shared" si="82"/>
        <v/>
      </c>
      <c r="Y868" t="str">
        <f t="shared" si="83"/>
        <v/>
      </c>
    </row>
    <row r="869" spans="1:25" ht="14.5" x14ac:dyDescent="0.35">
      <c r="A869" s="3"/>
      <c r="B869" s="2"/>
      <c r="C869" s="2"/>
      <c r="D869" s="4"/>
      <c r="E869" s="2"/>
      <c r="F869" s="2"/>
      <c r="G869" s="3" t="str">
        <f t="shared" si="78"/>
        <v/>
      </c>
      <c r="H869" s="3"/>
      <c r="I869" s="3"/>
      <c r="J869" s="2"/>
      <c r="K869" s="2"/>
      <c r="L869" s="2"/>
      <c r="M869" s="4"/>
      <c r="N869" s="2"/>
      <c r="O869" s="5" t="str">
        <f t="shared" ca="1" si="79"/>
        <v/>
      </c>
      <c r="P869" s="6"/>
      <c r="V869" t="str">
        <f t="shared" si="80"/>
        <v/>
      </c>
      <c r="W869" t="str">
        <f t="shared" si="81"/>
        <v/>
      </c>
      <c r="X869" t="str">
        <f t="shared" si="82"/>
        <v/>
      </c>
      <c r="Y869" t="str">
        <f t="shared" si="83"/>
        <v/>
      </c>
    </row>
    <row r="870" spans="1:25" ht="14.5" x14ac:dyDescent="0.35">
      <c r="A870" s="3"/>
      <c r="B870" s="2"/>
      <c r="C870" s="2"/>
      <c r="D870" s="4"/>
      <c r="E870" s="2"/>
      <c r="F870" s="2"/>
      <c r="G870" s="3" t="str">
        <f t="shared" si="78"/>
        <v/>
      </c>
      <c r="H870" s="3"/>
      <c r="I870" s="3"/>
      <c r="J870" s="2"/>
      <c r="K870" s="2"/>
      <c r="L870" s="2"/>
      <c r="M870" s="4"/>
      <c r="N870" s="2"/>
      <c r="O870" s="5" t="str">
        <f t="shared" ca="1" si="79"/>
        <v/>
      </c>
      <c r="P870" s="6"/>
      <c r="V870" t="str">
        <f t="shared" si="80"/>
        <v/>
      </c>
      <c r="W870" t="str">
        <f t="shared" si="81"/>
        <v/>
      </c>
      <c r="X870" t="str">
        <f t="shared" si="82"/>
        <v/>
      </c>
      <c r="Y870" t="str">
        <f t="shared" si="83"/>
        <v/>
      </c>
    </row>
    <row r="871" spans="1:25" ht="14.5" x14ac:dyDescent="0.35">
      <c r="A871" s="3"/>
      <c r="B871" s="2"/>
      <c r="C871" s="2"/>
      <c r="D871" s="4"/>
      <c r="E871" s="2"/>
      <c r="F871" s="2"/>
      <c r="G871" s="3" t="str">
        <f t="shared" si="78"/>
        <v/>
      </c>
      <c r="H871" s="3"/>
      <c r="I871" s="3"/>
      <c r="J871" s="2"/>
      <c r="K871" s="2"/>
      <c r="L871" s="2"/>
      <c r="M871" s="4"/>
      <c r="N871" s="2"/>
      <c r="O871" s="5" t="str">
        <f t="shared" ca="1" si="79"/>
        <v/>
      </c>
      <c r="P871" s="6"/>
      <c r="V871" t="str">
        <f t="shared" si="80"/>
        <v/>
      </c>
      <c r="W871" t="str">
        <f t="shared" si="81"/>
        <v/>
      </c>
      <c r="X871" t="str">
        <f t="shared" si="82"/>
        <v/>
      </c>
      <c r="Y871" t="str">
        <f t="shared" si="83"/>
        <v/>
      </c>
    </row>
    <row r="872" spans="1:25" ht="14.5" x14ac:dyDescent="0.35">
      <c r="A872" s="3"/>
      <c r="B872" s="2"/>
      <c r="C872" s="2"/>
      <c r="D872" s="4"/>
      <c r="E872" s="2"/>
      <c r="F872" s="2"/>
      <c r="G872" s="3" t="str">
        <f t="shared" si="78"/>
        <v/>
      </c>
      <c r="H872" s="3"/>
      <c r="I872" s="3"/>
      <c r="J872" s="2"/>
      <c r="K872" s="2"/>
      <c r="L872" s="2"/>
      <c r="M872" s="4"/>
      <c r="N872" s="2"/>
      <c r="O872" s="5" t="str">
        <f t="shared" ca="1" si="79"/>
        <v/>
      </c>
      <c r="P872" s="6"/>
      <c r="V872" t="str">
        <f t="shared" si="80"/>
        <v/>
      </c>
      <c r="W872" t="str">
        <f t="shared" si="81"/>
        <v/>
      </c>
      <c r="X872" t="str">
        <f t="shared" si="82"/>
        <v/>
      </c>
      <c r="Y872" t="str">
        <f t="shared" si="83"/>
        <v/>
      </c>
    </row>
    <row r="873" spans="1:25" ht="14.5" x14ac:dyDescent="0.35">
      <c r="A873" s="3"/>
      <c r="B873" s="2"/>
      <c r="C873" s="2"/>
      <c r="D873" s="4"/>
      <c r="E873" s="2"/>
      <c r="F873" s="2"/>
      <c r="G873" s="3" t="str">
        <f t="shared" si="78"/>
        <v/>
      </c>
      <c r="H873" s="3"/>
      <c r="I873" s="3"/>
      <c r="J873" s="2"/>
      <c r="K873" s="2"/>
      <c r="L873" s="2"/>
      <c r="M873" s="4"/>
      <c r="N873" s="2"/>
      <c r="O873" s="5" t="str">
        <f t="shared" ca="1" si="79"/>
        <v/>
      </c>
      <c r="P873" s="6"/>
      <c r="V873" t="str">
        <f t="shared" si="80"/>
        <v/>
      </c>
      <c r="W873" t="str">
        <f t="shared" si="81"/>
        <v/>
      </c>
      <c r="X873" t="str">
        <f t="shared" si="82"/>
        <v/>
      </c>
      <c r="Y873" t="str">
        <f t="shared" si="83"/>
        <v/>
      </c>
    </row>
    <row r="874" spans="1:25" ht="14.5" x14ac:dyDescent="0.35">
      <c r="A874" s="3"/>
      <c r="B874" s="2"/>
      <c r="C874" s="2"/>
      <c r="D874" s="4"/>
      <c r="E874" s="2"/>
      <c r="F874" s="2"/>
      <c r="G874" s="3" t="str">
        <f t="shared" si="78"/>
        <v/>
      </c>
      <c r="H874" s="3"/>
      <c r="I874" s="3"/>
      <c r="J874" s="2"/>
      <c r="K874" s="2"/>
      <c r="L874" s="2"/>
      <c r="M874" s="4"/>
      <c r="N874" s="2"/>
      <c r="O874" s="5" t="str">
        <f t="shared" ca="1" si="79"/>
        <v/>
      </c>
      <c r="P874" s="6"/>
      <c r="V874" t="str">
        <f t="shared" si="80"/>
        <v/>
      </c>
      <c r="W874" t="str">
        <f t="shared" si="81"/>
        <v/>
      </c>
      <c r="X874" t="str">
        <f t="shared" si="82"/>
        <v/>
      </c>
      <c r="Y874" t="str">
        <f t="shared" si="83"/>
        <v/>
      </c>
    </row>
    <row r="875" spans="1:25" ht="14.5" x14ac:dyDescent="0.35">
      <c r="A875" s="3"/>
      <c r="B875" s="2"/>
      <c r="C875" s="2"/>
      <c r="D875" s="4"/>
      <c r="E875" s="2"/>
      <c r="F875" s="2"/>
      <c r="G875" s="3" t="str">
        <f t="shared" si="78"/>
        <v/>
      </c>
      <c r="H875" s="3"/>
      <c r="I875" s="3"/>
      <c r="J875" s="2"/>
      <c r="K875" s="2"/>
      <c r="L875" s="2"/>
      <c r="M875" s="4"/>
      <c r="N875" s="2"/>
      <c r="O875" s="5" t="str">
        <f t="shared" ca="1" si="79"/>
        <v/>
      </c>
      <c r="P875" s="6"/>
      <c r="V875" t="str">
        <f t="shared" si="80"/>
        <v/>
      </c>
      <c r="W875" t="str">
        <f t="shared" si="81"/>
        <v/>
      </c>
      <c r="X875" t="str">
        <f t="shared" si="82"/>
        <v/>
      </c>
      <c r="Y875" t="str">
        <f t="shared" si="83"/>
        <v/>
      </c>
    </row>
    <row r="876" spans="1:25" ht="14.5" x14ac:dyDescent="0.35">
      <c r="A876" s="3"/>
      <c r="B876" s="2"/>
      <c r="C876" s="2"/>
      <c r="D876" s="4"/>
      <c r="E876" s="2"/>
      <c r="F876" s="2"/>
      <c r="G876" s="3" t="str">
        <f t="shared" si="78"/>
        <v/>
      </c>
      <c r="H876" s="3"/>
      <c r="I876" s="3"/>
      <c r="J876" s="2"/>
      <c r="K876" s="2"/>
      <c r="L876" s="2"/>
      <c r="M876" s="4"/>
      <c r="N876" s="2"/>
      <c r="O876" s="5" t="str">
        <f t="shared" ca="1" si="79"/>
        <v/>
      </c>
      <c r="P876" s="6"/>
      <c r="V876" t="str">
        <f t="shared" si="80"/>
        <v/>
      </c>
      <c r="W876" t="str">
        <f t="shared" si="81"/>
        <v/>
      </c>
      <c r="X876" t="str">
        <f t="shared" si="82"/>
        <v/>
      </c>
      <c r="Y876" t="str">
        <f t="shared" si="83"/>
        <v/>
      </c>
    </row>
    <row r="877" spans="1:25" ht="14.5" x14ac:dyDescent="0.35">
      <c r="A877" s="3"/>
      <c r="B877" s="2"/>
      <c r="C877" s="2"/>
      <c r="D877" s="4"/>
      <c r="E877" s="2"/>
      <c r="F877" s="2"/>
      <c r="G877" s="3" t="str">
        <f t="shared" si="78"/>
        <v/>
      </c>
      <c r="H877" s="3"/>
      <c r="I877" s="3"/>
      <c r="J877" s="2"/>
      <c r="K877" s="2"/>
      <c r="L877" s="2"/>
      <c r="M877" s="4"/>
      <c r="N877" s="2"/>
      <c r="O877" s="5" t="str">
        <f t="shared" ca="1" si="79"/>
        <v/>
      </c>
      <c r="P877" s="6"/>
      <c r="V877" t="str">
        <f t="shared" si="80"/>
        <v/>
      </c>
      <c r="W877" t="str">
        <f t="shared" si="81"/>
        <v/>
      </c>
      <c r="X877" t="str">
        <f t="shared" si="82"/>
        <v/>
      </c>
      <c r="Y877" t="str">
        <f t="shared" si="83"/>
        <v/>
      </c>
    </row>
    <row r="878" spans="1:25" ht="14.5" x14ac:dyDescent="0.35">
      <c r="A878" s="3"/>
      <c r="B878" s="2"/>
      <c r="C878" s="2"/>
      <c r="D878" s="4"/>
      <c r="E878" s="2"/>
      <c r="F878" s="2"/>
      <c r="G878" s="3" t="str">
        <f t="shared" si="78"/>
        <v/>
      </c>
      <c r="H878" s="3"/>
      <c r="I878" s="3"/>
      <c r="J878" s="2"/>
      <c r="K878" s="2"/>
      <c r="L878" s="2"/>
      <c r="M878" s="4"/>
      <c r="N878" s="2"/>
      <c r="O878" s="5" t="str">
        <f t="shared" ca="1" si="79"/>
        <v/>
      </c>
      <c r="P878" s="6"/>
      <c r="V878" t="str">
        <f t="shared" si="80"/>
        <v/>
      </c>
      <c r="W878" t="str">
        <f t="shared" si="81"/>
        <v/>
      </c>
      <c r="X878" t="str">
        <f t="shared" si="82"/>
        <v/>
      </c>
      <c r="Y878" t="str">
        <f t="shared" si="83"/>
        <v/>
      </c>
    </row>
    <row r="879" spans="1:25" ht="14.5" x14ac:dyDescent="0.35">
      <c r="A879" s="3"/>
      <c r="B879" s="2"/>
      <c r="C879" s="2"/>
      <c r="D879" s="4"/>
      <c r="E879" s="2"/>
      <c r="F879" s="2"/>
      <c r="G879" s="3" t="str">
        <f t="shared" si="78"/>
        <v/>
      </c>
      <c r="H879" s="3"/>
      <c r="I879" s="3"/>
      <c r="J879" s="2"/>
      <c r="K879" s="2"/>
      <c r="L879" s="2"/>
      <c r="M879" s="4"/>
      <c r="N879" s="2"/>
      <c r="O879" s="5" t="str">
        <f t="shared" ca="1" si="79"/>
        <v/>
      </c>
      <c r="P879" s="6"/>
      <c r="V879" t="str">
        <f t="shared" si="80"/>
        <v/>
      </c>
      <c r="W879" t="str">
        <f t="shared" si="81"/>
        <v/>
      </c>
      <c r="X879" t="str">
        <f t="shared" si="82"/>
        <v/>
      </c>
      <c r="Y879" t="str">
        <f t="shared" si="83"/>
        <v/>
      </c>
    </row>
    <row r="880" spans="1:25" ht="14.5" x14ac:dyDescent="0.35">
      <c r="A880" s="3"/>
      <c r="B880" s="2"/>
      <c r="C880" s="2"/>
      <c r="D880" s="4"/>
      <c r="E880" s="2"/>
      <c r="F880" s="2"/>
      <c r="G880" s="3" t="str">
        <f t="shared" si="78"/>
        <v/>
      </c>
      <c r="H880" s="3"/>
      <c r="I880" s="3"/>
      <c r="J880" s="2"/>
      <c r="K880" s="2"/>
      <c r="L880" s="2"/>
      <c r="M880" s="4"/>
      <c r="N880" s="2"/>
      <c r="O880" s="5" t="str">
        <f t="shared" ca="1" si="79"/>
        <v/>
      </c>
      <c r="P880" s="6"/>
      <c r="V880" t="str">
        <f t="shared" si="80"/>
        <v/>
      </c>
      <c r="W880" t="str">
        <f t="shared" si="81"/>
        <v/>
      </c>
      <c r="X880" t="str">
        <f t="shared" si="82"/>
        <v/>
      </c>
      <c r="Y880" t="str">
        <f t="shared" si="83"/>
        <v/>
      </c>
    </row>
    <row r="881" spans="1:25" ht="14.5" x14ac:dyDescent="0.35">
      <c r="A881" s="3"/>
      <c r="B881" s="2"/>
      <c r="C881" s="2"/>
      <c r="D881" s="4"/>
      <c r="E881" s="2"/>
      <c r="F881" s="2"/>
      <c r="G881" s="3" t="str">
        <f t="shared" si="78"/>
        <v/>
      </c>
      <c r="H881" s="3"/>
      <c r="I881" s="3"/>
      <c r="J881" s="2"/>
      <c r="K881" s="2"/>
      <c r="L881" s="2"/>
      <c r="M881" s="4"/>
      <c r="N881" s="2"/>
      <c r="O881" s="5" t="str">
        <f t="shared" ca="1" si="79"/>
        <v/>
      </c>
      <c r="P881" s="6"/>
      <c r="V881" t="str">
        <f t="shared" si="80"/>
        <v/>
      </c>
      <c r="W881" t="str">
        <f t="shared" si="81"/>
        <v/>
      </c>
      <c r="X881" t="str">
        <f t="shared" si="82"/>
        <v/>
      </c>
      <c r="Y881" t="str">
        <f t="shared" si="83"/>
        <v/>
      </c>
    </row>
    <row r="882" spans="1:25" ht="14.5" x14ac:dyDescent="0.35">
      <c r="A882" s="3"/>
      <c r="B882" s="2"/>
      <c r="C882" s="2"/>
      <c r="D882" s="4"/>
      <c r="E882" s="2"/>
      <c r="F882" s="2"/>
      <c r="G882" s="3" t="str">
        <f t="shared" si="78"/>
        <v/>
      </c>
      <c r="H882" s="3"/>
      <c r="I882" s="3"/>
      <c r="J882" s="2"/>
      <c r="K882" s="2"/>
      <c r="L882" s="2"/>
      <c r="M882" s="4"/>
      <c r="N882" s="2"/>
      <c r="O882" s="5" t="str">
        <f t="shared" ca="1" si="79"/>
        <v/>
      </c>
      <c r="P882" s="6"/>
      <c r="V882" t="str">
        <f t="shared" si="80"/>
        <v/>
      </c>
      <c r="W882" t="str">
        <f t="shared" si="81"/>
        <v/>
      </c>
      <c r="X882" t="str">
        <f t="shared" si="82"/>
        <v/>
      </c>
      <c r="Y882" t="str">
        <f t="shared" si="83"/>
        <v/>
      </c>
    </row>
    <row r="883" spans="1:25" ht="14.5" x14ac:dyDescent="0.35">
      <c r="A883" s="3"/>
      <c r="B883" s="2"/>
      <c r="C883" s="2"/>
      <c r="D883" s="4"/>
      <c r="E883" s="2"/>
      <c r="F883" s="2"/>
      <c r="G883" s="3" t="str">
        <f t="shared" si="78"/>
        <v/>
      </c>
      <c r="H883" s="3"/>
      <c r="I883" s="3"/>
      <c r="J883" s="2"/>
      <c r="K883" s="2"/>
      <c r="L883" s="2"/>
      <c r="M883" s="4"/>
      <c r="N883" s="2"/>
      <c r="O883" s="5" t="str">
        <f t="shared" ca="1" si="79"/>
        <v/>
      </c>
      <c r="P883" s="6"/>
      <c r="V883" t="str">
        <f t="shared" si="80"/>
        <v/>
      </c>
      <c r="W883" t="str">
        <f t="shared" si="81"/>
        <v/>
      </c>
      <c r="X883" t="str">
        <f t="shared" si="82"/>
        <v/>
      </c>
      <c r="Y883" t="str">
        <f t="shared" si="83"/>
        <v/>
      </c>
    </row>
    <row r="884" spans="1:25" ht="14.5" x14ac:dyDescent="0.35">
      <c r="A884" s="3"/>
      <c r="B884" s="2"/>
      <c r="C884" s="2"/>
      <c r="D884" s="4"/>
      <c r="E884" s="2"/>
      <c r="F884" s="2"/>
      <c r="G884" s="3" t="str">
        <f t="shared" si="78"/>
        <v/>
      </c>
      <c r="H884" s="3"/>
      <c r="I884" s="3"/>
      <c r="J884" s="2"/>
      <c r="K884" s="2"/>
      <c r="L884" s="2"/>
      <c r="M884" s="4"/>
      <c r="N884" s="2"/>
      <c r="O884" s="5" t="str">
        <f t="shared" ca="1" si="79"/>
        <v/>
      </c>
      <c r="P884" s="6"/>
      <c r="V884" t="str">
        <f t="shared" si="80"/>
        <v/>
      </c>
      <c r="W884" t="str">
        <f t="shared" si="81"/>
        <v/>
      </c>
      <c r="X884" t="str">
        <f t="shared" si="82"/>
        <v/>
      </c>
      <c r="Y884" t="str">
        <f t="shared" si="83"/>
        <v/>
      </c>
    </row>
    <row r="885" spans="1:25" ht="14.5" x14ac:dyDescent="0.35">
      <c r="A885" s="3"/>
      <c r="B885" s="2"/>
      <c r="C885" s="2"/>
      <c r="D885" s="4"/>
      <c r="E885" s="2"/>
      <c r="F885" s="2"/>
      <c r="G885" s="3" t="str">
        <f t="shared" si="78"/>
        <v/>
      </c>
      <c r="H885" s="3"/>
      <c r="I885" s="3"/>
      <c r="J885" s="2"/>
      <c r="K885" s="2"/>
      <c r="L885" s="2"/>
      <c r="M885" s="4"/>
      <c r="N885" s="2"/>
      <c r="O885" s="5" t="str">
        <f t="shared" ca="1" si="79"/>
        <v/>
      </c>
      <c r="P885" s="6"/>
      <c r="V885" t="str">
        <f t="shared" si="80"/>
        <v/>
      </c>
      <c r="W885" t="str">
        <f t="shared" si="81"/>
        <v/>
      </c>
      <c r="X885" t="str">
        <f t="shared" si="82"/>
        <v/>
      </c>
      <c r="Y885" t="str">
        <f t="shared" si="83"/>
        <v/>
      </c>
    </row>
    <row r="886" spans="1:25" ht="14.5" x14ac:dyDescent="0.35">
      <c r="A886" s="3"/>
      <c r="B886" s="2"/>
      <c r="C886" s="2"/>
      <c r="D886" s="4"/>
      <c r="E886" s="2"/>
      <c r="F886" s="2"/>
      <c r="G886" s="3" t="str">
        <f t="shared" si="78"/>
        <v/>
      </c>
      <c r="H886" s="3"/>
      <c r="I886" s="3"/>
      <c r="J886" s="2"/>
      <c r="K886" s="2"/>
      <c r="L886" s="2"/>
      <c r="M886" s="4"/>
      <c r="N886" s="2"/>
      <c r="O886" s="5" t="str">
        <f t="shared" ca="1" si="79"/>
        <v/>
      </c>
      <c r="P886" s="6"/>
      <c r="V886" t="str">
        <f t="shared" si="80"/>
        <v/>
      </c>
      <c r="W886" t="str">
        <f t="shared" si="81"/>
        <v/>
      </c>
      <c r="X886" t="str">
        <f t="shared" si="82"/>
        <v/>
      </c>
      <c r="Y886" t="str">
        <f t="shared" si="83"/>
        <v/>
      </c>
    </row>
    <row r="887" spans="1:25" ht="14.5" x14ac:dyDescent="0.35">
      <c r="A887" s="3"/>
      <c r="B887" s="2"/>
      <c r="C887" s="2"/>
      <c r="D887" s="4"/>
      <c r="E887" s="2"/>
      <c r="F887" s="2"/>
      <c r="G887" s="3" t="str">
        <f t="shared" si="78"/>
        <v/>
      </c>
      <c r="H887" s="3"/>
      <c r="I887" s="3"/>
      <c r="J887" s="2"/>
      <c r="K887" s="2"/>
      <c r="L887" s="2"/>
      <c r="M887" s="4"/>
      <c r="N887" s="2"/>
      <c r="O887" s="5" t="str">
        <f t="shared" ca="1" si="79"/>
        <v/>
      </c>
      <c r="P887" s="6"/>
      <c r="V887" t="str">
        <f t="shared" si="80"/>
        <v/>
      </c>
      <c r="W887" t="str">
        <f t="shared" si="81"/>
        <v/>
      </c>
      <c r="X887" t="str">
        <f t="shared" si="82"/>
        <v/>
      </c>
      <c r="Y887" t="str">
        <f t="shared" si="83"/>
        <v/>
      </c>
    </row>
    <row r="888" spans="1:25" ht="14.5" x14ac:dyDescent="0.35">
      <c r="A888" s="3"/>
      <c r="B888" s="2"/>
      <c r="C888" s="2"/>
      <c r="D888" s="4"/>
      <c r="E888" s="2"/>
      <c r="F888" s="2"/>
      <c r="G888" s="3" t="str">
        <f t="shared" si="78"/>
        <v/>
      </c>
      <c r="H888" s="3"/>
      <c r="I888" s="3"/>
      <c r="J888" s="2"/>
      <c r="K888" s="2"/>
      <c r="L888" s="2"/>
      <c r="M888" s="4"/>
      <c r="N888" s="2"/>
      <c r="O888" s="5" t="str">
        <f t="shared" ca="1" si="79"/>
        <v/>
      </c>
      <c r="P888" s="6"/>
      <c r="V888" t="str">
        <f t="shared" si="80"/>
        <v/>
      </c>
      <c r="W888" t="str">
        <f t="shared" si="81"/>
        <v/>
      </c>
      <c r="X888" t="str">
        <f t="shared" si="82"/>
        <v/>
      </c>
      <c r="Y888" t="str">
        <f t="shared" si="83"/>
        <v/>
      </c>
    </row>
    <row r="889" spans="1:25" ht="14.5" x14ac:dyDescent="0.35">
      <c r="A889" s="3"/>
      <c r="B889" s="2"/>
      <c r="C889" s="2"/>
      <c r="D889" s="4"/>
      <c r="E889" s="2"/>
      <c r="F889" s="2"/>
      <c r="G889" s="3" t="str">
        <f t="shared" si="78"/>
        <v/>
      </c>
      <c r="H889" s="3"/>
      <c r="I889" s="3"/>
      <c r="J889" s="2"/>
      <c r="K889" s="2"/>
      <c r="L889" s="2"/>
      <c r="M889" s="4"/>
      <c r="N889" s="2"/>
      <c r="O889" s="5" t="str">
        <f t="shared" ca="1" si="79"/>
        <v/>
      </c>
      <c r="P889" s="6"/>
      <c r="V889" t="str">
        <f t="shared" si="80"/>
        <v/>
      </c>
      <c r="W889" t="str">
        <f t="shared" si="81"/>
        <v/>
      </c>
      <c r="X889" t="str">
        <f t="shared" si="82"/>
        <v/>
      </c>
      <c r="Y889" t="str">
        <f t="shared" si="83"/>
        <v/>
      </c>
    </row>
    <row r="890" spans="1:25" ht="14.5" x14ac:dyDescent="0.35">
      <c r="A890" s="3"/>
      <c r="B890" s="2"/>
      <c r="C890" s="2"/>
      <c r="D890" s="4"/>
      <c r="E890" s="2"/>
      <c r="F890" s="2"/>
      <c r="G890" s="3" t="str">
        <f t="shared" si="78"/>
        <v/>
      </c>
      <c r="H890" s="3"/>
      <c r="I890" s="3"/>
      <c r="J890" s="2"/>
      <c r="K890" s="2"/>
      <c r="L890" s="2"/>
      <c r="M890" s="4"/>
      <c r="N890" s="2"/>
      <c r="O890" s="5" t="str">
        <f t="shared" ca="1" si="79"/>
        <v/>
      </c>
      <c r="P890" s="6"/>
      <c r="V890" t="str">
        <f t="shared" si="80"/>
        <v/>
      </c>
      <c r="W890" t="str">
        <f t="shared" si="81"/>
        <v/>
      </c>
      <c r="X890" t="str">
        <f t="shared" si="82"/>
        <v/>
      </c>
      <c r="Y890" t="str">
        <f t="shared" si="83"/>
        <v/>
      </c>
    </row>
    <row r="891" spans="1:25" ht="14.5" x14ac:dyDescent="0.35">
      <c r="A891" s="3"/>
      <c r="B891" s="2"/>
      <c r="C891" s="2"/>
      <c r="D891" s="4"/>
      <c r="E891" s="2"/>
      <c r="F891" s="2"/>
      <c r="G891" s="3" t="str">
        <f t="shared" si="78"/>
        <v/>
      </c>
      <c r="H891" s="3"/>
      <c r="I891" s="3"/>
      <c r="J891" s="2"/>
      <c r="K891" s="2"/>
      <c r="L891" s="2"/>
      <c r="M891" s="4"/>
      <c r="N891" s="2"/>
      <c r="O891" s="5" t="str">
        <f t="shared" ca="1" si="79"/>
        <v/>
      </c>
      <c r="P891" s="6"/>
      <c r="V891" t="str">
        <f t="shared" si="80"/>
        <v/>
      </c>
      <c r="W891" t="str">
        <f t="shared" si="81"/>
        <v/>
      </c>
      <c r="X891" t="str">
        <f t="shared" si="82"/>
        <v/>
      </c>
      <c r="Y891" t="str">
        <f t="shared" si="83"/>
        <v/>
      </c>
    </row>
    <row r="892" spans="1:25" ht="14.5" x14ac:dyDescent="0.35">
      <c r="A892" s="3"/>
      <c r="B892" s="2"/>
      <c r="C892" s="2"/>
      <c r="D892" s="4"/>
      <c r="E892" s="2"/>
      <c r="F892" s="2"/>
      <c r="G892" s="3" t="str">
        <f t="shared" si="78"/>
        <v/>
      </c>
      <c r="H892" s="3"/>
      <c r="I892" s="3"/>
      <c r="J892" s="2"/>
      <c r="K892" s="2"/>
      <c r="L892" s="2"/>
      <c r="M892" s="4"/>
      <c r="N892" s="2"/>
      <c r="O892" s="5" t="str">
        <f t="shared" ca="1" si="79"/>
        <v/>
      </c>
      <c r="P892" s="6"/>
      <c r="V892" t="str">
        <f t="shared" si="80"/>
        <v/>
      </c>
      <c r="W892" t="str">
        <f t="shared" si="81"/>
        <v/>
      </c>
      <c r="X892" t="str">
        <f t="shared" si="82"/>
        <v/>
      </c>
      <c r="Y892" t="str">
        <f t="shared" si="83"/>
        <v/>
      </c>
    </row>
    <row r="893" spans="1:25" ht="14.5" x14ac:dyDescent="0.35">
      <c r="A893" s="3"/>
      <c r="B893" s="2"/>
      <c r="C893" s="2"/>
      <c r="D893" s="4"/>
      <c r="E893" s="2"/>
      <c r="F893" s="2"/>
      <c r="G893" s="3" t="str">
        <f t="shared" si="78"/>
        <v/>
      </c>
      <c r="H893" s="3"/>
      <c r="I893" s="3"/>
      <c r="J893" s="2"/>
      <c r="K893" s="2"/>
      <c r="L893" s="2"/>
      <c r="M893" s="4"/>
      <c r="N893" s="2"/>
      <c r="O893" s="5" t="str">
        <f t="shared" ca="1" si="79"/>
        <v/>
      </c>
      <c r="P893" s="6"/>
      <c r="V893" t="str">
        <f t="shared" si="80"/>
        <v/>
      </c>
      <c r="W893" t="str">
        <f t="shared" si="81"/>
        <v/>
      </c>
      <c r="X893" t="str">
        <f t="shared" si="82"/>
        <v/>
      </c>
      <c r="Y893" t="str">
        <f t="shared" si="83"/>
        <v/>
      </c>
    </row>
    <row r="894" spans="1:25" ht="14.5" x14ac:dyDescent="0.35">
      <c r="A894" s="3"/>
      <c r="B894" s="2"/>
      <c r="C894" s="2"/>
      <c r="D894" s="4"/>
      <c r="E894" s="2"/>
      <c r="F894" s="2"/>
      <c r="G894" s="3" t="str">
        <f t="shared" si="78"/>
        <v/>
      </c>
      <c r="H894" s="3"/>
      <c r="I894" s="3"/>
      <c r="J894" s="2"/>
      <c r="K894" s="2"/>
      <c r="L894" s="2"/>
      <c r="M894" s="4"/>
      <c r="N894" s="2"/>
      <c r="O894" s="5" t="str">
        <f t="shared" ca="1" si="79"/>
        <v/>
      </c>
      <c r="P894" s="6"/>
      <c r="V894" t="str">
        <f t="shared" si="80"/>
        <v/>
      </c>
      <c r="W894" t="str">
        <f t="shared" si="81"/>
        <v/>
      </c>
      <c r="X894" t="str">
        <f t="shared" si="82"/>
        <v/>
      </c>
      <c r="Y894" t="str">
        <f t="shared" si="83"/>
        <v/>
      </c>
    </row>
    <row r="895" spans="1:25" ht="14.5" x14ac:dyDescent="0.35">
      <c r="A895" s="3"/>
      <c r="B895" s="2"/>
      <c r="C895" s="2"/>
      <c r="D895" s="4"/>
      <c r="E895" s="2"/>
      <c r="F895" s="2"/>
      <c r="G895" s="3" t="str">
        <f t="shared" si="78"/>
        <v/>
      </c>
      <c r="H895" s="3"/>
      <c r="I895" s="3"/>
      <c r="J895" s="2"/>
      <c r="K895" s="2"/>
      <c r="L895" s="2"/>
      <c r="M895" s="4"/>
      <c r="N895" s="2"/>
      <c r="O895" s="5" t="str">
        <f t="shared" ca="1" si="79"/>
        <v/>
      </c>
      <c r="P895" s="6"/>
      <c r="V895" t="str">
        <f t="shared" si="80"/>
        <v/>
      </c>
      <c r="W895" t="str">
        <f t="shared" si="81"/>
        <v/>
      </c>
      <c r="X895" t="str">
        <f t="shared" si="82"/>
        <v/>
      </c>
      <c r="Y895" t="str">
        <f t="shared" si="83"/>
        <v/>
      </c>
    </row>
    <row r="896" spans="1:25" ht="14.5" x14ac:dyDescent="0.35">
      <c r="A896" s="3"/>
      <c r="B896" s="2"/>
      <c r="C896" s="2"/>
      <c r="D896" s="4"/>
      <c r="E896" s="2"/>
      <c r="F896" s="2"/>
      <c r="G896" s="3" t="str">
        <f t="shared" si="78"/>
        <v/>
      </c>
      <c r="H896" s="3"/>
      <c r="I896" s="3"/>
      <c r="J896" s="2"/>
      <c r="K896" s="2"/>
      <c r="L896" s="2"/>
      <c r="M896" s="4"/>
      <c r="N896" s="2"/>
      <c r="O896" s="5" t="str">
        <f t="shared" ca="1" si="79"/>
        <v/>
      </c>
      <c r="P896" s="6"/>
      <c r="V896" t="str">
        <f t="shared" si="80"/>
        <v/>
      </c>
      <c r="W896" t="str">
        <f t="shared" si="81"/>
        <v/>
      </c>
      <c r="X896" t="str">
        <f t="shared" si="82"/>
        <v/>
      </c>
      <c r="Y896" t="str">
        <f t="shared" si="83"/>
        <v/>
      </c>
    </row>
    <row r="897" spans="1:25" ht="14.5" x14ac:dyDescent="0.35">
      <c r="A897" s="3"/>
      <c r="B897" s="2"/>
      <c r="C897" s="2"/>
      <c r="D897" s="4"/>
      <c r="E897" s="2"/>
      <c r="F897" s="2"/>
      <c r="G897" s="3" t="str">
        <f t="shared" si="78"/>
        <v/>
      </c>
      <c r="H897" s="3"/>
      <c r="I897" s="3"/>
      <c r="J897" s="2"/>
      <c r="K897" s="2"/>
      <c r="L897" s="2"/>
      <c r="M897" s="4"/>
      <c r="N897" s="2"/>
      <c r="O897" s="5" t="str">
        <f t="shared" ca="1" si="79"/>
        <v/>
      </c>
      <c r="P897" s="6"/>
      <c r="V897" t="str">
        <f t="shared" si="80"/>
        <v/>
      </c>
      <c r="W897" t="str">
        <f t="shared" si="81"/>
        <v/>
      </c>
      <c r="X897" t="str">
        <f t="shared" si="82"/>
        <v/>
      </c>
      <c r="Y897" t="str">
        <f t="shared" si="83"/>
        <v/>
      </c>
    </row>
    <row r="898" spans="1:25" ht="14.5" x14ac:dyDescent="0.35">
      <c r="A898" s="3"/>
      <c r="B898" s="2"/>
      <c r="C898" s="2"/>
      <c r="D898" s="4"/>
      <c r="E898" s="2"/>
      <c r="F898" s="2"/>
      <c r="G898" s="3" t="str">
        <f t="shared" ref="G898:G961" si="84">IF(COUNTIF($A$2:$A$1500,A898&amp;".*")=0,"",COUNTIF($A$2:$A$1500,A898&amp;".*"))</f>
        <v/>
      </c>
      <c r="H898" s="3"/>
      <c r="I898" s="3"/>
      <c r="J898" s="2"/>
      <c r="K898" s="2"/>
      <c r="L898" s="2"/>
      <c r="M898" s="4"/>
      <c r="N898" s="2"/>
      <c r="O898" s="5" t="str">
        <f t="shared" ref="O898:O961" ca="1" si="85">IF(M898="","",INT(M898)-TODAY())</f>
        <v/>
      </c>
      <c r="P898" s="6"/>
      <c r="V898" t="str">
        <f t="shared" ref="V898:V961" si="86">IF(M898="","",M898+Q898/1000000)</f>
        <v/>
      </c>
      <c r="W898" t="str">
        <f t="shared" ref="W898:W961" si="87">IF(U898="","",IF(M898="",9999999+Q898/1000000,M898+Q898/1000000))</f>
        <v/>
      </c>
      <c r="X898" t="str">
        <f t="shared" ref="X898:X961" si="88">IF(U898="","",SUMPRODUCT(($U$2:$U$1500=U898)*($W$2:$W$1500&lt;=W898)))</f>
        <v/>
      </c>
      <c r="Y898" t="str">
        <f t="shared" ref="Y898:Y961" si="89">IF(U898="","",U898&amp;"|"&amp;X898)</f>
        <v/>
      </c>
    </row>
    <row r="899" spans="1:25" ht="14.5" x14ac:dyDescent="0.35">
      <c r="A899" s="3"/>
      <c r="B899" s="2"/>
      <c r="C899" s="2"/>
      <c r="D899" s="4"/>
      <c r="E899" s="2"/>
      <c r="F899" s="2"/>
      <c r="G899" s="3" t="str">
        <f t="shared" si="84"/>
        <v/>
      </c>
      <c r="H899" s="3"/>
      <c r="I899" s="3"/>
      <c r="J899" s="2"/>
      <c r="K899" s="2"/>
      <c r="L899" s="2"/>
      <c r="M899" s="4"/>
      <c r="N899" s="2"/>
      <c r="O899" s="5" t="str">
        <f t="shared" ca="1" si="85"/>
        <v/>
      </c>
      <c r="P899" s="6"/>
      <c r="V899" t="str">
        <f t="shared" si="86"/>
        <v/>
      </c>
      <c r="W899" t="str">
        <f t="shared" si="87"/>
        <v/>
      </c>
      <c r="X899" t="str">
        <f t="shared" si="88"/>
        <v/>
      </c>
      <c r="Y899" t="str">
        <f t="shared" si="89"/>
        <v/>
      </c>
    </row>
    <row r="900" spans="1:25" ht="14.5" x14ac:dyDescent="0.35">
      <c r="A900" s="3"/>
      <c r="B900" s="2"/>
      <c r="C900" s="2"/>
      <c r="D900" s="4"/>
      <c r="E900" s="2"/>
      <c r="F900" s="2"/>
      <c r="G900" s="3" t="str">
        <f t="shared" si="84"/>
        <v/>
      </c>
      <c r="H900" s="3"/>
      <c r="I900" s="3"/>
      <c r="J900" s="2"/>
      <c r="K900" s="2"/>
      <c r="L900" s="2"/>
      <c r="M900" s="4"/>
      <c r="N900" s="2"/>
      <c r="O900" s="5" t="str">
        <f t="shared" ca="1" si="85"/>
        <v/>
      </c>
      <c r="P900" s="6"/>
      <c r="V900" t="str">
        <f t="shared" si="86"/>
        <v/>
      </c>
      <c r="W900" t="str">
        <f t="shared" si="87"/>
        <v/>
      </c>
      <c r="X900" t="str">
        <f t="shared" si="88"/>
        <v/>
      </c>
      <c r="Y900" t="str">
        <f t="shared" si="89"/>
        <v/>
      </c>
    </row>
    <row r="901" spans="1:25" ht="14.5" x14ac:dyDescent="0.35">
      <c r="A901" s="3"/>
      <c r="B901" s="2"/>
      <c r="C901" s="2"/>
      <c r="D901" s="4"/>
      <c r="E901" s="2"/>
      <c r="F901" s="2"/>
      <c r="G901" s="3" t="str">
        <f t="shared" si="84"/>
        <v/>
      </c>
      <c r="H901" s="3"/>
      <c r="I901" s="3"/>
      <c r="J901" s="2"/>
      <c r="K901" s="2"/>
      <c r="L901" s="2"/>
      <c r="M901" s="4"/>
      <c r="N901" s="2"/>
      <c r="O901" s="5" t="str">
        <f t="shared" ca="1" si="85"/>
        <v/>
      </c>
      <c r="P901" s="6"/>
      <c r="V901" t="str">
        <f t="shared" si="86"/>
        <v/>
      </c>
      <c r="W901" t="str">
        <f t="shared" si="87"/>
        <v/>
      </c>
      <c r="X901" t="str">
        <f t="shared" si="88"/>
        <v/>
      </c>
      <c r="Y901" t="str">
        <f t="shared" si="89"/>
        <v/>
      </c>
    </row>
    <row r="902" spans="1:25" ht="14.5" x14ac:dyDescent="0.35">
      <c r="A902" s="3"/>
      <c r="B902" s="2"/>
      <c r="C902" s="2"/>
      <c r="D902" s="4"/>
      <c r="E902" s="2"/>
      <c r="F902" s="2"/>
      <c r="G902" s="3" t="str">
        <f t="shared" si="84"/>
        <v/>
      </c>
      <c r="H902" s="3"/>
      <c r="I902" s="3"/>
      <c r="J902" s="2"/>
      <c r="K902" s="2"/>
      <c r="L902" s="2"/>
      <c r="M902" s="4"/>
      <c r="N902" s="2"/>
      <c r="O902" s="5" t="str">
        <f t="shared" ca="1" si="85"/>
        <v/>
      </c>
      <c r="P902" s="6"/>
      <c r="V902" t="str">
        <f t="shared" si="86"/>
        <v/>
      </c>
      <c r="W902" t="str">
        <f t="shared" si="87"/>
        <v/>
      </c>
      <c r="X902" t="str">
        <f t="shared" si="88"/>
        <v/>
      </c>
      <c r="Y902" t="str">
        <f t="shared" si="89"/>
        <v/>
      </c>
    </row>
    <row r="903" spans="1:25" ht="14.5" x14ac:dyDescent="0.35">
      <c r="A903" s="3"/>
      <c r="B903" s="2"/>
      <c r="C903" s="2"/>
      <c r="D903" s="4"/>
      <c r="E903" s="2"/>
      <c r="F903" s="2"/>
      <c r="G903" s="3" t="str">
        <f t="shared" si="84"/>
        <v/>
      </c>
      <c r="H903" s="3"/>
      <c r="I903" s="3"/>
      <c r="J903" s="2"/>
      <c r="K903" s="2"/>
      <c r="L903" s="2"/>
      <c r="M903" s="4"/>
      <c r="N903" s="2"/>
      <c r="O903" s="5" t="str">
        <f t="shared" ca="1" si="85"/>
        <v/>
      </c>
      <c r="P903" s="6"/>
      <c r="V903" t="str">
        <f t="shared" si="86"/>
        <v/>
      </c>
      <c r="W903" t="str">
        <f t="shared" si="87"/>
        <v/>
      </c>
      <c r="X903" t="str">
        <f t="shared" si="88"/>
        <v/>
      </c>
      <c r="Y903" t="str">
        <f t="shared" si="89"/>
        <v/>
      </c>
    </row>
    <row r="904" spans="1:25" ht="14.5" x14ac:dyDescent="0.35">
      <c r="A904" s="3"/>
      <c r="B904" s="2"/>
      <c r="C904" s="2"/>
      <c r="D904" s="4"/>
      <c r="E904" s="2"/>
      <c r="F904" s="2"/>
      <c r="G904" s="3" t="str">
        <f t="shared" si="84"/>
        <v/>
      </c>
      <c r="H904" s="3"/>
      <c r="I904" s="3"/>
      <c r="J904" s="2"/>
      <c r="K904" s="2"/>
      <c r="L904" s="2"/>
      <c r="M904" s="4"/>
      <c r="N904" s="2"/>
      <c r="O904" s="5" t="str">
        <f t="shared" ca="1" si="85"/>
        <v/>
      </c>
      <c r="P904" s="6"/>
      <c r="V904" t="str">
        <f t="shared" si="86"/>
        <v/>
      </c>
      <c r="W904" t="str">
        <f t="shared" si="87"/>
        <v/>
      </c>
      <c r="X904" t="str">
        <f t="shared" si="88"/>
        <v/>
      </c>
      <c r="Y904" t="str">
        <f t="shared" si="89"/>
        <v/>
      </c>
    </row>
    <row r="905" spans="1:25" ht="14.5" x14ac:dyDescent="0.35">
      <c r="A905" s="3"/>
      <c r="B905" s="2"/>
      <c r="C905" s="2"/>
      <c r="D905" s="4"/>
      <c r="E905" s="2"/>
      <c r="F905" s="2"/>
      <c r="G905" s="3" t="str">
        <f t="shared" si="84"/>
        <v/>
      </c>
      <c r="H905" s="3"/>
      <c r="I905" s="3"/>
      <c r="J905" s="2"/>
      <c r="K905" s="2"/>
      <c r="L905" s="2"/>
      <c r="M905" s="4"/>
      <c r="N905" s="2"/>
      <c r="O905" s="5" t="str">
        <f t="shared" ca="1" si="85"/>
        <v/>
      </c>
      <c r="P905" s="6"/>
      <c r="V905" t="str">
        <f t="shared" si="86"/>
        <v/>
      </c>
      <c r="W905" t="str">
        <f t="shared" si="87"/>
        <v/>
      </c>
      <c r="X905" t="str">
        <f t="shared" si="88"/>
        <v/>
      </c>
      <c r="Y905" t="str">
        <f t="shared" si="89"/>
        <v/>
      </c>
    </row>
    <row r="906" spans="1:25" ht="14.5" x14ac:dyDescent="0.35">
      <c r="A906" s="3"/>
      <c r="B906" s="2"/>
      <c r="C906" s="2"/>
      <c r="D906" s="4"/>
      <c r="E906" s="2"/>
      <c r="F906" s="2"/>
      <c r="G906" s="3" t="str">
        <f t="shared" si="84"/>
        <v/>
      </c>
      <c r="H906" s="3"/>
      <c r="I906" s="3"/>
      <c r="J906" s="2"/>
      <c r="K906" s="2"/>
      <c r="L906" s="2"/>
      <c r="M906" s="4"/>
      <c r="N906" s="2"/>
      <c r="O906" s="5" t="str">
        <f t="shared" ca="1" si="85"/>
        <v/>
      </c>
      <c r="P906" s="6"/>
      <c r="V906" t="str">
        <f t="shared" si="86"/>
        <v/>
      </c>
      <c r="W906" t="str">
        <f t="shared" si="87"/>
        <v/>
      </c>
      <c r="X906" t="str">
        <f t="shared" si="88"/>
        <v/>
      </c>
      <c r="Y906" t="str">
        <f t="shared" si="89"/>
        <v/>
      </c>
    </row>
    <row r="907" spans="1:25" ht="14.5" x14ac:dyDescent="0.35">
      <c r="A907" s="3"/>
      <c r="B907" s="2"/>
      <c r="C907" s="2"/>
      <c r="D907" s="4"/>
      <c r="E907" s="2"/>
      <c r="F907" s="2"/>
      <c r="G907" s="3" t="str">
        <f t="shared" si="84"/>
        <v/>
      </c>
      <c r="H907" s="3"/>
      <c r="I907" s="3"/>
      <c r="J907" s="2"/>
      <c r="K907" s="2"/>
      <c r="L907" s="2"/>
      <c r="M907" s="4"/>
      <c r="N907" s="2"/>
      <c r="O907" s="5" t="str">
        <f t="shared" ca="1" si="85"/>
        <v/>
      </c>
      <c r="P907" s="6"/>
      <c r="V907" t="str">
        <f t="shared" si="86"/>
        <v/>
      </c>
      <c r="W907" t="str">
        <f t="shared" si="87"/>
        <v/>
      </c>
      <c r="X907" t="str">
        <f t="shared" si="88"/>
        <v/>
      </c>
      <c r="Y907" t="str">
        <f t="shared" si="89"/>
        <v/>
      </c>
    </row>
    <row r="908" spans="1:25" ht="14.5" x14ac:dyDescent="0.35">
      <c r="A908" s="3"/>
      <c r="B908" s="2"/>
      <c r="C908" s="2"/>
      <c r="D908" s="4"/>
      <c r="E908" s="2"/>
      <c r="F908" s="2"/>
      <c r="G908" s="3" t="str">
        <f t="shared" si="84"/>
        <v/>
      </c>
      <c r="H908" s="3"/>
      <c r="I908" s="3"/>
      <c r="J908" s="2"/>
      <c r="K908" s="2"/>
      <c r="L908" s="2"/>
      <c r="M908" s="4"/>
      <c r="N908" s="2"/>
      <c r="O908" s="5" t="str">
        <f t="shared" ca="1" si="85"/>
        <v/>
      </c>
      <c r="P908" s="6"/>
      <c r="V908" t="str">
        <f t="shared" si="86"/>
        <v/>
      </c>
      <c r="W908" t="str">
        <f t="shared" si="87"/>
        <v/>
      </c>
      <c r="X908" t="str">
        <f t="shared" si="88"/>
        <v/>
      </c>
      <c r="Y908" t="str">
        <f t="shared" si="89"/>
        <v/>
      </c>
    </row>
    <row r="909" spans="1:25" ht="14.5" x14ac:dyDescent="0.35">
      <c r="A909" s="3"/>
      <c r="B909" s="2"/>
      <c r="C909" s="2"/>
      <c r="D909" s="4"/>
      <c r="E909" s="2"/>
      <c r="F909" s="2"/>
      <c r="G909" s="3" t="str">
        <f t="shared" si="84"/>
        <v/>
      </c>
      <c r="H909" s="3"/>
      <c r="I909" s="3"/>
      <c r="J909" s="2"/>
      <c r="K909" s="2"/>
      <c r="L909" s="2"/>
      <c r="M909" s="4"/>
      <c r="N909" s="2"/>
      <c r="O909" s="5" t="str">
        <f t="shared" ca="1" si="85"/>
        <v/>
      </c>
      <c r="P909" s="6"/>
      <c r="V909" t="str">
        <f t="shared" si="86"/>
        <v/>
      </c>
      <c r="W909" t="str">
        <f t="shared" si="87"/>
        <v/>
      </c>
      <c r="X909" t="str">
        <f t="shared" si="88"/>
        <v/>
      </c>
      <c r="Y909" t="str">
        <f t="shared" si="89"/>
        <v/>
      </c>
    </row>
    <row r="910" spans="1:25" ht="14.5" x14ac:dyDescent="0.35">
      <c r="A910" s="3"/>
      <c r="B910" s="2"/>
      <c r="C910" s="2"/>
      <c r="D910" s="4"/>
      <c r="E910" s="2"/>
      <c r="F910" s="2"/>
      <c r="G910" s="3" t="str">
        <f t="shared" si="84"/>
        <v/>
      </c>
      <c r="H910" s="3"/>
      <c r="I910" s="3"/>
      <c r="J910" s="2"/>
      <c r="K910" s="2"/>
      <c r="L910" s="2"/>
      <c r="M910" s="4"/>
      <c r="N910" s="2"/>
      <c r="O910" s="5" t="str">
        <f t="shared" ca="1" si="85"/>
        <v/>
      </c>
      <c r="P910" s="6"/>
      <c r="V910" t="str">
        <f t="shared" si="86"/>
        <v/>
      </c>
      <c r="W910" t="str">
        <f t="shared" si="87"/>
        <v/>
      </c>
      <c r="X910" t="str">
        <f t="shared" si="88"/>
        <v/>
      </c>
      <c r="Y910" t="str">
        <f t="shared" si="89"/>
        <v/>
      </c>
    </row>
    <row r="911" spans="1:25" ht="14.5" x14ac:dyDescent="0.35">
      <c r="A911" s="3"/>
      <c r="B911" s="2"/>
      <c r="C911" s="2"/>
      <c r="D911" s="4"/>
      <c r="E911" s="2"/>
      <c r="F911" s="2"/>
      <c r="G911" s="3" t="str">
        <f t="shared" si="84"/>
        <v/>
      </c>
      <c r="H911" s="3"/>
      <c r="I911" s="3"/>
      <c r="J911" s="2"/>
      <c r="K911" s="2"/>
      <c r="L911" s="2"/>
      <c r="M911" s="4"/>
      <c r="N911" s="2"/>
      <c r="O911" s="5" t="str">
        <f t="shared" ca="1" si="85"/>
        <v/>
      </c>
      <c r="P911" s="6"/>
      <c r="V911" t="str">
        <f t="shared" si="86"/>
        <v/>
      </c>
      <c r="W911" t="str">
        <f t="shared" si="87"/>
        <v/>
      </c>
      <c r="X911" t="str">
        <f t="shared" si="88"/>
        <v/>
      </c>
      <c r="Y911" t="str">
        <f t="shared" si="89"/>
        <v/>
      </c>
    </row>
    <row r="912" spans="1:25" ht="14.5" x14ac:dyDescent="0.35">
      <c r="A912" s="3"/>
      <c r="B912" s="2"/>
      <c r="C912" s="2"/>
      <c r="D912" s="4"/>
      <c r="E912" s="2"/>
      <c r="F912" s="2"/>
      <c r="G912" s="3" t="str">
        <f t="shared" si="84"/>
        <v/>
      </c>
      <c r="H912" s="3"/>
      <c r="I912" s="3"/>
      <c r="J912" s="2"/>
      <c r="K912" s="2"/>
      <c r="L912" s="2"/>
      <c r="M912" s="4"/>
      <c r="N912" s="2"/>
      <c r="O912" s="5" t="str">
        <f t="shared" ca="1" si="85"/>
        <v/>
      </c>
      <c r="P912" s="6"/>
      <c r="V912" t="str">
        <f t="shared" si="86"/>
        <v/>
      </c>
      <c r="W912" t="str">
        <f t="shared" si="87"/>
        <v/>
      </c>
      <c r="X912" t="str">
        <f t="shared" si="88"/>
        <v/>
      </c>
      <c r="Y912" t="str">
        <f t="shared" si="89"/>
        <v/>
      </c>
    </row>
    <row r="913" spans="1:25" ht="14.5" x14ac:dyDescent="0.35">
      <c r="A913" s="3"/>
      <c r="B913" s="2"/>
      <c r="C913" s="2"/>
      <c r="D913" s="4"/>
      <c r="E913" s="2"/>
      <c r="F913" s="2"/>
      <c r="G913" s="3" t="str">
        <f t="shared" si="84"/>
        <v/>
      </c>
      <c r="H913" s="3"/>
      <c r="I913" s="3"/>
      <c r="J913" s="2"/>
      <c r="K913" s="2"/>
      <c r="L913" s="2"/>
      <c r="M913" s="4"/>
      <c r="N913" s="2"/>
      <c r="O913" s="5" t="str">
        <f t="shared" ca="1" si="85"/>
        <v/>
      </c>
      <c r="P913" s="6"/>
      <c r="V913" t="str">
        <f t="shared" si="86"/>
        <v/>
      </c>
      <c r="W913" t="str">
        <f t="shared" si="87"/>
        <v/>
      </c>
      <c r="X913" t="str">
        <f t="shared" si="88"/>
        <v/>
      </c>
      <c r="Y913" t="str">
        <f t="shared" si="89"/>
        <v/>
      </c>
    </row>
    <row r="914" spans="1:25" ht="14.5" x14ac:dyDescent="0.35">
      <c r="A914" s="3"/>
      <c r="B914" s="2"/>
      <c r="C914" s="2"/>
      <c r="D914" s="4"/>
      <c r="E914" s="2"/>
      <c r="F914" s="2"/>
      <c r="G914" s="3" t="str">
        <f t="shared" si="84"/>
        <v/>
      </c>
      <c r="H914" s="3"/>
      <c r="I914" s="3"/>
      <c r="J914" s="2"/>
      <c r="K914" s="2"/>
      <c r="L914" s="2"/>
      <c r="M914" s="4"/>
      <c r="N914" s="2"/>
      <c r="O914" s="5" t="str">
        <f t="shared" ca="1" si="85"/>
        <v/>
      </c>
      <c r="P914" s="6"/>
      <c r="V914" t="str">
        <f t="shared" si="86"/>
        <v/>
      </c>
      <c r="W914" t="str">
        <f t="shared" si="87"/>
        <v/>
      </c>
      <c r="X914" t="str">
        <f t="shared" si="88"/>
        <v/>
      </c>
      <c r="Y914" t="str">
        <f t="shared" si="89"/>
        <v/>
      </c>
    </row>
    <row r="915" spans="1:25" ht="14.5" x14ac:dyDescent="0.35">
      <c r="A915" s="3"/>
      <c r="B915" s="2"/>
      <c r="C915" s="2"/>
      <c r="D915" s="4"/>
      <c r="E915" s="2"/>
      <c r="F915" s="2"/>
      <c r="G915" s="3" t="str">
        <f t="shared" si="84"/>
        <v/>
      </c>
      <c r="H915" s="3"/>
      <c r="I915" s="3"/>
      <c r="J915" s="2"/>
      <c r="K915" s="2"/>
      <c r="L915" s="2"/>
      <c r="M915" s="4"/>
      <c r="N915" s="2"/>
      <c r="O915" s="5" t="str">
        <f t="shared" ca="1" si="85"/>
        <v/>
      </c>
      <c r="P915" s="6"/>
      <c r="V915" t="str">
        <f t="shared" si="86"/>
        <v/>
      </c>
      <c r="W915" t="str">
        <f t="shared" si="87"/>
        <v/>
      </c>
      <c r="X915" t="str">
        <f t="shared" si="88"/>
        <v/>
      </c>
      <c r="Y915" t="str">
        <f t="shared" si="89"/>
        <v/>
      </c>
    </row>
    <row r="916" spans="1:25" ht="14.5" x14ac:dyDescent="0.35">
      <c r="A916" s="3"/>
      <c r="B916" s="2"/>
      <c r="C916" s="2"/>
      <c r="D916" s="4"/>
      <c r="E916" s="2"/>
      <c r="F916" s="2"/>
      <c r="G916" s="3" t="str">
        <f t="shared" si="84"/>
        <v/>
      </c>
      <c r="H916" s="3"/>
      <c r="I916" s="3"/>
      <c r="J916" s="2"/>
      <c r="K916" s="2"/>
      <c r="L916" s="2"/>
      <c r="M916" s="4"/>
      <c r="N916" s="2"/>
      <c r="O916" s="5" t="str">
        <f t="shared" ca="1" si="85"/>
        <v/>
      </c>
      <c r="P916" s="6"/>
      <c r="V916" t="str">
        <f t="shared" si="86"/>
        <v/>
      </c>
      <c r="W916" t="str">
        <f t="shared" si="87"/>
        <v/>
      </c>
      <c r="X916" t="str">
        <f t="shared" si="88"/>
        <v/>
      </c>
      <c r="Y916" t="str">
        <f t="shared" si="89"/>
        <v/>
      </c>
    </row>
    <row r="917" spans="1:25" ht="14.5" x14ac:dyDescent="0.35">
      <c r="A917" s="3"/>
      <c r="B917" s="2"/>
      <c r="C917" s="2"/>
      <c r="D917" s="4"/>
      <c r="E917" s="2"/>
      <c r="F917" s="2"/>
      <c r="G917" s="3" t="str">
        <f t="shared" si="84"/>
        <v/>
      </c>
      <c r="H917" s="3"/>
      <c r="I917" s="3"/>
      <c r="J917" s="2"/>
      <c r="K917" s="2"/>
      <c r="L917" s="2"/>
      <c r="M917" s="4"/>
      <c r="N917" s="2"/>
      <c r="O917" s="5" t="str">
        <f t="shared" ca="1" si="85"/>
        <v/>
      </c>
      <c r="P917" s="6"/>
      <c r="V917" t="str">
        <f t="shared" si="86"/>
        <v/>
      </c>
      <c r="W917" t="str">
        <f t="shared" si="87"/>
        <v/>
      </c>
      <c r="X917" t="str">
        <f t="shared" si="88"/>
        <v/>
      </c>
      <c r="Y917" t="str">
        <f t="shared" si="89"/>
        <v/>
      </c>
    </row>
    <row r="918" spans="1:25" ht="14.5" x14ac:dyDescent="0.35">
      <c r="A918" s="3"/>
      <c r="B918" s="2"/>
      <c r="C918" s="2"/>
      <c r="D918" s="4"/>
      <c r="E918" s="2"/>
      <c r="F918" s="2"/>
      <c r="G918" s="3" t="str">
        <f t="shared" si="84"/>
        <v/>
      </c>
      <c r="H918" s="3"/>
      <c r="I918" s="3"/>
      <c r="J918" s="2"/>
      <c r="K918" s="2"/>
      <c r="L918" s="2"/>
      <c r="M918" s="4"/>
      <c r="N918" s="2"/>
      <c r="O918" s="5" t="str">
        <f t="shared" ca="1" si="85"/>
        <v/>
      </c>
      <c r="P918" s="6"/>
      <c r="V918" t="str">
        <f t="shared" si="86"/>
        <v/>
      </c>
      <c r="W918" t="str">
        <f t="shared" si="87"/>
        <v/>
      </c>
      <c r="X918" t="str">
        <f t="shared" si="88"/>
        <v/>
      </c>
      <c r="Y918" t="str">
        <f t="shared" si="89"/>
        <v/>
      </c>
    </row>
    <row r="919" spans="1:25" ht="14.5" x14ac:dyDescent="0.35">
      <c r="A919" s="3"/>
      <c r="B919" s="2"/>
      <c r="C919" s="2"/>
      <c r="D919" s="4"/>
      <c r="E919" s="2"/>
      <c r="F919" s="2"/>
      <c r="G919" s="3" t="str">
        <f t="shared" si="84"/>
        <v/>
      </c>
      <c r="H919" s="3"/>
      <c r="I919" s="3"/>
      <c r="J919" s="2"/>
      <c r="K919" s="2"/>
      <c r="L919" s="2"/>
      <c r="M919" s="4"/>
      <c r="N919" s="2"/>
      <c r="O919" s="5" t="str">
        <f t="shared" ca="1" si="85"/>
        <v/>
      </c>
      <c r="P919" s="6"/>
      <c r="V919" t="str">
        <f t="shared" si="86"/>
        <v/>
      </c>
      <c r="W919" t="str">
        <f t="shared" si="87"/>
        <v/>
      </c>
      <c r="X919" t="str">
        <f t="shared" si="88"/>
        <v/>
      </c>
      <c r="Y919" t="str">
        <f t="shared" si="89"/>
        <v/>
      </c>
    </row>
    <row r="920" spans="1:25" ht="14.5" x14ac:dyDescent="0.35">
      <c r="A920" s="3"/>
      <c r="B920" s="2"/>
      <c r="C920" s="2"/>
      <c r="D920" s="4"/>
      <c r="E920" s="2"/>
      <c r="F920" s="2"/>
      <c r="G920" s="3" t="str">
        <f t="shared" si="84"/>
        <v/>
      </c>
      <c r="H920" s="3"/>
      <c r="I920" s="3"/>
      <c r="J920" s="2"/>
      <c r="K920" s="2"/>
      <c r="L920" s="2"/>
      <c r="M920" s="4"/>
      <c r="N920" s="2"/>
      <c r="O920" s="5" t="str">
        <f t="shared" ca="1" si="85"/>
        <v/>
      </c>
      <c r="P920" s="6"/>
      <c r="V920" t="str">
        <f t="shared" si="86"/>
        <v/>
      </c>
      <c r="W920" t="str">
        <f t="shared" si="87"/>
        <v/>
      </c>
      <c r="X920" t="str">
        <f t="shared" si="88"/>
        <v/>
      </c>
      <c r="Y920" t="str">
        <f t="shared" si="89"/>
        <v/>
      </c>
    </row>
    <row r="921" spans="1:25" ht="14.5" x14ac:dyDescent="0.35">
      <c r="A921" s="3"/>
      <c r="B921" s="2"/>
      <c r="C921" s="2"/>
      <c r="D921" s="4"/>
      <c r="E921" s="2"/>
      <c r="F921" s="2"/>
      <c r="G921" s="3" t="str">
        <f t="shared" si="84"/>
        <v/>
      </c>
      <c r="H921" s="3"/>
      <c r="I921" s="3"/>
      <c r="J921" s="2"/>
      <c r="K921" s="2"/>
      <c r="L921" s="2"/>
      <c r="M921" s="4"/>
      <c r="N921" s="2"/>
      <c r="O921" s="5" t="str">
        <f t="shared" ca="1" si="85"/>
        <v/>
      </c>
      <c r="P921" s="6"/>
      <c r="V921" t="str">
        <f t="shared" si="86"/>
        <v/>
      </c>
      <c r="W921" t="str">
        <f t="shared" si="87"/>
        <v/>
      </c>
      <c r="X921" t="str">
        <f t="shared" si="88"/>
        <v/>
      </c>
      <c r="Y921" t="str">
        <f t="shared" si="89"/>
        <v/>
      </c>
    </row>
    <row r="922" spans="1:25" ht="14.5" x14ac:dyDescent="0.35">
      <c r="A922" s="3"/>
      <c r="B922" s="2"/>
      <c r="C922" s="2"/>
      <c r="D922" s="4"/>
      <c r="E922" s="2"/>
      <c r="F922" s="2"/>
      <c r="G922" s="3" t="str">
        <f t="shared" si="84"/>
        <v/>
      </c>
      <c r="H922" s="3"/>
      <c r="I922" s="3"/>
      <c r="J922" s="2"/>
      <c r="K922" s="2"/>
      <c r="L922" s="2"/>
      <c r="M922" s="4"/>
      <c r="N922" s="2"/>
      <c r="O922" s="5" t="str">
        <f t="shared" ca="1" si="85"/>
        <v/>
      </c>
      <c r="P922" s="6"/>
      <c r="V922" t="str">
        <f t="shared" si="86"/>
        <v/>
      </c>
      <c r="W922" t="str">
        <f t="shared" si="87"/>
        <v/>
      </c>
      <c r="X922" t="str">
        <f t="shared" si="88"/>
        <v/>
      </c>
      <c r="Y922" t="str">
        <f t="shared" si="89"/>
        <v/>
      </c>
    </row>
    <row r="923" spans="1:25" ht="14.5" x14ac:dyDescent="0.35">
      <c r="A923" s="3"/>
      <c r="B923" s="2"/>
      <c r="C923" s="2"/>
      <c r="D923" s="4"/>
      <c r="E923" s="2"/>
      <c r="F923" s="2"/>
      <c r="G923" s="3" t="str">
        <f t="shared" si="84"/>
        <v/>
      </c>
      <c r="H923" s="3"/>
      <c r="I923" s="3"/>
      <c r="J923" s="2"/>
      <c r="K923" s="2"/>
      <c r="L923" s="2"/>
      <c r="M923" s="4"/>
      <c r="N923" s="2"/>
      <c r="O923" s="5" t="str">
        <f t="shared" ca="1" si="85"/>
        <v/>
      </c>
      <c r="P923" s="6"/>
      <c r="V923" t="str">
        <f t="shared" si="86"/>
        <v/>
      </c>
      <c r="W923" t="str">
        <f t="shared" si="87"/>
        <v/>
      </c>
      <c r="X923" t="str">
        <f t="shared" si="88"/>
        <v/>
      </c>
      <c r="Y923" t="str">
        <f t="shared" si="89"/>
        <v/>
      </c>
    </row>
    <row r="924" spans="1:25" ht="14.5" x14ac:dyDescent="0.35">
      <c r="A924" s="3"/>
      <c r="B924" s="2"/>
      <c r="C924" s="2"/>
      <c r="D924" s="4"/>
      <c r="E924" s="2"/>
      <c r="F924" s="2"/>
      <c r="G924" s="3" t="str">
        <f t="shared" si="84"/>
        <v/>
      </c>
      <c r="H924" s="3"/>
      <c r="I924" s="3"/>
      <c r="J924" s="2"/>
      <c r="K924" s="2"/>
      <c r="L924" s="2"/>
      <c r="M924" s="4"/>
      <c r="N924" s="2"/>
      <c r="O924" s="5" t="str">
        <f t="shared" ca="1" si="85"/>
        <v/>
      </c>
      <c r="P924" s="6"/>
      <c r="V924" t="str">
        <f t="shared" si="86"/>
        <v/>
      </c>
      <c r="W924" t="str">
        <f t="shared" si="87"/>
        <v/>
      </c>
      <c r="X924" t="str">
        <f t="shared" si="88"/>
        <v/>
      </c>
      <c r="Y924" t="str">
        <f t="shared" si="89"/>
        <v/>
      </c>
    </row>
    <row r="925" spans="1:25" ht="14.5" x14ac:dyDescent="0.35">
      <c r="A925" s="3"/>
      <c r="B925" s="2"/>
      <c r="C925" s="2"/>
      <c r="D925" s="4"/>
      <c r="E925" s="2"/>
      <c r="F925" s="2"/>
      <c r="G925" s="3" t="str">
        <f t="shared" si="84"/>
        <v/>
      </c>
      <c r="H925" s="3"/>
      <c r="I925" s="3"/>
      <c r="J925" s="2"/>
      <c r="K925" s="2"/>
      <c r="L925" s="2"/>
      <c r="M925" s="4"/>
      <c r="N925" s="2"/>
      <c r="O925" s="5" t="str">
        <f t="shared" ca="1" si="85"/>
        <v/>
      </c>
      <c r="P925" s="6"/>
      <c r="V925" t="str">
        <f t="shared" si="86"/>
        <v/>
      </c>
      <c r="W925" t="str">
        <f t="shared" si="87"/>
        <v/>
      </c>
      <c r="X925" t="str">
        <f t="shared" si="88"/>
        <v/>
      </c>
      <c r="Y925" t="str">
        <f t="shared" si="89"/>
        <v/>
      </c>
    </row>
    <row r="926" spans="1:25" ht="14.5" x14ac:dyDescent="0.35">
      <c r="A926" s="3"/>
      <c r="B926" s="2"/>
      <c r="C926" s="2"/>
      <c r="D926" s="4"/>
      <c r="E926" s="2"/>
      <c r="F926" s="2"/>
      <c r="G926" s="3" t="str">
        <f t="shared" si="84"/>
        <v/>
      </c>
      <c r="H926" s="3"/>
      <c r="I926" s="3"/>
      <c r="J926" s="2"/>
      <c r="K926" s="2"/>
      <c r="L926" s="2"/>
      <c r="M926" s="4"/>
      <c r="N926" s="2"/>
      <c r="O926" s="5" t="str">
        <f t="shared" ca="1" si="85"/>
        <v/>
      </c>
      <c r="P926" s="6"/>
      <c r="V926" t="str">
        <f t="shared" si="86"/>
        <v/>
      </c>
      <c r="W926" t="str">
        <f t="shared" si="87"/>
        <v/>
      </c>
      <c r="X926" t="str">
        <f t="shared" si="88"/>
        <v/>
      </c>
      <c r="Y926" t="str">
        <f t="shared" si="89"/>
        <v/>
      </c>
    </row>
    <row r="927" spans="1:25" ht="14.5" x14ac:dyDescent="0.35">
      <c r="A927" s="3"/>
      <c r="B927" s="2"/>
      <c r="C927" s="2"/>
      <c r="D927" s="4"/>
      <c r="E927" s="2"/>
      <c r="F927" s="2"/>
      <c r="G927" s="3" t="str">
        <f t="shared" si="84"/>
        <v/>
      </c>
      <c r="H927" s="3"/>
      <c r="I927" s="3"/>
      <c r="J927" s="2"/>
      <c r="K927" s="2"/>
      <c r="L927" s="2"/>
      <c r="M927" s="4"/>
      <c r="N927" s="2"/>
      <c r="O927" s="5" t="str">
        <f t="shared" ca="1" si="85"/>
        <v/>
      </c>
      <c r="P927" s="6"/>
      <c r="V927" t="str">
        <f t="shared" si="86"/>
        <v/>
      </c>
      <c r="W927" t="str">
        <f t="shared" si="87"/>
        <v/>
      </c>
      <c r="X927" t="str">
        <f t="shared" si="88"/>
        <v/>
      </c>
      <c r="Y927" t="str">
        <f t="shared" si="89"/>
        <v/>
      </c>
    </row>
    <row r="928" spans="1:25" ht="14.5" x14ac:dyDescent="0.35">
      <c r="A928" s="3"/>
      <c r="B928" s="2"/>
      <c r="C928" s="2"/>
      <c r="D928" s="4"/>
      <c r="E928" s="2"/>
      <c r="F928" s="2"/>
      <c r="G928" s="3" t="str">
        <f t="shared" si="84"/>
        <v/>
      </c>
      <c r="H928" s="3"/>
      <c r="I928" s="3"/>
      <c r="J928" s="2"/>
      <c r="K928" s="2"/>
      <c r="L928" s="2"/>
      <c r="M928" s="4"/>
      <c r="N928" s="2"/>
      <c r="O928" s="5" t="str">
        <f t="shared" ca="1" si="85"/>
        <v/>
      </c>
      <c r="P928" s="6"/>
      <c r="V928" t="str">
        <f t="shared" si="86"/>
        <v/>
      </c>
      <c r="W928" t="str">
        <f t="shared" si="87"/>
        <v/>
      </c>
      <c r="X928" t="str">
        <f t="shared" si="88"/>
        <v/>
      </c>
      <c r="Y928" t="str">
        <f t="shared" si="89"/>
        <v/>
      </c>
    </row>
    <row r="929" spans="1:25" ht="14.5" x14ac:dyDescent="0.35">
      <c r="A929" s="3"/>
      <c r="B929" s="2"/>
      <c r="C929" s="2"/>
      <c r="D929" s="4"/>
      <c r="E929" s="2"/>
      <c r="F929" s="2"/>
      <c r="G929" s="3" t="str">
        <f t="shared" si="84"/>
        <v/>
      </c>
      <c r="H929" s="3"/>
      <c r="I929" s="3"/>
      <c r="J929" s="2"/>
      <c r="K929" s="2"/>
      <c r="L929" s="2"/>
      <c r="M929" s="4"/>
      <c r="N929" s="2"/>
      <c r="O929" s="5" t="str">
        <f t="shared" ca="1" si="85"/>
        <v/>
      </c>
      <c r="P929" s="6"/>
      <c r="V929" t="str">
        <f t="shared" si="86"/>
        <v/>
      </c>
      <c r="W929" t="str">
        <f t="shared" si="87"/>
        <v/>
      </c>
      <c r="X929" t="str">
        <f t="shared" si="88"/>
        <v/>
      </c>
      <c r="Y929" t="str">
        <f t="shared" si="89"/>
        <v/>
      </c>
    </row>
    <row r="930" spans="1:25" ht="14.5" x14ac:dyDescent="0.35">
      <c r="A930" s="3"/>
      <c r="B930" s="2"/>
      <c r="C930" s="2"/>
      <c r="D930" s="4"/>
      <c r="E930" s="2"/>
      <c r="F930" s="2"/>
      <c r="G930" s="3" t="str">
        <f t="shared" si="84"/>
        <v/>
      </c>
      <c r="H930" s="3"/>
      <c r="I930" s="3"/>
      <c r="J930" s="2"/>
      <c r="K930" s="2"/>
      <c r="L930" s="2"/>
      <c r="M930" s="4"/>
      <c r="N930" s="2"/>
      <c r="O930" s="5" t="str">
        <f t="shared" ca="1" si="85"/>
        <v/>
      </c>
      <c r="P930" s="6"/>
      <c r="V930" t="str">
        <f t="shared" si="86"/>
        <v/>
      </c>
      <c r="W930" t="str">
        <f t="shared" si="87"/>
        <v/>
      </c>
      <c r="X930" t="str">
        <f t="shared" si="88"/>
        <v/>
      </c>
      <c r="Y930" t="str">
        <f t="shared" si="89"/>
        <v/>
      </c>
    </row>
    <row r="931" spans="1:25" ht="14.5" x14ac:dyDescent="0.35">
      <c r="A931" s="3"/>
      <c r="B931" s="2"/>
      <c r="C931" s="2"/>
      <c r="D931" s="4"/>
      <c r="E931" s="2"/>
      <c r="F931" s="2"/>
      <c r="G931" s="3" t="str">
        <f t="shared" si="84"/>
        <v/>
      </c>
      <c r="H931" s="3"/>
      <c r="I931" s="3"/>
      <c r="J931" s="2"/>
      <c r="K931" s="2"/>
      <c r="L931" s="2"/>
      <c r="M931" s="4"/>
      <c r="N931" s="2"/>
      <c r="O931" s="5" t="str">
        <f t="shared" ca="1" si="85"/>
        <v/>
      </c>
      <c r="P931" s="6"/>
      <c r="V931" t="str">
        <f t="shared" si="86"/>
        <v/>
      </c>
      <c r="W931" t="str">
        <f t="shared" si="87"/>
        <v/>
      </c>
      <c r="X931" t="str">
        <f t="shared" si="88"/>
        <v/>
      </c>
      <c r="Y931" t="str">
        <f t="shared" si="89"/>
        <v/>
      </c>
    </row>
    <row r="932" spans="1:25" ht="14.5" x14ac:dyDescent="0.35">
      <c r="A932" s="3"/>
      <c r="B932" s="2"/>
      <c r="C932" s="2"/>
      <c r="D932" s="4"/>
      <c r="E932" s="2"/>
      <c r="F932" s="2"/>
      <c r="G932" s="3" t="str">
        <f t="shared" si="84"/>
        <v/>
      </c>
      <c r="H932" s="3"/>
      <c r="I932" s="3"/>
      <c r="J932" s="2"/>
      <c r="K932" s="2"/>
      <c r="L932" s="2"/>
      <c r="M932" s="4"/>
      <c r="N932" s="2"/>
      <c r="O932" s="5" t="str">
        <f t="shared" ca="1" si="85"/>
        <v/>
      </c>
      <c r="P932" s="6"/>
      <c r="V932" t="str">
        <f t="shared" si="86"/>
        <v/>
      </c>
      <c r="W932" t="str">
        <f t="shared" si="87"/>
        <v/>
      </c>
      <c r="X932" t="str">
        <f t="shared" si="88"/>
        <v/>
      </c>
      <c r="Y932" t="str">
        <f t="shared" si="89"/>
        <v/>
      </c>
    </row>
    <row r="933" spans="1:25" ht="14.5" x14ac:dyDescent="0.35">
      <c r="A933" s="3"/>
      <c r="B933" s="2"/>
      <c r="C933" s="2"/>
      <c r="D933" s="4"/>
      <c r="E933" s="2"/>
      <c r="F933" s="2"/>
      <c r="G933" s="3" t="str">
        <f t="shared" si="84"/>
        <v/>
      </c>
      <c r="H933" s="3"/>
      <c r="I933" s="3"/>
      <c r="J933" s="2"/>
      <c r="K933" s="2"/>
      <c r="L933" s="2"/>
      <c r="M933" s="4"/>
      <c r="N933" s="2"/>
      <c r="O933" s="5" t="str">
        <f t="shared" ca="1" si="85"/>
        <v/>
      </c>
      <c r="P933" s="6"/>
      <c r="V933" t="str">
        <f t="shared" si="86"/>
        <v/>
      </c>
      <c r="W933" t="str">
        <f t="shared" si="87"/>
        <v/>
      </c>
      <c r="X933" t="str">
        <f t="shared" si="88"/>
        <v/>
      </c>
      <c r="Y933" t="str">
        <f t="shared" si="89"/>
        <v/>
      </c>
    </row>
    <row r="934" spans="1:25" ht="14.5" x14ac:dyDescent="0.35">
      <c r="A934" s="3"/>
      <c r="B934" s="2"/>
      <c r="C934" s="2"/>
      <c r="D934" s="4"/>
      <c r="E934" s="2"/>
      <c r="F934" s="2"/>
      <c r="G934" s="3" t="str">
        <f t="shared" si="84"/>
        <v/>
      </c>
      <c r="H934" s="3"/>
      <c r="I934" s="3"/>
      <c r="J934" s="2"/>
      <c r="K934" s="2"/>
      <c r="L934" s="2"/>
      <c r="M934" s="4"/>
      <c r="N934" s="2"/>
      <c r="O934" s="5" t="str">
        <f t="shared" ca="1" si="85"/>
        <v/>
      </c>
      <c r="P934" s="6"/>
      <c r="V934" t="str">
        <f t="shared" si="86"/>
        <v/>
      </c>
      <c r="W934" t="str">
        <f t="shared" si="87"/>
        <v/>
      </c>
      <c r="X934" t="str">
        <f t="shared" si="88"/>
        <v/>
      </c>
      <c r="Y934" t="str">
        <f t="shared" si="89"/>
        <v/>
      </c>
    </row>
    <row r="935" spans="1:25" ht="14.5" x14ac:dyDescent="0.35">
      <c r="A935" s="3"/>
      <c r="B935" s="2"/>
      <c r="C935" s="2"/>
      <c r="D935" s="4"/>
      <c r="E935" s="2"/>
      <c r="F935" s="2"/>
      <c r="G935" s="3" t="str">
        <f t="shared" si="84"/>
        <v/>
      </c>
      <c r="H935" s="3"/>
      <c r="I935" s="3"/>
      <c r="J935" s="2"/>
      <c r="K935" s="2"/>
      <c r="L935" s="2"/>
      <c r="M935" s="4"/>
      <c r="N935" s="2"/>
      <c r="O935" s="5" t="str">
        <f t="shared" ca="1" si="85"/>
        <v/>
      </c>
      <c r="P935" s="6"/>
      <c r="V935" t="str">
        <f t="shared" si="86"/>
        <v/>
      </c>
      <c r="W935" t="str">
        <f t="shared" si="87"/>
        <v/>
      </c>
      <c r="X935" t="str">
        <f t="shared" si="88"/>
        <v/>
      </c>
      <c r="Y935" t="str">
        <f t="shared" si="89"/>
        <v/>
      </c>
    </row>
    <row r="936" spans="1:25" ht="14.5" x14ac:dyDescent="0.35">
      <c r="A936" s="3"/>
      <c r="B936" s="2"/>
      <c r="C936" s="2"/>
      <c r="D936" s="4"/>
      <c r="E936" s="2"/>
      <c r="F936" s="2"/>
      <c r="G936" s="3" t="str">
        <f t="shared" si="84"/>
        <v/>
      </c>
      <c r="H936" s="3"/>
      <c r="I936" s="3"/>
      <c r="J936" s="2"/>
      <c r="K936" s="2"/>
      <c r="L936" s="2"/>
      <c r="M936" s="4"/>
      <c r="N936" s="2"/>
      <c r="O936" s="5" t="str">
        <f t="shared" ca="1" si="85"/>
        <v/>
      </c>
      <c r="P936" s="6"/>
      <c r="V936" t="str">
        <f t="shared" si="86"/>
        <v/>
      </c>
      <c r="W936" t="str">
        <f t="shared" si="87"/>
        <v/>
      </c>
      <c r="X936" t="str">
        <f t="shared" si="88"/>
        <v/>
      </c>
      <c r="Y936" t="str">
        <f t="shared" si="89"/>
        <v/>
      </c>
    </row>
    <row r="937" spans="1:25" ht="14.5" x14ac:dyDescent="0.35">
      <c r="A937" s="3"/>
      <c r="B937" s="2"/>
      <c r="C937" s="2"/>
      <c r="D937" s="4"/>
      <c r="E937" s="2"/>
      <c r="F937" s="2"/>
      <c r="G937" s="3" t="str">
        <f t="shared" si="84"/>
        <v/>
      </c>
      <c r="H937" s="3"/>
      <c r="I937" s="3"/>
      <c r="J937" s="2"/>
      <c r="K937" s="2"/>
      <c r="L937" s="2"/>
      <c r="M937" s="4"/>
      <c r="N937" s="2"/>
      <c r="O937" s="5" t="str">
        <f t="shared" ca="1" si="85"/>
        <v/>
      </c>
      <c r="P937" s="6"/>
      <c r="V937" t="str">
        <f t="shared" si="86"/>
        <v/>
      </c>
      <c r="W937" t="str">
        <f t="shared" si="87"/>
        <v/>
      </c>
      <c r="X937" t="str">
        <f t="shared" si="88"/>
        <v/>
      </c>
      <c r="Y937" t="str">
        <f t="shared" si="89"/>
        <v/>
      </c>
    </row>
    <row r="938" spans="1:25" ht="14.5" x14ac:dyDescent="0.35">
      <c r="A938" s="3"/>
      <c r="B938" s="2"/>
      <c r="C938" s="2"/>
      <c r="D938" s="4"/>
      <c r="E938" s="2"/>
      <c r="F938" s="2"/>
      <c r="G938" s="3" t="str">
        <f t="shared" si="84"/>
        <v/>
      </c>
      <c r="H938" s="3"/>
      <c r="I938" s="3"/>
      <c r="J938" s="2"/>
      <c r="K938" s="2"/>
      <c r="L938" s="2"/>
      <c r="M938" s="4"/>
      <c r="N938" s="2"/>
      <c r="O938" s="5" t="str">
        <f t="shared" ca="1" si="85"/>
        <v/>
      </c>
      <c r="P938" s="6"/>
      <c r="V938" t="str">
        <f t="shared" si="86"/>
        <v/>
      </c>
      <c r="W938" t="str">
        <f t="shared" si="87"/>
        <v/>
      </c>
      <c r="X938" t="str">
        <f t="shared" si="88"/>
        <v/>
      </c>
      <c r="Y938" t="str">
        <f t="shared" si="89"/>
        <v/>
      </c>
    </row>
    <row r="939" spans="1:25" ht="14.5" x14ac:dyDescent="0.35">
      <c r="A939" s="3"/>
      <c r="B939" s="2"/>
      <c r="C939" s="2"/>
      <c r="D939" s="4"/>
      <c r="E939" s="2"/>
      <c r="F939" s="2"/>
      <c r="G939" s="3" t="str">
        <f t="shared" si="84"/>
        <v/>
      </c>
      <c r="H939" s="3"/>
      <c r="I939" s="3"/>
      <c r="J939" s="2"/>
      <c r="K939" s="2"/>
      <c r="L939" s="2"/>
      <c r="M939" s="4"/>
      <c r="N939" s="2"/>
      <c r="O939" s="5" t="str">
        <f t="shared" ca="1" si="85"/>
        <v/>
      </c>
      <c r="P939" s="6"/>
      <c r="V939" t="str">
        <f t="shared" si="86"/>
        <v/>
      </c>
      <c r="W939" t="str">
        <f t="shared" si="87"/>
        <v/>
      </c>
      <c r="X939" t="str">
        <f t="shared" si="88"/>
        <v/>
      </c>
      <c r="Y939" t="str">
        <f t="shared" si="89"/>
        <v/>
      </c>
    </row>
    <row r="940" spans="1:25" ht="14.5" x14ac:dyDescent="0.35">
      <c r="A940" s="3"/>
      <c r="B940" s="2"/>
      <c r="C940" s="2"/>
      <c r="D940" s="4"/>
      <c r="E940" s="2"/>
      <c r="F940" s="2"/>
      <c r="G940" s="3" t="str">
        <f t="shared" si="84"/>
        <v/>
      </c>
      <c r="H940" s="3"/>
      <c r="I940" s="3"/>
      <c r="J940" s="2"/>
      <c r="K940" s="2"/>
      <c r="L940" s="2"/>
      <c r="M940" s="4"/>
      <c r="N940" s="2"/>
      <c r="O940" s="5" t="str">
        <f t="shared" ca="1" si="85"/>
        <v/>
      </c>
      <c r="P940" s="6"/>
      <c r="V940" t="str">
        <f t="shared" si="86"/>
        <v/>
      </c>
      <c r="W940" t="str">
        <f t="shared" si="87"/>
        <v/>
      </c>
      <c r="X940" t="str">
        <f t="shared" si="88"/>
        <v/>
      </c>
      <c r="Y940" t="str">
        <f t="shared" si="89"/>
        <v/>
      </c>
    </row>
    <row r="941" spans="1:25" ht="14.5" x14ac:dyDescent="0.35">
      <c r="A941" s="3"/>
      <c r="B941" s="2"/>
      <c r="C941" s="2"/>
      <c r="D941" s="4"/>
      <c r="E941" s="2"/>
      <c r="F941" s="2"/>
      <c r="G941" s="3" t="str">
        <f t="shared" si="84"/>
        <v/>
      </c>
      <c r="H941" s="3"/>
      <c r="I941" s="3"/>
      <c r="J941" s="2"/>
      <c r="K941" s="2"/>
      <c r="L941" s="2"/>
      <c r="M941" s="4"/>
      <c r="N941" s="2"/>
      <c r="O941" s="5" t="str">
        <f t="shared" ca="1" si="85"/>
        <v/>
      </c>
      <c r="P941" s="6"/>
      <c r="V941" t="str">
        <f t="shared" si="86"/>
        <v/>
      </c>
      <c r="W941" t="str">
        <f t="shared" si="87"/>
        <v/>
      </c>
      <c r="X941" t="str">
        <f t="shared" si="88"/>
        <v/>
      </c>
      <c r="Y941" t="str">
        <f t="shared" si="89"/>
        <v/>
      </c>
    </row>
    <row r="942" spans="1:25" ht="14.5" x14ac:dyDescent="0.35">
      <c r="A942" s="3"/>
      <c r="B942" s="2"/>
      <c r="C942" s="2"/>
      <c r="D942" s="4"/>
      <c r="E942" s="2"/>
      <c r="F942" s="2"/>
      <c r="G942" s="3" t="str">
        <f t="shared" si="84"/>
        <v/>
      </c>
      <c r="H942" s="3"/>
      <c r="I942" s="3"/>
      <c r="J942" s="2"/>
      <c r="K942" s="2"/>
      <c r="L942" s="2"/>
      <c r="M942" s="4"/>
      <c r="N942" s="2"/>
      <c r="O942" s="5" t="str">
        <f t="shared" ca="1" si="85"/>
        <v/>
      </c>
      <c r="P942" s="6"/>
      <c r="V942" t="str">
        <f t="shared" si="86"/>
        <v/>
      </c>
      <c r="W942" t="str">
        <f t="shared" si="87"/>
        <v/>
      </c>
      <c r="X942" t="str">
        <f t="shared" si="88"/>
        <v/>
      </c>
      <c r="Y942" t="str">
        <f t="shared" si="89"/>
        <v/>
      </c>
    </row>
    <row r="943" spans="1:25" ht="14.5" x14ac:dyDescent="0.35">
      <c r="A943" s="3"/>
      <c r="B943" s="2"/>
      <c r="C943" s="2"/>
      <c r="D943" s="4"/>
      <c r="E943" s="2"/>
      <c r="F943" s="2"/>
      <c r="G943" s="3" t="str">
        <f t="shared" si="84"/>
        <v/>
      </c>
      <c r="H943" s="3"/>
      <c r="I943" s="3"/>
      <c r="J943" s="2"/>
      <c r="K943" s="2"/>
      <c r="L943" s="2"/>
      <c r="M943" s="4"/>
      <c r="N943" s="2"/>
      <c r="O943" s="5" t="str">
        <f t="shared" ca="1" si="85"/>
        <v/>
      </c>
      <c r="P943" s="6"/>
      <c r="V943" t="str">
        <f t="shared" si="86"/>
        <v/>
      </c>
      <c r="W943" t="str">
        <f t="shared" si="87"/>
        <v/>
      </c>
      <c r="X943" t="str">
        <f t="shared" si="88"/>
        <v/>
      </c>
      <c r="Y943" t="str">
        <f t="shared" si="89"/>
        <v/>
      </c>
    </row>
    <row r="944" spans="1:25" ht="14.5" x14ac:dyDescent="0.35">
      <c r="A944" s="3"/>
      <c r="B944" s="2"/>
      <c r="C944" s="2"/>
      <c r="D944" s="4"/>
      <c r="E944" s="2"/>
      <c r="F944" s="2"/>
      <c r="G944" s="3" t="str">
        <f t="shared" si="84"/>
        <v/>
      </c>
      <c r="H944" s="3"/>
      <c r="I944" s="3"/>
      <c r="J944" s="2"/>
      <c r="K944" s="2"/>
      <c r="L944" s="2"/>
      <c r="M944" s="4"/>
      <c r="N944" s="2"/>
      <c r="O944" s="5" t="str">
        <f t="shared" ca="1" si="85"/>
        <v/>
      </c>
      <c r="P944" s="6"/>
      <c r="V944" t="str">
        <f t="shared" si="86"/>
        <v/>
      </c>
      <c r="W944" t="str">
        <f t="shared" si="87"/>
        <v/>
      </c>
      <c r="X944" t="str">
        <f t="shared" si="88"/>
        <v/>
      </c>
      <c r="Y944" t="str">
        <f t="shared" si="89"/>
        <v/>
      </c>
    </row>
    <row r="945" spans="1:25" ht="14.5" x14ac:dyDescent="0.35">
      <c r="A945" s="3"/>
      <c r="B945" s="2"/>
      <c r="C945" s="2"/>
      <c r="D945" s="4"/>
      <c r="E945" s="2"/>
      <c r="F945" s="2"/>
      <c r="G945" s="3" t="str">
        <f t="shared" si="84"/>
        <v/>
      </c>
      <c r="H945" s="3"/>
      <c r="I945" s="3"/>
      <c r="J945" s="2"/>
      <c r="K945" s="2"/>
      <c r="L945" s="2"/>
      <c r="M945" s="4"/>
      <c r="N945" s="2"/>
      <c r="O945" s="5" t="str">
        <f t="shared" ca="1" si="85"/>
        <v/>
      </c>
      <c r="P945" s="6"/>
      <c r="V945" t="str">
        <f t="shared" si="86"/>
        <v/>
      </c>
      <c r="W945" t="str">
        <f t="shared" si="87"/>
        <v/>
      </c>
      <c r="X945" t="str">
        <f t="shared" si="88"/>
        <v/>
      </c>
      <c r="Y945" t="str">
        <f t="shared" si="89"/>
        <v/>
      </c>
    </row>
    <row r="946" spans="1:25" ht="14.5" x14ac:dyDescent="0.35">
      <c r="A946" s="3"/>
      <c r="B946" s="2"/>
      <c r="C946" s="2"/>
      <c r="D946" s="4"/>
      <c r="E946" s="2"/>
      <c r="F946" s="2"/>
      <c r="G946" s="3" t="str">
        <f t="shared" si="84"/>
        <v/>
      </c>
      <c r="H946" s="3"/>
      <c r="I946" s="3"/>
      <c r="J946" s="2"/>
      <c r="K946" s="2"/>
      <c r="L946" s="2"/>
      <c r="M946" s="4"/>
      <c r="N946" s="2"/>
      <c r="O946" s="5" t="str">
        <f t="shared" ca="1" si="85"/>
        <v/>
      </c>
      <c r="P946" s="6"/>
      <c r="V946" t="str">
        <f t="shared" si="86"/>
        <v/>
      </c>
      <c r="W946" t="str">
        <f t="shared" si="87"/>
        <v/>
      </c>
      <c r="X946" t="str">
        <f t="shared" si="88"/>
        <v/>
      </c>
      <c r="Y946" t="str">
        <f t="shared" si="89"/>
        <v/>
      </c>
    </row>
    <row r="947" spans="1:25" ht="14.5" x14ac:dyDescent="0.35">
      <c r="A947" s="3"/>
      <c r="B947" s="2"/>
      <c r="C947" s="2"/>
      <c r="D947" s="4"/>
      <c r="E947" s="2"/>
      <c r="F947" s="2"/>
      <c r="G947" s="3" t="str">
        <f t="shared" si="84"/>
        <v/>
      </c>
      <c r="H947" s="3"/>
      <c r="I947" s="3"/>
      <c r="J947" s="2"/>
      <c r="K947" s="2"/>
      <c r="L947" s="2"/>
      <c r="M947" s="4"/>
      <c r="N947" s="2"/>
      <c r="O947" s="5" t="str">
        <f t="shared" ca="1" si="85"/>
        <v/>
      </c>
      <c r="P947" s="6"/>
      <c r="V947" t="str">
        <f t="shared" si="86"/>
        <v/>
      </c>
      <c r="W947" t="str">
        <f t="shared" si="87"/>
        <v/>
      </c>
      <c r="X947" t="str">
        <f t="shared" si="88"/>
        <v/>
      </c>
      <c r="Y947" t="str">
        <f t="shared" si="89"/>
        <v/>
      </c>
    </row>
    <row r="948" spans="1:25" ht="14.5" x14ac:dyDescent="0.35">
      <c r="A948" s="3"/>
      <c r="B948" s="2"/>
      <c r="C948" s="2"/>
      <c r="D948" s="4"/>
      <c r="E948" s="2"/>
      <c r="F948" s="2"/>
      <c r="G948" s="3" t="str">
        <f t="shared" si="84"/>
        <v/>
      </c>
      <c r="H948" s="3"/>
      <c r="I948" s="3"/>
      <c r="J948" s="2"/>
      <c r="K948" s="2"/>
      <c r="L948" s="2"/>
      <c r="M948" s="4"/>
      <c r="N948" s="2"/>
      <c r="O948" s="5" t="str">
        <f t="shared" ca="1" si="85"/>
        <v/>
      </c>
      <c r="P948" s="6"/>
      <c r="V948" t="str">
        <f t="shared" si="86"/>
        <v/>
      </c>
      <c r="W948" t="str">
        <f t="shared" si="87"/>
        <v/>
      </c>
      <c r="X948" t="str">
        <f t="shared" si="88"/>
        <v/>
      </c>
      <c r="Y948" t="str">
        <f t="shared" si="89"/>
        <v/>
      </c>
    </row>
    <row r="949" spans="1:25" ht="14.5" x14ac:dyDescent="0.35">
      <c r="A949" s="3"/>
      <c r="B949" s="2"/>
      <c r="C949" s="2"/>
      <c r="D949" s="4"/>
      <c r="E949" s="2"/>
      <c r="F949" s="2"/>
      <c r="G949" s="3" t="str">
        <f t="shared" si="84"/>
        <v/>
      </c>
      <c r="H949" s="3"/>
      <c r="I949" s="3"/>
      <c r="J949" s="2"/>
      <c r="K949" s="2"/>
      <c r="L949" s="2"/>
      <c r="M949" s="4"/>
      <c r="N949" s="2"/>
      <c r="O949" s="5" t="str">
        <f t="shared" ca="1" si="85"/>
        <v/>
      </c>
      <c r="P949" s="6"/>
      <c r="V949" t="str">
        <f t="shared" si="86"/>
        <v/>
      </c>
      <c r="W949" t="str">
        <f t="shared" si="87"/>
        <v/>
      </c>
      <c r="X949" t="str">
        <f t="shared" si="88"/>
        <v/>
      </c>
      <c r="Y949" t="str">
        <f t="shared" si="89"/>
        <v/>
      </c>
    </row>
    <row r="950" spans="1:25" ht="14.5" x14ac:dyDescent="0.35">
      <c r="A950" s="3"/>
      <c r="B950" s="2"/>
      <c r="C950" s="2"/>
      <c r="D950" s="4"/>
      <c r="E950" s="2"/>
      <c r="F950" s="2"/>
      <c r="G950" s="3" t="str">
        <f t="shared" si="84"/>
        <v/>
      </c>
      <c r="H950" s="3"/>
      <c r="I950" s="3"/>
      <c r="J950" s="2"/>
      <c r="K950" s="2"/>
      <c r="L950" s="2"/>
      <c r="M950" s="4"/>
      <c r="N950" s="2"/>
      <c r="O950" s="5" t="str">
        <f t="shared" ca="1" si="85"/>
        <v/>
      </c>
      <c r="P950" s="6"/>
      <c r="V950" t="str">
        <f t="shared" si="86"/>
        <v/>
      </c>
      <c r="W950" t="str">
        <f t="shared" si="87"/>
        <v/>
      </c>
      <c r="X950" t="str">
        <f t="shared" si="88"/>
        <v/>
      </c>
      <c r="Y950" t="str">
        <f t="shared" si="89"/>
        <v/>
      </c>
    </row>
    <row r="951" spans="1:25" ht="14.5" x14ac:dyDescent="0.35">
      <c r="A951" s="3"/>
      <c r="B951" s="2"/>
      <c r="C951" s="2"/>
      <c r="D951" s="4"/>
      <c r="E951" s="2"/>
      <c r="F951" s="2"/>
      <c r="G951" s="3" t="str">
        <f t="shared" si="84"/>
        <v/>
      </c>
      <c r="H951" s="3"/>
      <c r="I951" s="3"/>
      <c r="J951" s="2"/>
      <c r="K951" s="2"/>
      <c r="L951" s="2"/>
      <c r="M951" s="4"/>
      <c r="N951" s="2"/>
      <c r="O951" s="5" t="str">
        <f t="shared" ca="1" si="85"/>
        <v/>
      </c>
      <c r="P951" s="6"/>
      <c r="V951" t="str">
        <f t="shared" si="86"/>
        <v/>
      </c>
      <c r="W951" t="str">
        <f t="shared" si="87"/>
        <v/>
      </c>
      <c r="X951" t="str">
        <f t="shared" si="88"/>
        <v/>
      </c>
      <c r="Y951" t="str">
        <f t="shared" si="89"/>
        <v/>
      </c>
    </row>
    <row r="952" spans="1:25" ht="14.5" x14ac:dyDescent="0.35">
      <c r="A952" s="3"/>
      <c r="B952" s="2"/>
      <c r="C952" s="2"/>
      <c r="D952" s="4"/>
      <c r="E952" s="2"/>
      <c r="F952" s="2"/>
      <c r="G952" s="3" t="str">
        <f t="shared" si="84"/>
        <v/>
      </c>
      <c r="H952" s="3"/>
      <c r="I952" s="3"/>
      <c r="J952" s="2"/>
      <c r="K952" s="2"/>
      <c r="L952" s="2"/>
      <c r="M952" s="4"/>
      <c r="N952" s="2"/>
      <c r="O952" s="5" t="str">
        <f t="shared" ca="1" si="85"/>
        <v/>
      </c>
      <c r="P952" s="6"/>
      <c r="V952" t="str">
        <f t="shared" si="86"/>
        <v/>
      </c>
      <c r="W952" t="str">
        <f t="shared" si="87"/>
        <v/>
      </c>
      <c r="X952" t="str">
        <f t="shared" si="88"/>
        <v/>
      </c>
      <c r="Y952" t="str">
        <f t="shared" si="89"/>
        <v/>
      </c>
    </row>
    <row r="953" spans="1:25" ht="14.5" x14ac:dyDescent="0.35">
      <c r="A953" s="3"/>
      <c r="B953" s="2"/>
      <c r="C953" s="2"/>
      <c r="D953" s="4"/>
      <c r="E953" s="2"/>
      <c r="F953" s="2"/>
      <c r="G953" s="3" t="str">
        <f t="shared" si="84"/>
        <v/>
      </c>
      <c r="H953" s="3"/>
      <c r="I953" s="3"/>
      <c r="J953" s="2"/>
      <c r="K953" s="2"/>
      <c r="L953" s="2"/>
      <c r="M953" s="4"/>
      <c r="N953" s="2"/>
      <c r="O953" s="5" t="str">
        <f t="shared" ca="1" si="85"/>
        <v/>
      </c>
      <c r="P953" s="6"/>
      <c r="V953" t="str">
        <f t="shared" si="86"/>
        <v/>
      </c>
      <c r="W953" t="str">
        <f t="shared" si="87"/>
        <v/>
      </c>
      <c r="X953" t="str">
        <f t="shared" si="88"/>
        <v/>
      </c>
      <c r="Y953" t="str">
        <f t="shared" si="89"/>
        <v/>
      </c>
    </row>
    <row r="954" spans="1:25" ht="14.5" x14ac:dyDescent="0.35">
      <c r="A954" s="3"/>
      <c r="B954" s="2"/>
      <c r="C954" s="2"/>
      <c r="D954" s="4"/>
      <c r="E954" s="2"/>
      <c r="F954" s="2"/>
      <c r="G954" s="3" t="str">
        <f t="shared" si="84"/>
        <v/>
      </c>
      <c r="H954" s="3"/>
      <c r="I954" s="3"/>
      <c r="J954" s="2"/>
      <c r="K954" s="2"/>
      <c r="L954" s="2"/>
      <c r="M954" s="4"/>
      <c r="N954" s="2"/>
      <c r="O954" s="5" t="str">
        <f t="shared" ca="1" si="85"/>
        <v/>
      </c>
      <c r="P954" s="6"/>
      <c r="V954" t="str">
        <f t="shared" si="86"/>
        <v/>
      </c>
      <c r="W954" t="str">
        <f t="shared" si="87"/>
        <v/>
      </c>
      <c r="X954" t="str">
        <f t="shared" si="88"/>
        <v/>
      </c>
      <c r="Y954" t="str">
        <f t="shared" si="89"/>
        <v/>
      </c>
    </row>
    <row r="955" spans="1:25" ht="14.5" x14ac:dyDescent="0.35">
      <c r="A955" s="3"/>
      <c r="B955" s="2"/>
      <c r="C955" s="2"/>
      <c r="D955" s="4"/>
      <c r="E955" s="2"/>
      <c r="F955" s="2"/>
      <c r="G955" s="3" t="str">
        <f t="shared" si="84"/>
        <v/>
      </c>
      <c r="H955" s="3"/>
      <c r="I955" s="3"/>
      <c r="J955" s="2"/>
      <c r="K955" s="2"/>
      <c r="L955" s="2"/>
      <c r="M955" s="4"/>
      <c r="N955" s="2"/>
      <c r="O955" s="5" t="str">
        <f t="shared" ca="1" si="85"/>
        <v/>
      </c>
      <c r="P955" s="6"/>
      <c r="V955" t="str">
        <f t="shared" si="86"/>
        <v/>
      </c>
      <c r="W955" t="str">
        <f t="shared" si="87"/>
        <v/>
      </c>
      <c r="X955" t="str">
        <f t="shared" si="88"/>
        <v/>
      </c>
      <c r="Y955" t="str">
        <f t="shared" si="89"/>
        <v/>
      </c>
    </row>
    <row r="956" spans="1:25" ht="14.5" x14ac:dyDescent="0.35">
      <c r="A956" s="3"/>
      <c r="B956" s="2"/>
      <c r="C956" s="2"/>
      <c r="D956" s="4"/>
      <c r="E956" s="2"/>
      <c r="F956" s="2"/>
      <c r="G956" s="3" t="str">
        <f t="shared" si="84"/>
        <v/>
      </c>
      <c r="H956" s="3"/>
      <c r="I956" s="3"/>
      <c r="J956" s="2"/>
      <c r="K956" s="2"/>
      <c r="L956" s="2"/>
      <c r="M956" s="4"/>
      <c r="N956" s="2"/>
      <c r="O956" s="5" t="str">
        <f t="shared" ca="1" si="85"/>
        <v/>
      </c>
      <c r="P956" s="6"/>
      <c r="V956" t="str">
        <f t="shared" si="86"/>
        <v/>
      </c>
      <c r="W956" t="str">
        <f t="shared" si="87"/>
        <v/>
      </c>
      <c r="X956" t="str">
        <f t="shared" si="88"/>
        <v/>
      </c>
      <c r="Y956" t="str">
        <f t="shared" si="89"/>
        <v/>
      </c>
    </row>
    <row r="957" spans="1:25" ht="14.5" x14ac:dyDescent="0.35">
      <c r="A957" s="3"/>
      <c r="B957" s="2"/>
      <c r="C957" s="2"/>
      <c r="D957" s="4"/>
      <c r="E957" s="2"/>
      <c r="F957" s="2"/>
      <c r="G957" s="3" t="str">
        <f t="shared" si="84"/>
        <v/>
      </c>
      <c r="H957" s="3"/>
      <c r="I957" s="3"/>
      <c r="J957" s="2"/>
      <c r="K957" s="2"/>
      <c r="L957" s="2"/>
      <c r="M957" s="4"/>
      <c r="N957" s="2"/>
      <c r="O957" s="5" t="str">
        <f t="shared" ca="1" si="85"/>
        <v/>
      </c>
      <c r="P957" s="6"/>
      <c r="V957" t="str">
        <f t="shared" si="86"/>
        <v/>
      </c>
      <c r="W957" t="str">
        <f t="shared" si="87"/>
        <v/>
      </c>
      <c r="X957" t="str">
        <f t="shared" si="88"/>
        <v/>
      </c>
      <c r="Y957" t="str">
        <f t="shared" si="89"/>
        <v/>
      </c>
    </row>
    <row r="958" spans="1:25" ht="14.5" x14ac:dyDescent="0.35">
      <c r="A958" s="3"/>
      <c r="B958" s="2"/>
      <c r="C958" s="2"/>
      <c r="D958" s="4"/>
      <c r="E958" s="2"/>
      <c r="F958" s="2"/>
      <c r="G958" s="3" t="str">
        <f t="shared" si="84"/>
        <v/>
      </c>
      <c r="H958" s="3"/>
      <c r="I958" s="3"/>
      <c r="J958" s="2"/>
      <c r="K958" s="2"/>
      <c r="L958" s="2"/>
      <c r="M958" s="4"/>
      <c r="N958" s="2"/>
      <c r="O958" s="5" t="str">
        <f t="shared" ca="1" si="85"/>
        <v/>
      </c>
      <c r="P958" s="6"/>
      <c r="V958" t="str">
        <f t="shared" si="86"/>
        <v/>
      </c>
      <c r="W958" t="str">
        <f t="shared" si="87"/>
        <v/>
      </c>
      <c r="X958" t="str">
        <f t="shared" si="88"/>
        <v/>
      </c>
      <c r="Y958" t="str">
        <f t="shared" si="89"/>
        <v/>
      </c>
    </row>
    <row r="959" spans="1:25" ht="14.5" x14ac:dyDescent="0.35">
      <c r="A959" s="3"/>
      <c r="B959" s="2"/>
      <c r="C959" s="2"/>
      <c r="D959" s="4"/>
      <c r="E959" s="2"/>
      <c r="F959" s="2"/>
      <c r="G959" s="3" t="str">
        <f t="shared" si="84"/>
        <v/>
      </c>
      <c r="H959" s="3"/>
      <c r="I959" s="3"/>
      <c r="J959" s="2"/>
      <c r="K959" s="2"/>
      <c r="L959" s="2"/>
      <c r="M959" s="4"/>
      <c r="N959" s="2"/>
      <c r="O959" s="5" t="str">
        <f t="shared" ca="1" si="85"/>
        <v/>
      </c>
      <c r="P959" s="6"/>
      <c r="V959" t="str">
        <f t="shared" si="86"/>
        <v/>
      </c>
      <c r="W959" t="str">
        <f t="shared" si="87"/>
        <v/>
      </c>
      <c r="X959" t="str">
        <f t="shared" si="88"/>
        <v/>
      </c>
      <c r="Y959" t="str">
        <f t="shared" si="89"/>
        <v/>
      </c>
    </row>
    <row r="960" spans="1:25" ht="14.5" x14ac:dyDescent="0.35">
      <c r="A960" s="3"/>
      <c r="B960" s="2"/>
      <c r="C960" s="2"/>
      <c r="D960" s="4"/>
      <c r="E960" s="2"/>
      <c r="F960" s="2"/>
      <c r="G960" s="3" t="str">
        <f t="shared" si="84"/>
        <v/>
      </c>
      <c r="H960" s="3"/>
      <c r="I960" s="3"/>
      <c r="J960" s="2"/>
      <c r="K960" s="2"/>
      <c r="L960" s="2"/>
      <c r="M960" s="4"/>
      <c r="N960" s="2"/>
      <c r="O960" s="5" t="str">
        <f t="shared" ca="1" si="85"/>
        <v/>
      </c>
      <c r="P960" s="6"/>
      <c r="V960" t="str">
        <f t="shared" si="86"/>
        <v/>
      </c>
      <c r="W960" t="str">
        <f t="shared" si="87"/>
        <v/>
      </c>
      <c r="X960" t="str">
        <f t="shared" si="88"/>
        <v/>
      </c>
      <c r="Y960" t="str">
        <f t="shared" si="89"/>
        <v/>
      </c>
    </row>
    <row r="961" spans="1:25" ht="14.5" x14ac:dyDescent="0.35">
      <c r="A961" s="3"/>
      <c r="B961" s="2"/>
      <c r="C961" s="2"/>
      <c r="D961" s="4"/>
      <c r="E961" s="2"/>
      <c r="F961" s="2"/>
      <c r="G961" s="3" t="str">
        <f t="shared" si="84"/>
        <v/>
      </c>
      <c r="H961" s="3"/>
      <c r="I961" s="3"/>
      <c r="J961" s="2"/>
      <c r="K961" s="2"/>
      <c r="L961" s="2"/>
      <c r="M961" s="4"/>
      <c r="N961" s="2"/>
      <c r="O961" s="5" t="str">
        <f t="shared" ca="1" si="85"/>
        <v/>
      </c>
      <c r="P961" s="6"/>
      <c r="V961" t="str">
        <f t="shared" si="86"/>
        <v/>
      </c>
      <c r="W961" t="str">
        <f t="shared" si="87"/>
        <v/>
      </c>
      <c r="X961" t="str">
        <f t="shared" si="88"/>
        <v/>
      </c>
      <c r="Y961" t="str">
        <f t="shared" si="89"/>
        <v/>
      </c>
    </row>
    <row r="962" spans="1:25" ht="14.5" x14ac:dyDescent="0.35">
      <c r="A962" s="3"/>
      <c r="B962" s="2"/>
      <c r="C962" s="2"/>
      <c r="D962" s="4"/>
      <c r="E962" s="2"/>
      <c r="F962" s="2"/>
      <c r="G962" s="3" t="str">
        <f t="shared" ref="G962:G1025" si="90">IF(COUNTIF($A$2:$A$1500,A962&amp;".*")=0,"",COUNTIF($A$2:$A$1500,A962&amp;".*"))</f>
        <v/>
      </c>
      <c r="H962" s="3"/>
      <c r="I962" s="3"/>
      <c r="J962" s="2"/>
      <c r="K962" s="2"/>
      <c r="L962" s="2"/>
      <c r="M962" s="4"/>
      <c r="N962" s="2"/>
      <c r="O962" s="5" t="str">
        <f t="shared" ref="O962:O1025" ca="1" si="91">IF(M962="","",INT(M962)-TODAY())</f>
        <v/>
      </c>
      <c r="P962" s="6"/>
      <c r="V962" t="str">
        <f t="shared" ref="V962:V1025" si="92">IF(M962="","",M962+Q962/1000000)</f>
        <v/>
      </c>
      <c r="W962" t="str">
        <f t="shared" ref="W962:W1025" si="93">IF(U962="","",IF(M962="",9999999+Q962/1000000,M962+Q962/1000000))</f>
        <v/>
      </c>
      <c r="X962" t="str">
        <f t="shared" ref="X962:X1025" si="94">IF(U962="","",SUMPRODUCT(($U$2:$U$1500=U962)*($W$2:$W$1500&lt;=W962)))</f>
        <v/>
      </c>
      <c r="Y962" t="str">
        <f t="shared" ref="Y962:Y1025" si="95">IF(U962="","",U962&amp;"|"&amp;X962)</f>
        <v/>
      </c>
    </row>
    <row r="963" spans="1:25" ht="14.5" x14ac:dyDescent="0.35">
      <c r="A963" s="3"/>
      <c r="B963" s="2"/>
      <c r="C963" s="2"/>
      <c r="D963" s="4"/>
      <c r="E963" s="2"/>
      <c r="F963" s="2"/>
      <c r="G963" s="3" t="str">
        <f t="shared" si="90"/>
        <v/>
      </c>
      <c r="H963" s="3"/>
      <c r="I963" s="3"/>
      <c r="J963" s="2"/>
      <c r="K963" s="2"/>
      <c r="L963" s="2"/>
      <c r="M963" s="4"/>
      <c r="N963" s="2"/>
      <c r="O963" s="5" t="str">
        <f t="shared" ca="1" si="91"/>
        <v/>
      </c>
      <c r="P963" s="6"/>
      <c r="V963" t="str">
        <f t="shared" si="92"/>
        <v/>
      </c>
      <c r="W963" t="str">
        <f t="shared" si="93"/>
        <v/>
      </c>
      <c r="X963" t="str">
        <f t="shared" si="94"/>
        <v/>
      </c>
      <c r="Y963" t="str">
        <f t="shared" si="95"/>
        <v/>
      </c>
    </row>
    <row r="964" spans="1:25" ht="14.5" x14ac:dyDescent="0.35">
      <c r="A964" s="3"/>
      <c r="B964" s="2"/>
      <c r="C964" s="2"/>
      <c r="D964" s="4"/>
      <c r="E964" s="2"/>
      <c r="F964" s="2"/>
      <c r="G964" s="3" t="str">
        <f t="shared" si="90"/>
        <v/>
      </c>
      <c r="H964" s="3"/>
      <c r="I964" s="3"/>
      <c r="J964" s="2"/>
      <c r="K964" s="2"/>
      <c r="L964" s="2"/>
      <c r="M964" s="4"/>
      <c r="N964" s="2"/>
      <c r="O964" s="5" t="str">
        <f t="shared" ca="1" si="91"/>
        <v/>
      </c>
      <c r="P964" s="6"/>
      <c r="V964" t="str">
        <f t="shared" si="92"/>
        <v/>
      </c>
      <c r="W964" t="str">
        <f t="shared" si="93"/>
        <v/>
      </c>
      <c r="X964" t="str">
        <f t="shared" si="94"/>
        <v/>
      </c>
      <c r="Y964" t="str">
        <f t="shared" si="95"/>
        <v/>
      </c>
    </row>
    <row r="965" spans="1:25" ht="14.5" x14ac:dyDescent="0.35">
      <c r="A965" s="3"/>
      <c r="B965" s="2"/>
      <c r="C965" s="2"/>
      <c r="D965" s="4"/>
      <c r="E965" s="2"/>
      <c r="F965" s="2"/>
      <c r="G965" s="3" t="str">
        <f t="shared" si="90"/>
        <v/>
      </c>
      <c r="H965" s="3"/>
      <c r="I965" s="3"/>
      <c r="J965" s="2"/>
      <c r="K965" s="2"/>
      <c r="L965" s="2"/>
      <c r="M965" s="4"/>
      <c r="N965" s="2"/>
      <c r="O965" s="5" t="str">
        <f t="shared" ca="1" si="91"/>
        <v/>
      </c>
      <c r="P965" s="6"/>
      <c r="V965" t="str">
        <f t="shared" si="92"/>
        <v/>
      </c>
      <c r="W965" t="str">
        <f t="shared" si="93"/>
        <v/>
      </c>
      <c r="X965" t="str">
        <f t="shared" si="94"/>
        <v/>
      </c>
      <c r="Y965" t="str">
        <f t="shared" si="95"/>
        <v/>
      </c>
    </row>
    <row r="966" spans="1:25" ht="14.5" x14ac:dyDescent="0.35">
      <c r="A966" s="3"/>
      <c r="B966" s="2"/>
      <c r="C966" s="2"/>
      <c r="D966" s="4"/>
      <c r="E966" s="2"/>
      <c r="F966" s="2"/>
      <c r="G966" s="3" t="str">
        <f t="shared" si="90"/>
        <v/>
      </c>
      <c r="H966" s="3"/>
      <c r="I966" s="3"/>
      <c r="J966" s="2"/>
      <c r="K966" s="2"/>
      <c r="L966" s="2"/>
      <c r="M966" s="4"/>
      <c r="N966" s="2"/>
      <c r="O966" s="5" t="str">
        <f t="shared" ca="1" si="91"/>
        <v/>
      </c>
      <c r="P966" s="6"/>
      <c r="V966" t="str">
        <f t="shared" si="92"/>
        <v/>
      </c>
      <c r="W966" t="str">
        <f t="shared" si="93"/>
        <v/>
      </c>
      <c r="X966" t="str">
        <f t="shared" si="94"/>
        <v/>
      </c>
      <c r="Y966" t="str">
        <f t="shared" si="95"/>
        <v/>
      </c>
    </row>
    <row r="967" spans="1:25" ht="14.5" x14ac:dyDescent="0.35">
      <c r="A967" s="3"/>
      <c r="B967" s="2"/>
      <c r="C967" s="2"/>
      <c r="D967" s="4"/>
      <c r="E967" s="2"/>
      <c r="F967" s="2"/>
      <c r="G967" s="3" t="str">
        <f t="shared" si="90"/>
        <v/>
      </c>
      <c r="H967" s="3"/>
      <c r="I967" s="3"/>
      <c r="J967" s="2"/>
      <c r="K967" s="2"/>
      <c r="L967" s="2"/>
      <c r="M967" s="4"/>
      <c r="N967" s="2"/>
      <c r="O967" s="5" t="str">
        <f t="shared" ca="1" si="91"/>
        <v/>
      </c>
      <c r="P967" s="6"/>
      <c r="V967" t="str">
        <f t="shared" si="92"/>
        <v/>
      </c>
      <c r="W967" t="str">
        <f t="shared" si="93"/>
        <v/>
      </c>
      <c r="X967" t="str">
        <f t="shared" si="94"/>
        <v/>
      </c>
      <c r="Y967" t="str">
        <f t="shared" si="95"/>
        <v/>
      </c>
    </row>
    <row r="968" spans="1:25" ht="14.5" x14ac:dyDescent="0.35">
      <c r="A968" s="3"/>
      <c r="B968" s="2"/>
      <c r="C968" s="2"/>
      <c r="D968" s="4"/>
      <c r="E968" s="2"/>
      <c r="F968" s="2"/>
      <c r="G968" s="3" t="str">
        <f t="shared" si="90"/>
        <v/>
      </c>
      <c r="H968" s="3"/>
      <c r="I968" s="3"/>
      <c r="J968" s="2"/>
      <c r="K968" s="2"/>
      <c r="L968" s="2"/>
      <c r="M968" s="4"/>
      <c r="N968" s="2"/>
      <c r="O968" s="5" t="str">
        <f t="shared" ca="1" si="91"/>
        <v/>
      </c>
      <c r="P968" s="6"/>
      <c r="V968" t="str">
        <f t="shared" si="92"/>
        <v/>
      </c>
      <c r="W968" t="str">
        <f t="shared" si="93"/>
        <v/>
      </c>
      <c r="X968" t="str">
        <f t="shared" si="94"/>
        <v/>
      </c>
      <c r="Y968" t="str">
        <f t="shared" si="95"/>
        <v/>
      </c>
    </row>
    <row r="969" spans="1:25" ht="14.5" x14ac:dyDescent="0.35">
      <c r="A969" s="3"/>
      <c r="B969" s="2"/>
      <c r="C969" s="2"/>
      <c r="D969" s="4"/>
      <c r="E969" s="2"/>
      <c r="F969" s="2"/>
      <c r="G969" s="3" t="str">
        <f t="shared" si="90"/>
        <v/>
      </c>
      <c r="H969" s="3"/>
      <c r="I969" s="3"/>
      <c r="J969" s="2"/>
      <c r="K969" s="2"/>
      <c r="L969" s="2"/>
      <c r="M969" s="4"/>
      <c r="N969" s="2"/>
      <c r="O969" s="5" t="str">
        <f t="shared" ca="1" si="91"/>
        <v/>
      </c>
      <c r="P969" s="6"/>
      <c r="V969" t="str">
        <f t="shared" si="92"/>
        <v/>
      </c>
      <c r="W969" t="str">
        <f t="shared" si="93"/>
        <v/>
      </c>
      <c r="X969" t="str">
        <f t="shared" si="94"/>
        <v/>
      </c>
      <c r="Y969" t="str">
        <f t="shared" si="95"/>
        <v/>
      </c>
    </row>
    <row r="970" spans="1:25" ht="14.5" x14ac:dyDescent="0.35">
      <c r="A970" s="3"/>
      <c r="B970" s="2"/>
      <c r="C970" s="2"/>
      <c r="D970" s="4"/>
      <c r="E970" s="2"/>
      <c r="F970" s="2"/>
      <c r="G970" s="3" t="str">
        <f t="shared" si="90"/>
        <v/>
      </c>
      <c r="H970" s="3"/>
      <c r="I970" s="3"/>
      <c r="J970" s="2"/>
      <c r="K970" s="2"/>
      <c r="L970" s="2"/>
      <c r="M970" s="4"/>
      <c r="N970" s="2"/>
      <c r="O970" s="5" t="str">
        <f t="shared" ca="1" si="91"/>
        <v/>
      </c>
      <c r="P970" s="6"/>
      <c r="V970" t="str">
        <f t="shared" si="92"/>
        <v/>
      </c>
      <c r="W970" t="str">
        <f t="shared" si="93"/>
        <v/>
      </c>
      <c r="X970" t="str">
        <f t="shared" si="94"/>
        <v/>
      </c>
      <c r="Y970" t="str">
        <f t="shared" si="95"/>
        <v/>
      </c>
    </row>
    <row r="971" spans="1:25" ht="14.5" x14ac:dyDescent="0.35">
      <c r="A971" s="3"/>
      <c r="B971" s="2"/>
      <c r="C971" s="2"/>
      <c r="D971" s="4"/>
      <c r="E971" s="2"/>
      <c r="F971" s="2"/>
      <c r="G971" s="3" t="str">
        <f t="shared" si="90"/>
        <v/>
      </c>
      <c r="H971" s="3"/>
      <c r="I971" s="3"/>
      <c r="J971" s="2"/>
      <c r="K971" s="2"/>
      <c r="L971" s="2"/>
      <c r="M971" s="4"/>
      <c r="N971" s="2"/>
      <c r="O971" s="5" t="str">
        <f t="shared" ca="1" si="91"/>
        <v/>
      </c>
      <c r="P971" s="6"/>
      <c r="V971" t="str">
        <f t="shared" si="92"/>
        <v/>
      </c>
      <c r="W971" t="str">
        <f t="shared" si="93"/>
        <v/>
      </c>
      <c r="X971" t="str">
        <f t="shared" si="94"/>
        <v/>
      </c>
      <c r="Y971" t="str">
        <f t="shared" si="95"/>
        <v/>
      </c>
    </row>
    <row r="972" spans="1:25" ht="14.5" x14ac:dyDescent="0.35">
      <c r="A972" s="3"/>
      <c r="B972" s="2"/>
      <c r="C972" s="2"/>
      <c r="D972" s="4"/>
      <c r="E972" s="2"/>
      <c r="F972" s="2"/>
      <c r="G972" s="3" t="str">
        <f t="shared" si="90"/>
        <v/>
      </c>
      <c r="H972" s="3"/>
      <c r="I972" s="3"/>
      <c r="J972" s="2"/>
      <c r="K972" s="2"/>
      <c r="L972" s="2"/>
      <c r="M972" s="4"/>
      <c r="N972" s="2"/>
      <c r="O972" s="5" t="str">
        <f t="shared" ca="1" si="91"/>
        <v/>
      </c>
      <c r="P972" s="6"/>
      <c r="V972" t="str">
        <f t="shared" si="92"/>
        <v/>
      </c>
      <c r="W972" t="str">
        <f t="shared" si="93"/>
        <v/>
      </c>
      <c r="X972" t="str">
        <f t="shared" si="94"/>
        <v/>
      </c>
      <c r="Y972" t="str">
        <f t="shared" si="95"/>
        <v/>
      </c>
    </row>
    <row r="973" spans="1:25" ht="14.5" x14ac:dyDescent="0.35">
      <c r="A973" s="3"/>
      <c r="B973" s="2"/>
      <c r="C973" s="2"/>
      <c r="D973" s="4"/>
      <c r="E973" s="2"/>
      <c r="F973" s="2"/>
      <c r="G973" s="3" t="str">
        <f t="shared" si="90"/>
        <v/>
      </c>
      <c r="H973" s="3"/>
      <c r="I973" s="3"/>
      <c r="J973" s="2"/>
      <c r="K973" s="2"/>
      <c r="L973" s="2"/>
      <c r="M973" s="4"/>
      <c r="N973" s="2"/>
      <c r="O973" s="5" t="str">
        <f t="shared" ca="1" si="91"/>
        <v/>
      </c>
      <c r="P973" s="6"/>
      <c r="V973" t="str">
        <f t="shared" si="92"/>
        <v/>
      </c>
      <c r="W973" t="str">
        <f t="shared" si="93"/>
        <v/>
      </c>
      <c r="X973" t="str">
        <f t="shared" si="94"/>
        <v/>
      </c>
      <c r="Y973" t="str">
        <f t="shared" si="95"/>
        <v/>
      </c>
    </row>
    <row r="974" spans="1:25" ht="14.5" x14ac:dyDescent="0.35">
      <c r="A974" s="3"/>
      <c r="B974" s="2"/>
      <c r="C974" s="2"/>
      <c r="D974" s="4"/>
      <c r="E974" s="2"/>
      <c r="F974" s="2"/>
      <c r="G974" s="3" t="str">
        <f t="shared" si="90"/>
        <v/>
      </c>
      <c r="H974" s="3"/>
      <c r="I974" s="3"/>
      <c r="J974" s="2"/>
      <c r="K974" s="2"/>
      <c r="L974" s="2"/>
      <c r="M974" s="4"/>
      <c r="N974" s="2"/>
      <c r="O974" s="5" t="str">
        <f t="shared" ca="1" si="91"/>
        <v/>
      </c>
      <c r="P974" s="6"/>
      <c r="V974" t="str">
        <f t="shared" si="92"/>
        <v/>
      </c>
      <c r="W974" t="str">
        <f t="shared" si="93"/>
        <v/>
      </c>
      <c r="X974" t="str">
        <f t="shared" si="94"/>
        <v/>
      </c>
      <c r="Y974" t="str">
        <f t="shared" si="95"/>
        <v/>
      </c>
    </row>
    <row r="975" spans="1:25" ht="14.5" x14ac:dyDescent="0.35">
      <c r="A975" s="3"/>
      <c r="B975" s="2"/>
      <c r="C975" s="2"/>
      <c r="D975" s="4"/>
      <c r="E975" s="2"/>
      <c r="F975" s="2"/>
      <c r="G975" s="3" t="str">
        <f t="shared" si="90"/>
        <v/>
      </c>
      <c r="H975" s="3"/>
      <c r="I975" s="3"/>
      <c r="J975" s="2"/>
      <c r="K975" s="2"/>
      <c r="L975" s="2"/>
      <c r="M975" s="4"/>
      <c r="N975" s="2"/>
      <c r="O975" s="5" t="str">
        <f t="shared" ca="1" si="91"/>
        <v/>
      </c>
      <c r="P975" s="6"/>
      <c r="V975" t="str">
        <f t="shared" si="92"/>
        <v/>
      </c>
      <c r="W975" t="str">
        <f t="shared" si="93"/>
        <v/>
      </c>
      <c r="X975" t="str">
        <f t="shared" si="94"/>
        <v/>
      </c>
      <c r="Y975" t="str">
        <f t="shared" si="95"/>
        <v/>
      </c>
    </row>
    <row r="976" spans="1:25" ht="14.5" x14ac:dyDescent="0.35">
      <c r="A976" s="3"/>
      <c r="B976" s="2"/>
      <c r="C976" s="2"/>
      <c r="D976" s="4"/>
      <c r="E976" s="2"/>
      <c r="F976" s="2"/>
      <c r="G976" s="3" t="str">
        <f t="shared" si="90"/>
        <v/>
      </c>
      <c r="H976" s="3"/>
      <c r="I976" s="3"/>
      <c r="J976" s="2"/>
      <c r="K976" s="2"/>
      <c r="L976" s="2"/>
      <c r="M976" s="4"/>
      <c r="N976" s="2"/>
      <c r="O976" s="5" t="str">
        <f t="shared" ca="1" si="91"/>
        <v/>
      </c>
      <c r="P976" s="6"/>
      <c r="V976" t="str">
        <f t="shared" si="92"/>
        <v/>
      </c>
      <c r="W976" t="str">
        <f t="shared" si="93"/>
        <v/>
      </c>
      <c r="X976" t="str">
        <f t="shared" si="94"/>
        <v/>
      </c>
      <c r="Y976" t="str">
        <f t="shared" si="95"/>
        <v/>
      </c>
    </row>
    <row r="977" spans="1:25" ht="14.5" x14ac:dyDescent="0.35">
      <c r="A977" s="3"/>
      <c r="B977" s="2"/>
      <c r="C977" s="2"/>
      <c r="D977" s="4"/>
      <c r="E977" s="2"/>
      <c r="F977" s="2"/>
      <c r="G977" s="3" t="str">
        <f t="shared" si="90"/>
        <v/>
      </c>
      <c r="H977" s="3"/>
      <c r="I977" s="3"/>
      <c r="J977" s="2"/>
      <c r="K977" s="2"/>
      <c r="L977" s="2"/>
      <c r="M977" s="4"/>
      <c r="N977" s="2"/>
      <c r="O977" s="5" t="str">
        <f t="shared" ca="1" si="91"/>
        <v/>
      </c>
      <c r="P977" s="6"/>
      <c r="V977" t="str">
        <f t="shared" si="92"/>
        <v/>
      </c>
      <c r="W977" t="str">
        <f t="shared" si="93"/>
        <v/>
      </c>
      <c r="X977" t="str">
        <f t="shared" si="94"/>
        <v/>
      </c>
      <c r="Y977" t="str">
        <f t="shared" si="95"/>
        <v/>
      </c>
    </row>
    <row r="978" spans="1:25" ht="14.5" x14ac:dyDescent="0.35">
      <c r="A978" s="3"/>
      <c r="B978" s="2"/>
      <c r="C978" s="2"/>
      <c r="D978" s="4"/>
      <c r="E978" s="2"/>
      <c r="F978" s="2"/>
      <c r="G978" s="3" t="str">
        <f t="shared" si="90"/>
        <v/>
      </c>
      <c r="H978" s="3"/>
      <c r="I978" s="3"/>
      <c r="J978" s="2"/>
      <c r="K978" s="2"/>
      <c r="L978" s="2"/>
      <c r="M978" s="4"/>
      <c r="N978" s="2"/>
      <c r="O978" s="5" t="str">
        <f t="shared" ca="1" si="91"/>
        <v/>
      </c>
      <c r="P978" s="6"/>
      <c r="V978" t="str">
        <f t="shared" si="92"/>
        <v/>
      </c>
      <c r="W978" t="str">
        <f t="shared" si="93"/>
        <v/>
      </c>
      <c r="X978" t="str">
        <f t="shared" si="94"/>
        <v/>
      </c>
      <c r="Y978" t="str">
        <f t="shared" si="95"/>
        <v/>
      </c>
    </row>
    <row r="979" spans="1:25" ht="14.5" x14ac:dyDescent="0.35">
      <c r="A979" s="3"/>
      <c r="B979" s="2"/>
      <c r="C979" s="2"/>
      <c r="D979" s="4"/>
      <c r="E979" s="2"/>
      <c r="F979" s="2"/>
      <c r="G979" s="3" t="str">
        <f t="shared" si="90"/>
        <v/>
      </c>
      <c r="H979" s="3"/>
      <c r="I979" s="3"/>
      <c r="J979" s="2"/>
      <c r="K979" s="2"/>
      <c r="L979" s="2"/>
      <c r="M979" s="4"/>
      <c r="N979" s="2"/>
      <c r="O979" s="5" t="str">
        <f t="shared" ca="1" si="91"/>
        <v/>
      </c>
      <c r="P979" s="6"/>
      <c r="V979" t="str">
        <f t="shared" si="92"/>
        <v/>
      </c>
      <c r="W979" t="str">
        <f t="shared" si="93"/>
        <v/>
      </c>
      <c r="X979" t="str">
        <f t="shared" si="94"/>
        <v/>
      </c>
      <c r="Y979" t="str">
        <f t="shared" si="95"/>
        <v/>
      </c>
    </row>
    <row r="980" spans="1:25" ht="14.5" x14ac:dyDescent="0.35">
      <c r="A980" s="3"/>
      <c r="B980" s="2"/>
      <c r="C980" s="2"/>
      <c r="D980" s="4"/>
      <c r="E980" s="2"/>
      <c r="F980" s="2"/>
      <c r="G980" s="3" t="str">
        <f t="shared" si="90"/>
        <v/>
      </c>
      <c r="H980" s="3"/>
      <c r="I980" s="3"/>
      <c r="J980" s="2"/>
      <c r="K980" s="2"/>
      <c r="L980" s="2"/>
      <c r="M980" s="4"/>
      <c r="N980" s="2"/>
      <c r="O980" s="5" t="str">
        <f t="shared" ca="1" si="91"/>
        <v/>
      </c>
      <c r="P980" s="6"/>
      <c r="V980" t="str">
        <f t="shared" si="92"/>
        <v/>
      </c>
      <c r="W980" t="str">
        <f t="shared" si="93"/>
        <v/>
      </c>
      <c r="X980" t="str">
        <f t="shared" si="94"/>
        <v/>
      </c>
      <c r="Y980" t="str">
        <f t="shared" si="95"/>
        <v/>
      </c>
    </row>
    <row r="981" spans="1:25" ht="14.5" x14ac:dyDescent="0.35">
      <c r="A981" s="3"/>
      <c r="B981" s="2"/>
      <c r="C981" s="2"/>
      <c r="D981" s="4"/>
      <c r="E981" s="2"/>
      <c r="F981" s="2"/>
      <c r="G981" s="3" t="str">
        <f t="shared" si="90"/>
        <v/>
      </c>
      <c r="H981" s="3"/>
      <c r="I981" s="3"/>
      <c r="J981" s="2"/>
      <c r="K981" s="2"/>
      <c r="L981" s="2"/>
      <c r="M981" s="4"/>
      <c r="N981" s="2"/>
      <c r="O981" s="5" t="str">
        <f t="shared" ca="1" si="91"/>
        <v/>
      </c>
      <c r="P981" s="6"/>
      <c r="V981" t="str">
        <f t="shared" si="92"/>
        <v/>
      </c>
      <c r="W981" t="str">
        <f t="shared" si="93"/>
        <v/>
      </c>
      <c r="X981" t="str">
        <f t="shared" si="94"/>
        <v/>
      </c>
      <c r="Y981" t="str">
        <f t="shared" si="95"/>
        <v/>
      </c>
    </row>
    <row r="982" spans="1:25" ht="14.5" x14ac:dyDescent="0.35">
      <c r="A982" s="3"/>
      <c r="B982" s="2"/>
      <c r="C982" s="2"/>
      <c r="D982" s="4"/>
      <c r="E982" s="2"/>
      <c r="F982" s="2"/>
      <c r="G982" s="3" t="str">
        <f t="shared" si="90"/>
        <v/>
      </c>
      <c r="H982" s="3"/>
      <c r="I982" s="3"/>
      <c r="J982" s="2"/>
      <c r="K982" s="2"/>
      <c r="L982" s="2"/>
      <c r="M982" s="4"/>
      <c r="N982" s="2"/>
      <c r="O982" s="5" t="str">
        <f t="shared" ca="1" si="91"/>
        <v/>
      </c>
      <c r="P982" s="6"/>
      <c r="V982" t="str">
        <f t="shared" si="92"/>
        <v/>
      </c>
      <c r="W982" t="str">
        <f t="shared" si="93"/>
        <v/>
      </c>
      <c r="X982" t="str">
        <f t="shared" si="94"/>
        <v/>
      </c>
      <c r="Y982" t="str">
        <f t="shared" si="95"/>
        <v/>
      </c>
    </row>
    <row r="983" spans="1:25" ht="14.5" x14ac:dyDescent="0.35">
      <c r="A983" s="3"/>
      <c r="B983" s="2"/>
      <c r="C983" s="2"/>
      <c r="D983" s="4"/>
      <c r="E983" s="2"/>
      <c r="F983" s="2"/>
      <c r="G983" s="3" t="str">
        <f t="shared" si="90"/>
        <v/>
      </c>
      <c r="H983" s="3"/>
      <c r="I983" s="3"/>
      <c r="J983" s="2"/>
      <c r="K983" s="2"/>
      <c r="L983" s="2"/>
      <c r="M983" s="4"/>
      <c r="N983" s="2"/>
      <c r="O983" s="5" t="str">
        <f t="shared" ca="1" si="91"/>
        <v/>
      </c>
      <c r="P983" s="6"/>
      <c r="V983" t="str">
        <f t="shared" si="92"/>
        <v/>
      </c>
      <c r="W983" t="str">
        <f t="shared" si="93"/>
        <v/>
      </c>
      <c r="X983" t="str">
        <f t="shared" si="94"/>
        <v/>
      </c>
      <c r="Y983" t="str">
        <f t="shared" si="95"/>
        <v/>
      </c>
    </row>
    <row r="984" spans="1:25" ht="14.5" x14ac:dyDescent="0.35">
      <c r="A984" s="3"/>
      <c r="B984" s="2"/>
      <c r="C984" s="2"/>
      <c r="D984" s="4"/>
      <c r="E984" s="2"/>
      <c r="F984" s="2"/>
      <c r="G984" s="3" t="str">
        <f t="shared" si="90"/>
        <v/>
      </c>
      <c r="H984" s="3"/>
      <c r="I984" s="3"/>
      <c r="J984" s="2"/>
      <c r="K984" s="2"/>
      <c r="L984" s="2"/>
      <c r="M984" s="4"/>
      <c r="N984" s="2"/>
      <c r="O984" s="5" t="str">
        <f t="shared" ca="1" si="91"/>
        <v/>
      </c>
      <c r="P984" s="6"/>
      <c r="V984" t="str">
        <f t="shared" si="92"/>
        <v/>
      </c>
      <c r="W984" t="str">
        <f t="shared" si="93"/>
        <v/>
      </c>
      <c r="X984" t="str">
        <f t="shared" si="94"/>
        <v/>
      </c>
      <c r="Y984" t="str">
        <f t="shared" si="95"/>
        <v/>
      </c>
    </row>
    <row r="985" spans="1:25" ht="14.5" x14ac:dyDescent="0.35">
      <c r="A985" s="3"/>
      <c r="B985" s="2"/>
      <c r="C985" s="2"/>
      <c r="D985" s="4"/>
      <c r="E985" s="2"/>
      <c r="F985" s="2"/>
      <c r="G985" s="3" t="str">
        <f t="shared" si="90"/>
        <v/>
      </c>
      <c r="H985" s="3"/>
      <c r="I985" s="3"/>
      <c r="J985" s="2"/>
      <c r="K985" s="2"/>
      <c r="L985" s="2"/>
      <c r="M985" s="4"/>
      <c r="N985" s="2"/>
      <c r="O985" s="5" t="str">
        <f t="shared" ca="1" si="91"/>
        <v/>
      </c>
      <c r="P985" s="6"/>
      <c r="V985" t="str">
        <f t="shared" si="92"/>
        <v/>
      </c>
      <c r="W985" t="str">
        <f t="shared" si="93"/>
        <v/>
      </c>
      <c r="X985" t="str">
        <f t="shared" si="94"/>
        <v/>
      </c>
      <c r="Y985" t="str">
        <f t="shared" si="95"/>
        <v/>
      </c>
    </row>
    <row r="986" spans="1:25" ht="14.5" x14ac:dyDescent="0.35">
      <c r="A986" s="3"/>
      <c r="B986" s="2"/>
      <c r="C986" s="2"/>
      <c r="D986" s="4"/>
      <c r="E986" s="2"/>
      <c r="F986" s="2"/>
      <c r="G986" s="3" t="str">
        <f t="shared" si="90"/>
        <v/>
      </c>
      <c r="H986" s="3"/>
      <c r="I986" s="3"/>
      <c r="J986" s="2"/>
      <c r="K986" s="2"/>
      <c r="L986" s="2"/>
      <c r="M986" s="4"/>
      <c r="N986" s="2"/>
      <c r="O986" s="5" t="str">
        <f t="shared" ca="1" si="91"/>
        <v/>
      </c>
      <c r="P986" s="6"/>
      <c r="V986" t="str">
        <f t="shared" si="92"/>
        <v/>
      </c>
      <c r="W986" t="str">
        <f t="shared" si="93"/>
        <v/>
      </c>
      <c r="X986" t="str">
        <f t="shared" si="94"/>
        <v/>
      </c>
      <c r="Y986" t="str">
        <f t="shared" si="95"/>
        <v/>
      </c>
    </row>
    <row r="987" spans="1:25" ht="14.5" x14ac:dyDescent="0.35">
      <c r="A987" s="3"/>
      <c r="B987" s="2"/>
      <c r="C987" s="2"/>
      <c r="D987" s="4"/>
      <c r="E987" s="2"/>
      <c r="F987" s="2"/>
      <c r="G987" s="3" t="str">
        <f t="shared" si="90"/>
        <v/>
      </c>
      <c r="H987" s="3"/>
      <c r="I987" s="3"/>
      <c r="J987" s="2"/>
      <c r="K987" s="2"/>
      <c r="L987" s="2"/>
      <c r="M987" s="4"/>
      <c r="N987" s="2"/>
      <c r="O987" s="5" t="str">
        <f t="shared" ca="1" si="91"/>
        <v/>
      </c>
      <c r="P987" s="6"/>
      <c r="V987" t="str">
        <f t="shared" si="92"/>
        <v/>
      </c>
      <c r="W987" t="str">
        <f t="shared" si="93"/>
        <v/>
      </c>
      <c r="X987" t="str">
        <f t="shared" si="94"/>
        <v/>
      </c>
      <c r="Y987" t="str">
        <f t="shared" si="95"/>
        <v/>
      </c>
    </row>
    <row r="988" spans="1:25" ht="14.5" x14ac:dyDescent="0.35">
      <c r="A988" s="3"/>
      <c r="B988" s="2"/>
      <c r="C988" s="2"/>
      <c r="D988" s="4"/>
      <c r="E988" s="2"/>
      <c r="F988" s="2"/>
      <c r="G988" s="3" t="str">
        <f t="shared" si="90"/>
        <v/>
      </c>
      <c r="H988" s="3"/>
      <c r="I988" s="3"/>
      <c r="J988" s="2"/>
      <c r="K988" s="2"/>
      <c r="L988" s="2"/>
      <c r="M988" s="4"/>
      <c r="N988" s="2"/>
      <c r="O988" s="5" t="str">
        <f t="shared" ca="1" si="91"/>
        <v/>
      </c>
      <c r="P988" s="6"/>
      <c r="V988" t="str">
        <f t="shared" si="92"/>
        <v/>
      </c>
      <c r="W988" t="str">
        <f t="shared" si="93"/>
        <v/>
      </c>
      <c r="X988" t="str">
        <f t="shared" si="94"/>
        <v/>
      </c>
      <c r="Y988" t="str">
        <f t="shared" si="95"/>
        <v/>
      </c>
    </row>
    <row r="989" spans="1:25" ht="14.5" x14ac:dyDescent="0.35">
      <c r="A989" s="3"/>
      <c r="B989" s="2"/>
      <c r="C989" s="2"/>
      <c r="D989" s="4"/>
      <c r="E989" s="2"/>
      <c r="F989" s="2"/>
      <c r="G989" s="3" t="str">
        <f t="shared" si="90"/>
        <v/>
      </c>
      <c r="H989" s="3"/>
      <c r="I989" s="3"/>
      <c r="J989" s="2"/>
      <c r="K989" s="2"/>
      <c r="L989" s="2"/>
      <c r="M989" s="4"/>
      <c r="N989" s="2"/>
      <c r="O989" s="5" t="str">
        <f t="shared" ca="1" si="91"/>
        <v/>
      </c>
      <c r="P989" s="6"/>
      <c r="V989" t="str">
        <f t="shared" si="92"/>
        <v/>
      </c>
      <c r="W989" t="str">
        <f t="shared" si="93"/>
        <v/>
      </c>
      <c r="X989" t="str">
        <f t="shared" si="94"/>
        <v/>
      </c>
      <c r="Y989" t="str">
        <f t="shared" si="95"/>
        <v/>
      </c>
    </row>
    <row r="990" spans="1:25" ht="14.5" x14ac:dyDescent="0.35">
      <c r="A990" s="3"/>
      <c r="B990" s="2"/>
      <c r="C990" s="2"/>
      <c r="D990" s="4"/>
      <c r="E990" s="2"/>
      <c r="F990" s="2"/>
      <c r="G990" s="3" t="str">
        <f t="shared" si="90"/>
        <v/>
      </c>
      <c r="H990" s="3"/>
      <c r="I990" s="3"/>
      <c r="J990" s="2"/>
      <c r="K990" s="2"/>
      <c r="L990" s="2"/>
      <c r="M990" s="4"/>
      <c r="N990" s="2"/>
      <c r="O990" s="5" t="str">
        <f t="shared" ca="1" si="91"/>
        <v/>
      </c>
      <c r="P990" s="6"/>
      <c r="V990" t="str">
        <f t="shared" si="92"/>
        <v/>
      </c>
      <c r="W990" t="str">
        <f t="shared" si="93"/>
        <v/>
      </c>
      <c r="X990" t="str">
        <f t="shared" si="94"/>
        <v/>
      </c>
      <c r="Y990" t="str">
        <f t="shared" si="95"/>
        <v/>
      </c>
    </row>
    <row r="991" spans="1:25" ht="14.5" x14ac:dyDescent="0.35">
      <c r="A991" s="3"/>
      <c r="B991" s="2"/>
      <c r="C991" s="2"/>
      <c r="D991" s="4"/>
      <c r="E991" s="2"/>
      <c r="F991" s="2"/>
      <c r="G991" s="3" t="str">
        <f t="shared" si="90"/>
        <v/>
      </c>
      <c r="H991" s="3"/>
      <c r="I991" s="3"/>
      <c r="J991" s="2"/>
      <c r="K991" s="2"/>
      <c r="L991" s="2"/>
      <c r="M991" s="4"/>
      <c r="N991" s="2"/>
      <c r="O991" s="5" t="str">
        <f t="shared" ca="1" si="91"/>
        <v/>
      </c>
      <c r="P991" s="6"/>
      <c r="V991" t="str">
        <f t="shared" si="92"/>
        <v/>
      </c>
      <c r="W991" t="str">
        <f t="shared" si="93"/>
        <v/>
      </c>
      <c r="X991" t="str">
        <f t="shared" si="94"/>
        <v/>
      </c>
      <c r="Y991" t="str">
        <f t="shared" si="95"/>
        <v/>
      </c>
    </row>
    <row r="992" spans="1:25" ht="14.5" x14ac:dyDescent="0.35">
      <c r="A992" s="3"/>
      <c r="B992" s="2"/>
      <c r="C992" s="2"/>
      <c r="D992" s="4"/>
      <c r="E992" s="2"/>
      <c r="F992" s="2"/>
      <c r="G992" s="3" t="str">
        <f t="shared" si="90"/>
        <v/>
      </c>
      <c r="H992" s="3"/>
      <c r="I992" s="3"/>
      <c r="J992" s="2"/>
      <c r="K992" s="2"/>
      <c r="L992" s="2"/>
      <c r="M992" s="4"/>
      <c r="N992" s="2"/>
      <c r="O992" s="5" t="str">
        <f t="shared" ca="1" si="91"/>
        <v/>
      </c>
      <c r="P992" s="6"/>
      <c r="V992" t="str">
        <f t="shared" si="92"/>
        <v/>
      </c>
      <c r="W992" t="str">
        <f t="shared" si="93"/>
        <v/>
      </c>
      <c r="X992" t="str">
        <f t="shared" si="94"/>
        <v/>
      </c>
      <c r="Y992" t="str">
        <f t="shared" si="95"/>
        <v/>
      </c>
    </row>
    <row r="993" spans="1:25" ht="14.5" x14ac:dyDescent="0.35">
      <c r="A993" s="3"/>
      <c r="B993" s="2"/>
      <c r="C993" s="2"/>
      <c r="D993" s="4"/>
      <c r="E993" s="2"/>
      <c r="F993" s="2"/>
      <c r="G993" s="3" t="str">
        <f t="shared" si="90"/>
        <v/>
      </c>
      <c r="H993" s="3"/>
      <c r="I993" s="3"/>
      <c r="J993" s="2"/>
      <c r="K993" s="2"/>
      <c r="L993" s="2"/>
      <c r="M993" s="4"/>
      <c r="N993" s="2"/>
      <c r="O993" s="5" t="str">
        <f t="shared" ca="1" si="91"/>
        <v/>
      </c>
      <c r="P993" s="6"/>
      <c r="V993" t="str">
        <f t="shared" si="92"/>
        <v/>
      </c>
      <c r="W993" t="str">
        <f t="shared" si="93"/>
        <v/>
      </c>
      <c r="X993" t="str">
        <f t="shared" si="94"/>
        <v/>
      </c>
      <c r="Y993" t="str">
        <f t="shared" si="95"/>
        <v/>
      </c>
    </row>
    <row r="994" spans="1:25" ht="14.5" x14ac:dyDescent="0.35">
      <c r="A994" s="3"/>
      <c r="B994" s="2"/>
      <c r="C994" s="2"/>
      <c r="D994" s="4"/>
      <c r="E994" s="2"/>
      <c r="F994" s="2"/>
      <c r="G994" s="3" t="str">
        <f t="shared" si="90"/>
        <v/>
      </c>
      <c r="H994" s="3"/>
      <c r="I994" s="3"/>
      <c r="J994" s="2"/>
      <c r="K994" s="2"/>
      <c r="L994" s="2"/>
      <c r="M994" s="4"/>
      <c r="N994" s="2"/>
      <c r="O994" s="5" t="str">
        <f t="shared" ca="1" si="91"/>
        <v/>
      </c>
      <c r="P994" s="6"/>
      <c r="V994" t="str">
        <f t="shared" si="92"/>
        <v/>
      </c>
      <c r="W994" t="str">
        <f t="shared" si="93"/>
        <v/>
      </c>
      <c r="X994" t="str">
        <f t="shared" si="94"/>
        <v/>
      </c>
      <c r="Y994" t="str">
        <f t="shared" si="95"/>
        <v/>
      </c>
    </row>
    <row r="995" spans="1:25" ht="14.5" x14ac:dyDescent="0.35">
      <c r="A995" s="3"/>
      <c r="B995" s="2"/>
      <c r="C995" s="2"/>
      <c r="D995" s="4"/>
      <c r="E995" s="2"/>
      <c r="F995" s="2"/>
      <c r="G995" s="3" t="str">
        <f t="shared" si="90"/>
        <v/>
      </c>
      <c r="H995" s="3"/>
      <c r="I995" s="3"/>
      <c r="J995" s="2"/>
      <c r="K995" s="2"/>
      <c r="L995" s="2"/>
      <c r="M995" s="4"/>
      <c r="N995" s="2"/>
      <c r="O995" s="5" t="str">
        <f t="shared" ca="1" si="91"/>
        <v/>
      </c>
      <c r="P995" s="6"/>
      <c r="V995" t="str">
        <f t="shared" si="92"/>
        <v/>
      </c>
      <c r="W995" t="str">
        <f t="shared" si="93"/>
        <v/>
      </c>
      <c r="X995" t="str">
        <f t="shared" si="94"/>
        <v/>
      </c>
      <c r="Y995" t="str">
        <f t="shared" si="95"/>
        <v/>
      </c>
    </row>
    <row r="996" spans="1:25" ht="14.5" x14ac:dyDescent="0.35">
      <c r="A996" s="3"/>
      <c r="B996" s="2"/>
      <c r="C996" s="2"/>
      <c r="D996" s="4"/>
      <c r="E996" s="2"/>
      <c r="F996" s="2"/>
      <c r="G996" s="3" t="str">
        <f t="shared" si="90"/>
        <v/>
      </c>
      <c r="H996" s="3"/>
      <c r="I996" s="3"/>
      <c r="J996" s="2"/>
      <c r="K996" s="2"/>
      <c r="L996" s="2"/>
      <c r="M996" s="4"/>
      <c r="N996" s="2"/>
      <c r="O996" s="5" t="str">
        <f t="shared" ca="1" si="91"/>
        <v/>
      </c>
      <c r="P996" s="6"/>
      <c r="V996" t="str">
        <f t="shared" si="92"/>
        <v/>
      </c>
      <c r="W996" t="str">
        <f t="shared" si="93"/>
        <v/>
      </c>
      <c r="X996" t="str">
        <f t="shared" si="94"/>
        <v/>
      </c>
      <c r="Y996" t="str">
        <f t="shared" si="95"/>
        <v/>
      </c>
    </row>
    <row r="997" spans="1:25" ht="14.5" x14ac:dyDescent="0.35">
      <c r="A997" s="3"/>
      <c r="B997" s="2"/>
      <c r="C997" s="2"/>
      <c r="D997" s="4"/>
      <c r="E997" s="2"/>
      <c r="F997" s="2"/>
      <c r="G997" s="3" t="str">
        <f t="shared" si="90"/>
        <v/>
      </c>
      <c r="H997" s="3"/>
      <c r="I997" s="3"/>
      <c r="J997" s="2"/>
      <c r="K997" s="2"/>
      <c r="L997" s="2"/>
      <c r="M997" s="4"/>
      <c r="N997" s="2"/>
      <c r="O997" s="5" t="str">
        <f t="shared" ca="1" si="91"/>
        <v/>
      </c>
      <c r="P997" s="6"/>
      <c r="V997" t="str">
        <f t="shared" si="92"/>
        <v/>
      </c>
      <c r="W997" t="str">
        <f t="shared" si="93"/>
        <v/>
      </c>
      <c r="X997" t="str">
        <f t="shared" si="94"/>
        <v/>
      </c>
      <c r="Y997" t="str">
        <f t="shared" si="95"/>
        <v/>
      </c>
    </row>
    <row r="998" spans="1:25" ht="14.5" x14ac:dyDescent="0.35">
      <c r="A998" s="3"/>
      <c r="B998" s="2"/>
      <c r="C998" s="2"/>
      <c r="D998" s="4"/>
      <c r="E998" s="2"/>
      <c r="F998" s="2"/>
      <c r="G998" s="3" t="str">
        <f t="shared" si="90"/>
        <v/>
      </c>
      <c r="H998" s="3"/>
      <c r="I998" s="3"/>
      <c r="J998" s="2"/>
      <c r="K998" s="2"/>
      <c r="L998" s="2"/>
      <c r="M998" s="4"/>
      <c r="N998" s="2"/>
      <c r="O998" s="5" t="str">
        <f t="shared" ca="1" si="91"/>
        <v/>
      </c>
      <c r="P998" s="6"/>
      <c r="V998" t="str">
        <f t="shared" si="92"/>
        <v/>
      </c>
      <c r="W998" t="str">
        <f t="shared" si="93"/>
        <v/>
      </c>
      <c r="X998" t="str">
        <f t="shared" si="94"/>
        <v/>
      </c>
      <c r="Y998" t="str">
        <f t="shared" si="95"/>
        <v/>
      </c>
    </row>
    <row r="999" spans="1:25" ht="14.5" x14ac:dyDescent="0.35">
      <c r="A999" s="3"/>
      <c r="B999" s="2"/>
      <c r="C999" s="2"/>
      <c r="D999" s="4"/>
      <c r="E999" s="2"/>
      <c r="F999" s="2"/>
      <c r="G999" s="3" t="str">
        <f t="shared" si="90"/>
        <v/>
      </c>
      <c r="H999" s="3"/>
      <c r="I999" s="3"/>
      <c r="J999" s="2"/>
      <c r="K999" s="2"/>
      <c r="L999" s="2"/>
      <c r="M999" s="4"/>
      <c r="N999" s="2"/>
      <c r="O999" s="5" t="str">
        <f t="shared" ca="1" si="91"/>
        <v/>
      </c>
      <c r="P999" s="6"/>
      <c r="V999" t="str">
        <f t="shared" si="92"/>
        <v/>
      </c>
      <c r="W999" t="str">
        <f t="shared" si="93"/>
        <v/>
      </c>
      <c r="X999" t="str">
        <f t="shared" si="94"/>
        <v/>
      </c>
      <c r="Y999" t="str">
        <f t="shared" si="95"/>
        <v/>
      </c>
    </row>
    <row r="1000" spans="1:25" ht="14.5" x14ac:dyDescent="0.35">
      <c r="A1000" s="3"/>
      <c r="B1000" s="2"/>
      <c r="C1000" s="2"/>
      <c r="D1000" s="4"/>
      <c r="E1000" s="2"/>
      <c r="F1000" s="2"/>
      <c r="G1000" s="3" t="str">
        <f t="shared" si="90"/>
        <v/>
      </c>
      <c r="H1000" s="3"/>
      <c r="I1000" s="3"/>
      <c r="J1000" s="2"/>
      <c r="K1000" s="2"/>
      <c r="L1000" s="2"/>
      <c r="M1000" s="4"/>
      <c r="N1000" s="2"/>
      <c r="O1000" s="5" t="str">
        <f t="shared" ca="1" si="91"/>
        <v/>
      </c>
      <c r="P1000" s="6"/>
      <c r="V1000" t="str">
        <f t="shared" si="92"/>
        <v/>
      </c>
      <c r="W1000" t="str">
        <f t="shared" si="93"/>
        <v/>
      </c>
      <c r="X1000" t="str">
        <f t="shared" si="94"/>
        <v/>
      </c>
      <c r="Y1000" t="str">
        <f t="shared" si="95"/>
        <v/>
      </c>
    </row>
    <row r="1001" spans="1:25" ht="14.5" x14ac:dyDescent="0.35">
      <c r="A1001" s="3"/>
      <c r="B1001" s="2"/>
      <c r="C1001" s="2"/>
      <c r="D1001" s="4"/>
      <c r="E1001" s="2"/>
      <c r="F1001" s="2"/>
      <c r="G1001" s="3" t="str">
        <f t="shared" si="90"/>
        <v/>
      </c>
      <c r="H1001" s="3"/>
      <c r="I1001" s="3"/>
      <c r="J1001" s="2"/>
      <c r="K1001" s="2"/>
      <c r="L1001" s="2"/>
      <c r="M1001" s="4"/>
      <c r="N1001" s="2"/>
      <c r="O1001" s="5" t="str">
        <f t="shared" ca="1" si="91"/>
        <v/>
      </c>
      <c r="P1001" s="6"/>
      <c r="V1001" t="str">
        <f t="shared" si="92"/>
        <v/>
      </c>
      <c r="W1001" t="str">
        <f t="shared" si="93"/>
        <v/>
      </c>
      <c r="X1001" t="str">
        <f t="shared" si="94"/>
        <v/>
      </c>
      <c r="Y1001" t="str">
        <f t="shared" si="95"/>
        <v/>
      </c>
    </row>
    <row r="1002" spans="1:25" ht="14.5" x14ac:dyDescent="0.35">
      <c r="A1002" s="3"/>
      <c r="B1002" s="2"/>
      <c r="C1002" s="2"/>
      <c r="D1002" s="4"/>
      <c r="E1002" s="2"/>
      <c r="F1002" s="2"/>
      <c r="G1002" s="3" t="str">
        <f t="shared" si="90"/>
        <v/>
      </c>
      <c r="H1002" s="3"/>
      <c r="I1002" s="3"/>
      <c r="J1002" s="2"/>
      <c r="K1002" s="2"/>
      <c r="L1002" s="2"/>
      <c r="M1002" s="4"/>
      <c r="N1002" s="2"/>
      <c r="O1002" s="5" t="str">
        <f t="shared" ca="1" si="91"/>
        <v/>
      </c>
      <c r="P1002" s="6"/>
      <c r="V1002" t="str">
        <f t="shared" si="92"/>
        <v/>
      </c>
      <c r="W1002" t="str">
        <f t="shared" si="93"/>
        <v/>
      </c>
      <c r="X1002" t="str">
        <f t="shared" si="94"/>
        <v/>
      </c>
      <c r="Y1002" t="str">
        <f t="shared" si="95"/>
        <v/>
      </c>
    </row>
    <row r="1003" spans="1:25" ht="14.5" x14ac:dyDescent="0.35">
      <c r="A1003" s="3"/>
      <c r="B1003" s="2"/>
      <c r="C1003" s="2"/>
      <c r="D1003" s="4"/>
      <c r="E1003" s="2"/>
      <c r="F1003" s="2"/>
      <c r="G1003" s="3" t="str">
        <f t="shared" si="90"/>
        <v/>
      </c>
      <c r="H1003" s="3"/>
      <c r="I1003" s="3"/>
      <c r="J1003" s="2"/>
      <c r="K1003" s="2"/>
      <c r="L1003" s="2"/>
      <c r="M1003" s="4"/>
      <c r="N1003" s="2"/>
      <c r="O1003" s="5" t="str">
        <f t="shared" ca="1" si="91"/>
        <v/>
      </c>
      <c r="P1003" s="6"/>
      <c r="V1003" t="str">
        <f t="shared" si="92"/>
        <v/>
      </c>
      <c r="W1003" t="str">
        <f t="shared" si="93"/>
        <v/>
      </c>
      <c r="X1003" t="str">
        <f t="shared" si="94"/>
        <v/>
      </c>
      <c r="Y1003" t="str">
        <f t="shared" si="95"/>
        <v/>
      </c>
    </row>
    <row r="1004" spans="1:25" ht="14.5" x14ac:dyDescent="0.35">
      <c r="A1004" s="3"/>
      <c r="B1004" s="2"/>
      <c r="C1004" s="2"/>
      <c r="D1004" s="4"/>
      <c r="E1004" s="2"/>
      <c r="F1004" s="2"/>
      <c r="G1004" s="3" t="str">
        <f t="shared" si="90"/>
        <v/>
      </c>
      <c r="H1004" s="3"/>
      <c r="I1004" s="3"/>
      <c r="J1004" s="2"/>
      <c r="K1004" s="2"/>
      <c r="L1004" s="2"/>
      <c r="M1004" s="4"/>
      <c r="N1004" s="2"/>
      <c r="O1004" s="5" t="str">
        <f t="shared" ca="1" si="91"/>
        <v/>
      </c>
      <c r="P1004" s="6"/>
      <c r="V1004" t="str">
        <f t="shared" si="92"/>
        <v/>
      </c>
      <c r="W1004" t="str">
        <f t="shared" si="93"/>
        <v/>
      </c>
      <c r="X1004" t="str">
        <f t="shared" si="94"/>
        <v/>
      </c>
      <c r="Y1004" t="str">
        <f t="shared" si="95"/>
        <v/>
      </c>
    </row>
    <row r="1005" spans="1:25" ht="14.5" x14ac:dyDescent="0.35">
      <c r="A1005" s="3"/>
      <c r="B1005" s="2"/>
      <c r="C1005" s="2"/>
      <c r="D1005" s="4"/>
      <c r="E1005" s="2"/>
      <c r="F1005" s="2"/>
      <c r="G1005" s="3" t="str">
        <f t="shared" si="90"/>
        <v/>
      </c>
      <c r="H1005" s="3"/>
      <c r="I1005" s="3"/>
      <c r="J1005" s="2"/>
      <c r="K1005" s="2"/>
      <c r="L1005" s="2"/>
      <c r="M1005" s="4"/>
      <c r="N1005" s="2"/>
      <c r="O1005" s="5" t="str">
        <f t="shared" ca="1" si="91"/>
        <v/>
      </c>
      <c r="P1005" s="6"/>
      <c r="V1005" t="str">
        <f t="shared" si="92"/>
        <v/>
      </c>
      <c r="W1005" t="str">
        <f t="shared" si="93"/>
        <v/>
      </c>
      <c r="X1005" t="str">
        <f t="shared" si="94"/>
        <v/>
      </c>
      <c r="Y1005" t="str">
        <f t="shared" si="95"/>
        <v/>
      </c>
    </row>
    <row r="1006" spans="1:25" ht="14.5" x14ac:dyDescent="0.35">
      <c r="A1006" s="3"/>
      <c r="B1006" s="2"/>
      <c r="C1006" s="2"/>
      <c r="D1006" s="4"/>
      <c r="E1006" s="2"/>
      <c r="F1006" s="2"/>
      <c r="G1006" s="3" t="str">
        <f t="shared" si="90"/>
        <v/>
      </c>
      <c r="H1006" s="3"/>
      <c r="I1006" s="3"/>
      <c r="J1006" s="2"/>
      <c r="K1006" s="2"/>
      <c r="L1006" s="2"/>
      <c r="M1006" s="4"/>
      <c r="N1006" s="2"/>
      <c r="O1006" s="5" t="str">
        <f t="shared" ca="1" si="91"/>
        <v/>
      </c>
      <c r="P1006" s="6"/>
      <c r="V1006" t="str">
        <f t="shared" si="92"/>
        <v/>
      </c>
      <c r="W1006" t="str">
        <f t="shared" si="93"/>
        <v/>
      </c>
      <c r="X1006" t="str">
        <f t="shared" si="94"/>
        <v/>
      </c>
      <c r="Y1006" t="str">
        <f t="shared" si="95"/>
        <v/>
      </c>
    </row>
    <row r="1007" spans="1:25" ht="14.5" x14ac:dyDescent="0.35">
      <c r="A1007" s="3"/>
      <c r="B1007" s="2"/>
      <c r="C1007" s="2"/>
      <c r="D1007" s="4"/>
      <c r="E1007" s="2"/>
      <c r="F1007" s="2"/>
      <c r="G1007" s="3" t="str">
        <f t="shared" si="90"/>
        <v/>
      </c>
      <c r="H1007" s="3"/>
      <c r="I1007" s="3"/>
      <c r="J1007" s="2"/>
      <c r="K1007" s="2"/>
      <c r="L1007" s="2"/>
      <c r="M1007" s="4"/>
      <c r="N1007" s="2"/>
      <c r="O1007" s="5" t="str">
        <f t="shared" ca="1" si="91"/>
        <v/>
      </c>
      <c r="P1007" s="6"/>
      <c r="V1007" t="str">
        <f t="shared" si="92"/>
        <v/>
      </c>
      <c r="W1007" t="str">
        <f t="shared" si="93"/>
        <v/>
      </c>
      <c r="X1007" t="str">
        <f t="shared" si="94"/>
        <v/>
      </c>
      <c r="Y1007" t="str">
        <f t="shared" si="95"/>
        <v/>
      </c>
    </row>
    <row r="1008" spans="1:25" ht="14.5" x14ac:dyDescent="0.35">
      <c r="A1008" s="3"/>
      <c r="B1008" s="2"/>
      <c r="C1008" s="2"/>
      <c r="D1008" s="4"/>
      <c r="E1008" s="2"/>
      <c r="F1008" s="2"/>
      <c r="G1008" s="3" t="str">
        <f t="shared" si="90"/>
        <v/>
      </c>
      <c r="H1008" s="3"/>
      <c r="I1008" s="3"/>
      <c r="J1008" s="2"/>
      <c r="K1008" s="2"/>
      <c r="L1008" s="2"/>
      <c r="M1008" s="4"/>
      <c r="N1008" s="2"/>
      <c r="O1008" s="5" t="str">
        <f t="shared" ca="1" si="91"/>
        <v/>
      </c>
      <c r="P1008" s="6"/>
      <c r="V1008" t="str">
        <f t="shared" si="92"/>
        <v/>
      </c>
      <c r="W1008" t="str">
        <f t="shared" si="93"/>
        <v/>
      </c>
      <c r="X1008" t="str">
        <f t="shared" si="94"/>
        <v/>
      </c>
      <c r="Y1008" t="str">
        <f t="shared" si="95"/>
        <v/>
      </c>
    </row>
    <row r="1009" spans="1:25" ht="14.5" x14ac:dyDescent="0.35">
      <c r="A1009" s="3"/>
      <c r="B1009" s="2"/>
      <c r="C1009" s="2"/>
      <c r="D1009" s="4"/>
      <c r="E1009" s="2"/>
      <c r="F1009" s="2"/>
      <c r="G1009" s="3" t="str">
        <f t="shared" si="90"/>
        <v/>
      </c>
      <c r="H1009" s="3"/>
      <c r="I1009" s="3"/>
      <c r="J1009" s="2"/>
      <c r="K1009" s="2"/>
      <c r="L1009" s="2"/>
      <c r="M1009" s="4"/>
      <c r="N1009" s="2"/>
      <c r="O1009" s="5" t="str">
        <f t="shared" ca="1" si="91"/>
        <v/>
      </c>
      <c r="P1009" s="6"/>
      <c r="V1009" t="str">
        <f t="shared" si="92"/>
        <v/>
      </c>
      <c r="W1009" t="str">
        <f t="shared" si="93"/>
        <v/>
      </c>
      <c r="X1009" t="str">
        <f t="shared" si="94"/>
        <v/>
      </c>
      <c r="Y1009" t="str">
        <f t="shared" si="95"/>
        <v/>
      </c>
    </row>
    <row r="1010" spans="1:25" ht="14.5" x14ac:dyDescent="0.35">
      <c r="A1010" s="3"/>
      <c r="B1010" s="2"/>
      <c r="C1010" s="2"/>
      <c r="D1010" s="4"/>
      <c r="E1010" s="2"/>
      <c r="F1010" s="2"/>
      <c r="G1010" s="3" t="str">
        <f t="shared" si="90"/>
        <v/>
      </c>
      <c r="H1010" s="3"/>
      <c r="I1010" s="3"/>
      <c r="J1010" s="2"/>
      <c r="K1010" s="2"/>
      <c r="L1010" s="2"/>
      <c r="M1010" s="4"/>
      <c r="N1010" s="2"/>
      <c r="O1010" s="5" t="str">
        <f t="shared" ca="1" si="91"/>
        <v/>
      </c>
      <c r="P1010" s="6"/>
      <c r="V1010" t="str">
        <f t="shared" si="92"/>
        <v/>
      </c>
      <c r="W1010" t="str">
        <f t="shared" si="93"/>
        <v/>
      </c>
      <c r="X1010" t="str">
        <f t="shared" si="94"/>
        <v/>
      </c>
      <c r="Y1010" t="str">
        <f t="shared" si="95"/>
        <v/>
      </c>
    </row>
    <row r="1011" spans="1:25" ht="14.5" x14ac:dyDescent="0.35">
      <c r="A1011" s="3"/>
      <c r="B1011" s="2"/>
      <c r="C1011" s="2"/>
      <c r="D1011" s="4"/>
      <c r="E1011" s="2"/>
      <c r="F1011" s="2"/>
      <c r="G1011" s="3" t="str">
        <f t="shared" si="90"/>
        <v/>
      </c>
      <c r="H1011" s="3"/>
      <c r="I1011" s="3"/>
      <c r="J1011" s="2"/>
      <c r="K1011" s="2"/>
      <c r="L1011" s="2"/>
      <c r="M1011" s="4"/>
      <c r="N1011" s="2"/>
      <c r="O1011" s="5" t="str">
        <f t="shared" ca="1" si="91"/>
        <v/>
      </c>
      <c r="P1011" s="6"/>
      <c r="V1011" t="str">
        <f t="shared" si="92"/>
        <v/>
      </c>
      <c r="W1011" t="str">
        <f t="shared" si="93"/>
        <v/>
      </c>
      <c r="X1011" t="str">
        <f t="shared" si="94"/>
        <v/>
      </c>
      <c r="Y1011" t="str">
        <f t="shared" si="95"/>
        <v/>
      </c>
    </row>
    <row r="1012" spans="1:25" ht="14.5" x14ac:dyDescent="0.35">
      <c r="A1012" s="3"/>
      <c r="B1012" s="2"/>
      <c r="C1012" s="2"/>
      <c r="D1012" s="4"/>
      <c r="E1012" s="2"/>
      <c r="F1012" s="2"/>
      <c r="G1012" s="3" t="str">
        <f t="shared" si="90"/>
        <v/>
      </c>
      <c r="H1012" s="3"/>
      <c r="I1012" s="3"/>
      <c r="J1012" s="2"/>
      <c r="K1012" s="2"/>
      <c r="L1012" s="2"/>
      <c r="M1012" s="4"/>
      <c r="N1012" s="2"/>
      <c r="O1012" s="5" t="str">
        <f t="shared" ca="1" si="91"/>
        <v/>
      </c>
      <c r="P1012" s="6"/>
      <c r="V1012" t="str">
        <f t="shared" si="92"/>
        <v/>
      </c>
      <c r="W1012" t="str">
        <f t="shared" si="93"/>
        <v/>
      </c>
      <c r="X1012" t="str">
        <f t="shared" si="94"/>
        <v/>
      </c>
      <c r="Y1012" t="str">
        <f t="shared" si="95"/>
        <v/>
      </c>
    </row>
    <row r="1013" spans="1:25" ht="14.5" x14ac:dyDescent="0.35">
      <c r="A1013" s="3"/>
      <c r="B1013" s="2"/>
      <c r="C1013" s="2"/>
      <c r="D1013" s="4"/>
      <c r="E1013" s="2"/>
      <c r="F1013" s="2"/>
      <c r="G1013" s="3" t="str">
        <f t="shared" si="90"/>
        <v/>
      </c>
      <c r="H1013" s="3"/>
      <c r="I1013" s="3"/>
      <c r="J1013" s="2"/>
      <c r="K1013" s="2"/>
      <c r="L1013" s="2"/>
      <c r="M1013" s="4"/>
      <c r="N1013" s="2"/>
      <c r="O1013" s="5" t="str">
        <f t="shared" ca="1" si="91"/>
        <v/>
      </c>
      <c r="P1013" s="6"/>
      <c r="V1013" t="str">
        <f t="shared" si="92"/>
        <v/>
      </c>
      <c r="W1013" t="str">
        <f t="shared" si="93"/>
        <v/>
      </c>
      <c r="X1013" t="str">
        <f t="shared" si="94"/>
        <v/>
      </c>
      <c r="Y1013" t="str">
        <f t="shared" si="95"/>
        <v/>
      </c>
    </row>
    <row r="1014" spans="1:25" ht="14.5" x14ac:dyDescent="0.35">
      <c r="A1014" s="3"/>
      <c r="B1014" s="2"/>
      <c r="C1014" s="2"/>
      <c r="D1014" s="4"/>
      <c r="E1014" s="2"/>
      <c r="F1014" s="2"/>
      <c r="G1014" s="3" t="str">
        <f t="shared" si="90"/>
        <v/>
      </c>
      <c r="H1014" s="3"/>
      <c r="I1014" s="3"/>
      <c r="J1014" s="2"/>
      <c r="K1014" s="2"/>
      <c r="L1014" s="2"/>
      <c r="M1014" s="4"/>
      <c r="N1014" s="2"/>
      <c r="O1014" s="5" t="str">
        <f t="shared" ca="1" si="91"/>
        <v/>
      </c>
      <c r="P1014" s="6"/>
      <c r="V1014" t="str">
        <f t="shared" si="92"/>
        <v/>
      </c>
      <c r="W1014" t="str">
        <f t="shared" si="93"/>
        <v/>
      </c>
      <c r="X1014" t="str">
        <f t="shared" si="94"/>
        <v/>
      </c>
      <c r="Y1014" t="str">
        <f t="shared" si="95"/>
        <v/>
      </c>
    </row>
    <row r="1015" spans="1:25" ht="14.5" x14ac:dyDescent="0.35">
      <c r="A1015" s="3"/>
      <c r="B1015" s="2"/>
      <c r="C1015" s="2"/>
      <c r="D1015" s="4"/>
      <c r="E1015" s="2"/>
      <c r="F1015" s="2"/>
      <c r="G1015" s="3" t="str">
        <f t="shared" si="90"/>
        <v/>
      </c>
      <c r="H1015" s="3"/>
      <c r="I1015" s="3"/>
      <c r="J1015" s="2"/>
      <c r="K1015" s="2"/>
      <c r="L1015" s="2"/>
      <c r="M1015" s="4"/>
      <c r="N1015" s="2"/>
      <c r="O1015" s="5" t="str">
        <f t="shared" ca="1" si="91"/>
        <v/>
      </c>
      <c r="P1015" s="6"/>
      <c r="V1015" t="str">
        <f t="shared" si="92"/>
        <v/>
      </c>
      <c r="W1015" t="str">
        <f t="shared" si="93"/>
        <v/>
      </c>
      <c r="X1015" t="str">
        <f t="shared" si="94"/>
        <v/>
      </c>
      <c r="Y1015" t="str">
        <f t="shared" si="95"/>
        <v/>
      </c>
    </row>
    <row r="1016" spans="1:25" ht="14.5" x14ac:dyDescent="0.35">
      <c r="A1016" s="3"/>
      <c r="B1016" s="2"/>
      <c r="C1016" s="2"/>
      <c r="D1016" s="4"/>
      <c r="E1016" s="2"/>
      <c r="F1016" s="2"/>
      <c r="G1016" s="3" t="str">
        <f t="shared" si="90"/>
        <v/>
      </c>
      <c r="H1016" s="3"/>
      <c r="I1016" s="3"/>
      <c r="J1016" s="2"/>
      <c r="K1016" s="2"/>
      <c r="L1016" s="2"/>
      <c r="M1016" s="4"/>
      <c r="N1016" s="2"/>
      <c r="O1016" s="5" t="str">
        <f t="shared" ca="1" si="91"/>
        <v/>
      </c>
      <c r="P1016" s="6"/>
      <c r="V1016" t="str">
        <f t="shared" si="92"/>
        <v/>
      </c>
      <c r="W1016" t="str">
        <f t="shared" si="93"/>
        <v/>
      </c>
      <c r="X1016" t="str">
        <f t="shared" si="94"/>
        <v/>
      </c>
      <c r="Y1016" t="str">
        <f t="shared" si="95"/>
        <v/>
      </c>
    </row>
    <row r="1017" spans="1:25" ht="14.5" x14ac:dyDescent="0.35">
      <c r="A1017" s="3"/>
      <c r="B1017" s="2"/>
      <c r="C1017" s="2"/>
      <c r="D1017" s="4"/>
      <c r="E1017" s="2"/>
      <c r="F1017" s="2"/>
      <c r="G1017" s="3" t="str">
        <f t="shared" si="90"/>
        <v/>
      </c>
      <c r="H1017" s="3"/>
      <c r="I1017" s="3"/>
      <c r="J1017" s="2"/>
      <c r="K1017" s="2"/>
      <c r="L1017" s="2"/>
      <c r="M1017" s="4"/>
      <c r="N1017" s="2"/>
      <c r="O1017" s="5" t="str">
        <f t="shared" ca="1" si="91"/>
        <v/>
      </c>
      <c r="P1017" s="6"/>
      <c r="V1017" t="str">
        <f t="shared" si="92"/>
        <v/>
      </c>
      <c r="W1017" t="str">
        <f t="shared" si="93"/>
        <v/>
      </c>
      <c r="X1017" t="str">
        <f t="shared" si="94"/>
        <v/>
      </c>
      <c r="Y1017" t="str">
        <f t="shared" si="95"/>
        <v/>
      </c>
    </row>
    <row r="1018" spans="1:25" ht="14.5" x14ac:dyDescent="0.35">
      <c r="A1018" s="3"/>
      <c r="B1018" s="2"/>
      <c r="C1018" s="2"/>
      <c r="D1018" s="4"/>
      <c r="E1018" s="2"/>
      <c r="F1018" s="2"/>
      <c r="G1018" s="3" t="str">
        <f t="shared" si="90"/>
        <v/>
      </c>
      <c r="H1018" s="3"/>
      <c r="I1018" s="3"/>
      <c r="J1018" s="2"/>
      <c r="K1018" s="2"/>
      <c r="L1018" s="2"/>
      <c r="M1018" s="4"/>
      <c r="N1018" s="2"/>
      <c r="O1018" s="5" t="str">
        <f t="shared" ca="1" si="91"/>
        <v/>
      </c>
      <c r="P1018" s="6"/>
      <c r="V1018" t="str">
        <f t="shared" si="92"/>
        <v/>
      </c>
      <c r="W1018" t="str">
        <f t="shared" si="93"/>
        <v/>
      </c>
      <c r="X1018" t="str">
        <f t="shared" si="94"/>
        <v/>
      </c>
      <c r="Y1018" t="str">
        <f t="shared" si="95"/>
        <v/>
      </c>
    </row>
    <row r="1019" spans="1:25" ht="14.5" x14ac:dyDescent="0.35">
      <c r="A1019" s="3"/>
      <c r="B1019" s="2"/>
      <c r="C1019" s="2"/>
      <c r="D1019" s="4"/>
      <c r="E1019" s="2"/>
      <c r="F1019" s="2"/>
      <c r="G1019" s="3" t="str">
        <f t="shared" si="90"/>
        <v/>
      </c>
      <c r="H1019" s="3"/>
      <c r="I1019" s="3"/>
      <c r="J1019" s="2"/>
      <c r="K1019" s="2"/>
      <c r="L1019" s="2"/>
      <c r="M1019" s="4"/>
      <c r="N1019" s="2"/>
      <c r="O1019" s="5" t="str">
        <f t="shared" ca="1" si="91"/>
        <v/>
      </c>
      <c r="P1019" s="6"/>
      <c r="V1019" t="str">
        <f t="shared" si="92"/>
        <v/>
      </c>
      <c r="W1019" t="str">
        <f t="shared" si="93"/>
        <v/>
      </c>
      <c r="X1019" t="str">
        <f t="shared" si="94"/>
        <v/>
      </c>
      <c r="Y1019" t="str">
        <f t="shared" si="95"/>
        <v/>
      </c>
    </row>
    <row r="1020" spans="1:25" ht="14.5" x14ac:dyDescent="0.35">
      <c r="A1020" s="3"/>
      <c r="B1020" s="2"/>
      <c r="C1020" s="2"/>
      <c r="D1020" s="4"/>
      <c r="E1020" s="2"/>
      <c r="F1020" s="2"/>
      <c r="G1020" s="3" t="str">
        <f t="shared" si="90"/>
        <v/>
      </c>
      <c r="H1020" s="3"/>
      <c r="I1020" s="3"/>
      <c r="J1020" s="2"/>
      <c r="K1020" s="2"/>
      <c r="L1020" s="2"/>
      <c r="M1020" s="4"/>
      <c r="N1020" s="2"/>
      <c r="O1020" s="5" t="str">
        <f t="shared" ca="1" si="91"/>
        <v/>
      </c>
      <c r="P1020" s="6"/>
      <c r="V1020" t="str">
        <f t="shared" si="92"/>
        <v/>
      </c>
      <c r="W1020" t="str">
        <f t="shared" si="93"/>
        <v/>
      </c>
      <c r="X1020" t="str">
        <f t="shared" si="94"/>
        <v/>
      </c>
      <c r="Y1020" t="str">
        <f t="shared" si="95"/>
        <v/>
      </c>
    </row>
    <row r="1021" spans="1:25" ht="14.5" x14ac:dyDescent="0.35">
      <c r="A1021" s="3"/>
      <c r="B1021" s="2"/>
      <c r="C1021" s="2"/>
      <c r="D1021" s="4"/>
      <c r="E1021" s="2"/>
      <c r="F1021" s="2"/>
      <c r="G1021" s="3" t="str">
        <f t="shared" si="90"/>
        <v/>
      </c>
      <c r="H1021" s="3"/>
      <c r="I1021" s="3"/>
      <c r="J1021" s="2"/>
      <c r="K1021" s="2"/>
      <c r="L1021" s="2"/>
      <c r="M1021" s="4"/>
      <c r="N1021" s="2"/>
      <c r="O1021" s="5" t="str">
        <f t="shared" ca="1" si="91"/>
        <v/>
      </c>
      <c r="P1021" s="6"/>
      <c r="V1021" t="str">
        <f t="shared" si="92"/>
        <v/>
      </c>
      <c r="W1021" t="str">
        <f t="shared" si="93"/>
        <v/>
      </c>
      <c r="X1021" t="str">
        <f t="shared" si="94"/>
        <v/>
      </c>
      <c r="Y1021" t="str">
        <f t="shared" si="95"/>
        <v/>
      </c>
    </row>
    <row r="1022" spans="1:25" ht="14.5" x14ac:dyDescent="0.35">
      <c r="A1022" s="3"/>
      <c r="B1022" s="2"/>
      <c r="C1022" s="2"/>
      <c r="D1022" s="4"/>
      <c r="E1022" s="2"/>
      <c r="F1022" s="2"/>
      <c r="G1022" s="3" t="str">
        <f t="shared" si="90"/>
        <v/>
      </c>
      <c r="H1022" s="3"/>
      <c r="I1022" s="3"/>
      <c r="J1022" s="2"/>
      <c r="K1022" s="2"/>
      <c r="L1022" s="2"/>
      <c r="M1022" s="4"/>
      <c r="N1022" s="2"/>
      <c r="O1022" s="5" t="str">
        <f t="shared" ca="1" si="91"/>
        <v/>
      </c>
      <c r="P1022" s="6"/>
      <c r="V1022" t="str">
        <f t="shared" si="92"/>
        <v/>
      </c>
      <c r="W1022" t="str">
        <f t="shared" si="93"/>
        <v/>
      </c>
      <c r="X1022" t="str">
        <f t="shared" si="94"/>
        <v/>
      </c>
      <c r="Y1022" t="str">
        <f t="shared" si="95"/>
        <v/>
      </c>
    </row>
    <row r="1023" spans="1:25" ht="14.5" x14ac:dyDescent="0.35">
      <c r="A1023" s="3"/>
      <c r="B1023" s="2"/>
      <c r="C1023" s="2"/>
      <c r="D1023" s="4"/>
      <c r="E1023" s="2"/>
      <c r="F1023" s="2"/>
      <c r="G1023" s="3" t="str">
        <f t="shared" si="90"/>
        <v/>
      </c>
      <c r="H1023" s="3"/>
      <c r="I1023" s="3"/>
      <c r="J1023" s="2"/>
      <c r="K1023" s="2"/>
      <c r="L1023" s="2"/>
      <c r="M1023" s="4"/>
      <c r="N1023" s="2"/>
      <c r="O1023" s="5" t="str">
        <f t="shared" ca="1" si="91"/>
        <v/>
      </c>
      <c r="P1023" s="6"/>
      <c r="V1023" t="str">
        <f t="shared" si="92"/>
        <v/>
      </c>
      <c r="W1023" t="str">
        <f t="shared" si="93"/>
        <v/>
      </c>
      <c r="X1023" t="str">
        <f t="shared" si="94"/>
        <v/>
      </c>
      <c r="Y1023" t="str">
        <f t="shared" si="95"/>
        <v/>
      </c>
    </row>
    <row r="1024" spans="1:25" ht="14.5" x14ac:dyDescent="0.35">
      <c r="A1024" s="3"/>
      <c r="B1024" s="2"/>
      <c r="C1024" s="2"/>
      <c r="D1024" s="4"/>
      <c r="E1024" s="2"/>
      <c r="F1024" s="2"/>
      <c r="G1024" s="3" t="str">
        <f t="shared" si="90"/>
        <v/>
      </c>
      <c r="H1024" s="3"/>
      <c r="I1024" s="3"/>
      <c r="J1024" s="2"/>
      <c r="K1024" s="2"/>
      <c r="L1024" s="2"/>
      <c r="M1024" s="4"/>
      <c r="N1024" s="2"/>
      <c r="O1024" s="5" t="str">
        <f t="shared" ca="1" si="91"/>
        <v/>
      </c>
      <c r="P1024" s="6"/>
      <c r="V1024" t="str">
        <f t="shared" si="92"/>
        <v/>
      </c>
      <c r="W1024" t="str">
        <f t="shared" si="93"/>
        <v/>
      </c>
      <c r="X1024" t="str">
        <f t="shared" si="94"/>
        <v/>
      </c>
      <c r="Y1024" t="str">
        <f t="shared" si="95"/>
        <v/>
      </c>
    </row>
    <row r="1025" spans="1:25" ht="14.5" x14ac:dyDescent="0.35">
      <c r="A1025" s="3"/>
      <c r="B1025" s="2"/>
      <c r="C1025" s="2"/>
      <c r="D1025" s="4"/>
      <c r="E1025" s="2"/>
      <c r="F1025" s="2"/>
      <c r="G1025" s="3" t="str">
        <f t="shared" si="90"/>
        <v/>
      </c>
      <c r="H1025" s="3"/>
      <c r="I1025" s="3"/>
      <c r="J1025" s="2"/>
      <c r="K1025" s="2"/>
      <c r="L1025" s="2"/>
      <c r="M1025" s="4"/>
      <c r="N1025" s="2"/>
      <c r="O1025" s="5" t="str">
        <f t="shared" ca="1" si="91"/>
        <v/>
      </c>
      <c r="P1025" s="6"/>
      <c r="V1025" t="str">
        <f t="shared" si="92"/>
        <v/>
      </c>
      <c r="W1025" t="str">
        <f t="shared" si="93"/>
        <v/>
      </c>
      <c r="X1025" t="str">
        <f t="shared" si="94"/>
        <v/>
      </c>
      <c r="Y1025" t="str">
        <f t="shared" si="95"/>
        <v/>
      </c>
    </row>
    <row r="1026" spans="1:25" ht="14.5" x14ac:dyDescent="0.35">
      <c r="A1026" s="3"/>
      <c r="B1026" s="2"/>
      <c r="C1026" s="2"/>
      <c r="D1026" s="4"/>
      <c r="E1026" s="2"/>
      <c r="F1026" s="2"/>
      <c r="G1026" s="3" t="str">
        <f t="shared" ref="G1026:G1089" si="96">IF(COUNTIF($A$2:$A$1500,A1026&amp;".*")=0,"",COUNTIF($A$2:$A$1500,A1026&amp;".*"))</f>
        <v/>
      </c>
      <c r="H1026" s="3"/>
      <c r="I1026" s="3"/>
      <c r="J1026" s="2"/>
      <c r="K1026" s="2"/>
      <c r="L1026" s="2"/>
      <c r="M1026" s="4"/>
      <c r="N1026" s="2"/>
      <c r="O1026" s="5" t="str">
        <f t="shared" ref="O1026:O1089" ca="1" si="97">IF(M1026="","",INT(M1026)-TODAY())</f>
        <v/>
      </c>
      <c r="P1026" s="6"/>
      <c r="V1026" t="str">
        <f t="shared" ref="V1026:V1089" si="98">IF(M1026="","",M1026+Q1026/1000000)</f>
        <v/>
      </c>
      <c r="W1026" t="str">
        <f t="shared" ref="W1026:W1089" si="99">IF(U1026="","",IF(M1026="",9999999+Q1026/1000000,M1026+Q1026/1000000))</f>
        <v/>
      </c>
      <c r="X1026" t="str">
        <f t="shared" ref="X1026:X1089" si="100">IF(U1026="","",SUMPRODUCT(($U$2:$U$1500=U1026)*($W$2:$W$1500&lt;=W1026)))</f>
        <v/>
      </c>
      <c r="Y1026" t="str">
        <f t="shared" ref="Y1026:Y1089" si="101">IF(U1026="","",U1026&amp;"|"&amp;X1026)</f>
        <v/>
      </c>
    </row>
    <row r="1027" spans="1:25" ht="14.5" x14ac:dyDescent="0.35">
      <c r="A1027" s="3"/>
      <c r="B1027" s="2"/>
      <c r="C1027" s="2"/>
      <c r="D1027" s="4"/>
      <c r="E1027" s="2"/>
      <c r="F1027" s="2"/>
      <c r="G1027" s="3" t="str">
        <f t="shared" si="96"/>
        <v/>
      </c>
      <c r="H1027" s="3"/>
      <c r="I1027" s="3"/>
      <c r="J1027" s="2"/>
      <c r="K1027" s="2"/>
      <c r="L1027" s="2"/>
      <c r="M1027" s="4"/>
      <c r="N1027" s="2"/>
      <c r="O1027" s="5" t="str">
        <f t="shared" ca="1" si="97"/>
        <v/>
      </c>
      <c r="P1027" s="6"/>
      <c r="V1027" t="str">
        <f t="shared" si="98"/>
        <v/>
      </c>
      <c r="W1027" t="str">
        <f t="shared" si="99"/>
        <v/>
      </c>
      <c r="X1027" t="str">
        <f t="shared" si="100"/>
        <v/>
      </c>
      <c r="Y1027" t="str">
        <f t="shared" si="101"/>
        <v/>
      </c>
    </row>
    <row r="1028" spans="1:25" ht="14.5" x14ac:dyDescent="0.35">
      <c r="A1028" s="3"/>
      <c r="B1028" s="2"/>
      <c r="C1028" s="2"/>
      <c r="D1028" s="4"/>
      <c r="E1028" s="2"/>
      <c r="F1028" s="2"/>
      <c r="G1028" s="3" t="str">
        <f t="shared" si="96"/>
        <v/>
      </c>
      <c r="H1028" s="3"/>
      <c r="I1028" s="3"/>
      <c r="J1028" s="2"/>
      <c r="K1028" s="2"/>
      <c r="L1028" s="2"/>
      <c r="M1028" s="4"/>
      <c r="N1028" s="2"/>
      <c r="O1028" s="5" t="str">
        <f t="shared" ca="1" si="97"/>
        <v/>
      </c>
      <c r="P1028" s="6"/>
      <c r="V1028" t="str">
        <f t="shared" si="98"/>
        <v/>
      </c>
      <c r="W1028" t="str">
        <f t="shared" si="99"/>
        <v/>
      </c>
      <c r="X1028" t="str">
        <f t="shared" si="100"/>
        <v/>
      </c>
      <c r="Y1028" t="str">
        <f t="shared" si="101"/>
        <v/>
      </c>
    </row>
    <row r="1029" spans="1:25" ht="14.5" x14ac:dyDescent="0.35">
      <c r="A1029" s="3"/>
      <c r="B1029" s="2"/>
      <c r="C1029" s="2"/>
      <c r="D1029" s="4"/>
      <c r="E1029" s="2"/>
      <c r="F1029" s="2"/>
      <c r="G1029" s="3" t="str">
        <f t="shared" si="96"/>
        <v/>
      </c>
      <c r="H1029" s="3"/>
      <c r="I1029" s="3"/>
      <c r="J1029" s="2"/>
      <c r="K1029" s="2"/>
      <c r="L1029" s="2"/>
      <c r="M1029" s="4"/>
      <c r="N1029" s="2"/>
      <c r="O1029" s="5" t="str">
        <f t="shared" ca="1" si="97"/>
        <v/>
      </c>
      <c r="P1029" s="6"/>
      <c r="V1029" t="str">
        <f t="shared" si="98"/>
        <v/>
      </c>
      <c r="W1029" t="str">
        <f t="shared" si="99"/>
        <v/>
      </c>
      <c r="X1029" t="str">
        <f t="shared" si="100"/>
        <v/>
      </c>
      <c r="Y1029" t="str">
        <f t="shared" si="101"/>
        <v/>
      </c>
    </row>
    <row r="1030" spans="1:25" ht="14.5" x14ac:dyDescent="0.35">
      <c r="A1030" s="3"/>
      <c r="B1030" s="2"/>
      <c r="C1030" s="2"/>
      <c r="D1030" s="4"/>
      <c r="E1030" s="2"/>
      <c r="F1030" s="2"/>
      <c r="G1030" s="3" t="str">
        <f t="shared" si="96"/>
        <v/>
      </c>
      <c r="H1030" s="3"/>
      <c r="I1030" s="3"/>
      <c r="J1030" s="2"/>
      <c r="K1030" s="2"/>
      <c r="L1030" s="2"/>
      <c r="M1030" s="4"/>
      <c r="N1030" s="2"/>
      <c r="O1030" s="5" t="str">
        <f t="shared" ca="1" si="97"/>
        <v/>
      </c>
      <c r="P1030" s="6"/>
      <c r="V1030" t="str">
        <f t="shared" si="98"/>
        <v/>
      </c>
      <c r="W1030" t="str">
        <f t="shared" si="99"/>
        <v/>
      </c>
      <c r="X1030" t="str">
        <f t="shared" si="100"/>
        <v/>
      </c>
      <c r="Y1030" t="str">
        <f t="shared" si="101"/>
        <v/>
      </c>
    </row>
    <row r="1031" spans="1:25" ht="14.5" x14ac:dyDescent="0.35">
      <c r="A1031" s="3"/>
      <c r="B1031" s="2"/>
      <c r="C1031" s="2"/>
      <c r="D1031" s="4"/>
      <c r="E1031" s="2"/>
      <c r="F1031" s="2"/>
      <c r="G1031" s="3" t="str">
        <f t="shared" si="96"/>
        <v/>
      </c>
      <c r="H1031" s="3"/>
      <c r="I1031" s="3"/>
      <c r="J1031" s="2"/>
      <c r="K1031" s="2"/>
      <c r="L1031" s="2"/>
      <c r="M1031" s="4"/>
      <c r="N1031" s="2"/>
      <c r="O1031" s="5" t="str">
        <f t="shared" ca="1" si="97"/>
        <v/>
      </c>
      <c r="P1031" s="6"/>
      <c r="V1031" t="str">
        <f t="shared" si="98"/>
        <v/>
      </c>
      <c r="W1031" t="str">
        <f t="shared" si="99"/>
        <v/>
      </c>
      <c r="X1031" t="str">
        <f t="shared" si="100"/>
        <v/>
      </c>
      <c r="Y1031" t="str">
        <f t="shared" si="101"/>
        <v/>
      </c>
    </row>
    <row r="1032" spans="1:25" ht="14.5" x14ac:dyDescent="0.35">
      <c r="A1032" s="3"/>
      <c r="B1032" s="2"/>
      <c r="C1032" s="2"/>
      <c r="D1032" s="4"/>
      <c r="E1032" s="2"/>
      <c r="F1032" s="2"/>
      <c r="G1032" s="3" t="str">
        <f t="shared" si="96"/>
        <v/>
      </c>
      <c r="H1032" s="3"/>
      <c r="I1032" s="3"/>
      <c r="J1032" s="2"/>
      <c r="K1032" s="2"/>
      <c r="L1032" s="2"/>
      <c r="M1032" s="4"/>
      <c r="N1032" s="2"/>
      <c r="O1032" s="5" t="str">
        <f t="shared" ca="1" si="97"/>
        <v/>
      </c>
      <c r="P1032" s="6"/>
      <c r="V1032" t="str">
        <f t="shared" si="98"/>
        <v/>
      </c>
      <c r="W1032" t="str">
        <f t="shared" si="99"/>
        <v/>
      </c>
      <c r="X1032" t="str">
        <f t="shared" si="100"/>
        <v/>
      </c>
      <c r="Y1032" t="str">
        <f t="shared" si="101"/>
        <v/>
      </c>
    </row>
    <row r="1033" spans="1:25" ht="14.5" x14ac:dyDescent="0.35">
      <c r="A1033" s="3"/>
      <c r="B1033" s="2"/>
      <c r="C1033" s="2"/>
      <c r="D1033" s="4"/>
      <c r="E1033" s="2"/>
      <c r="F1033" s="2"/>
      <c r="G1033" s="3" t="str">
        <f t="shared" si="96"/>
        <v/>
      </c>
      <c r="H1033" s="3"/>
      <c r="I1033" s="3"/>
      <c r="J1033" s="2"/>
      <c r="K1033" s="2"/>
      <c r="L1033" s="2"/>
      <c r="M1033" s="4"/>
      <c r="N1033" s="2"/>
      <c r="O1033" s="5" t="str">
        <f t="shared" ca="1" si="97"/>
        <v/>
      </c>
      <c r="P1033" s="6"/>
      <c r="V1033" t="str">
        <f t="shared" si="98"/>
        <v/>
      </c>
      <c r="W1033" t="str">
        <f t="shared" si="99"/>
        <v/>
      </c>
      <c r="X1033" t="str">
        <f t="shared" si="100"/>
        <v/>
      </c>
      <c r="Y1033" t="str">
        <f t="shared" si="101"/>
        <v/>
      </c>
    </row>
    <row r="1034" spans="1:25" ht="14.5" x14ac:dyDescent="0.35">
      <c r="A1034" s="3"/>
      <c r="B1034" s="2"/>
      <c r="C1034" s="2"/>
      <c r="D1034" s="4"/>
      <c r="E1034" s="2"/>
      <c r="F1034" s="2"/>
      <c r="G1034" s="3" t="str">
        <f t="shared" si="96"/>
        <v/>
      </c>
      <c r="H1034" s="3"/>
      <c r="I1034" s="3"/>
      <c r="J1034" s="2"/>
      <c r="K1034" s="2"/>
      <c r="L1034" s="2"/>
      <c r="M1034" s="4"/>
      <c r="N1034" s="2"/>
      <c r="O1034" s="5" t="str">
        <f t="shared" ca="1" si="97"/>
        <v/>
      </c>
      <c r="P1034" s="6"/>
      <c r="V1034" t="str">
        <f t="shared" si="98"/>
        <v/>
      </c>
      <c r="W1034" t="str">
        <f t="shared" si="99"/>
        <v/>
      </c>
      <c r="X1034" t="str">
        <f t="shared" si="100"/>
        <v/>
      </c>
      <c r="Y1034" t="str">
        <f t="shared" si="101"/>
        <v/>
      </c>
    </row>
    <row r="1035" spans="1:25" ht="14.5" x14ac:dyDescent="0.35">
      <c r="A1035" s="3"/>
      <c r="B1035" s="2"/>
      <c r="C1035" s="2"/>
      <c r="D1035" s="4"/>
      <c r="E1035" s="2"/>
      <c r="F1035" s="2"/>
      <c r="G1035" s="3" t="str">
        <f t="shared" si="96"/>
        <v/>
      </c>
      <c r="H1035" s="3"/>
      <c r="I1035" s="3"/>
      <c r="J1035" s="2"/>
      <c r="K1035" s="2"/>
      <c r="L1035" s="2"/>
      <c r="M1035" s="4"/>
      <c r="N1035" s="2"/>
      <c r="O1035" s="5" t="str">
        <f t="shared" ca="1" si="97"/>
        <v/>
      </c>
      <c r="P1035" s="6"/>
      <c r="V1035" t="str">
        <f t="shared" si="98"/>
        <v/>
      </c>
      <c r="W1035" t="str">
        <f t="shared" si="99"/>
        <v/>
      </c>
      <c r="X1035" t="str">
        <f t="shared" si="100"/>
        <v/>
      </c>
      <c r="Y1035" t="str">
        <f t="shared" si="101"/>
        <v/>
      </c>
    </row>
    <row r="1036" spans="1:25" ht="14.5" x14ac:dyDescent="0.35">
      <c r="A1036" s="3"/>
      <c r="B1036" s="2"/>
      <c r="C1036" s="2"/>
      <c r="D1036" s="4"/>
      <c r="E1036" s="2"/>
      <c r="F1036" s="2"/>
      <c r="G1036" s="3" t="str">
        <f t="shared" si="96"/>
        <v/>
      </c>
      <c r="H1036" s="3"/>
      <c r="I1036" s="3"/>
      <c r="J1036" s="2"/>
      <c r="K1036" s="2"/>
      <c r="L1036" s="2"/>
      <c r="M1036" s="4"/>
      <c r="N1036" s="2"/>
      <c r="O1036" s="5" t="str">
        <f t="shared" ca="1" si="97"/>
        <v/>
      </c>
      <c r="P1036" s="6"/>
      <c r="V1036" t="str">
        <f t="shared" si="98"/>
        <v/>
      </c>
      <c r="W1036" t="str">
        <f t="shared" si="99"/>
        <v/>
      </c>
      <c r="X1036" t="str">
        <f t="shared" si="100"/>
        <v/>
      </c>
      <c r="Y1036" t="str">
        <f t="shared" si="101"/>
        <v/>
      </c>
    </row>
    <row r="1037" spans="1:25" ht="14.5" x14ac:dyDescent="0.35">
      <c r="A1037" s="3"/>
      <c r="B1037" s="2"/>
      <c r="C1037" s="2"/>
      <c r="D1037" s="4"/>
      <c r="E1037" s="2"/>
      <c r="F1037" s="2"/>
      <c r="G1037" s="3" t="str">
        <f t="shared" si="96"/>
        <v/>
      </c>
      <c r="H1037" s="3"/>
      <c r="I1037" s="3"/>
      <c r="J1037" s="2"/>
      <c r="K1037" s="2"/>
      <c r="L1037" s="2"/>
      <c r="M1037" s="4"/>
      <c r="N1037" s="2"/>
      <c r="O1037" s="5" t="str">
        <f t="shared" ca="1" si="97"/>
        <v/>
      </c>
      <c r="P1037" s="6"/>
      <c r="V1037" t="str">
        <f t="shared" si="98"/>
        <v/>
      </c>
      <c r="W1037" t="str">
        <f t="shared" si="99"/>
        <v/>
      </c>
      <c r="X1037" t="str">
        <f t="shared" si="100"/>
        <v/>
      </c>
      <c r="Y1037" t="str">
        <f t="shared" si="101"/>
        <v/>
      </c>
    </row>
    <row r="1038" spans="1:25" ht="14.5" x14ac:dyDescent="0.35">
      <c r="A1038" s="3"/>
      <c r="B1038" s="2"/>
      <c r="C1038" s="2"/>
      <c r="D1038" s="4"/>
      <c r="E1038" s="2"/>
      <c r="F1038" s="2"/>
      <c r="G1038" s="3" t="str">
        <f t="shared" si="96"/>
        <v/>
      </c>
      <c r="H1038" s="3"/>
      <c r="I1038" s="3"/>
      <c r="J1038" s="2"/>
      <c r="K1038" s="2"/>
      <c r="L1038" s="2"/>
      <c r="M1038" s="4"/>
      <c r="N1038" s="2"/>
      <c r="O1038" s="5" t="str">
        <f t="shared" ca="1" si="97"/>
        <v/>
      </c>
      <c r="P1038" s="6"/>
      <c r="V1038" t="str">
        <f t="shared" si="98"/>
        <v/>
      </c>
      <c r="W1038" t="str">
        <f t="shared" si="99"/>
        <v/>
      </c>
      <c r="X1038" t="str">
        <f t="shared" si="100"/>
        <v/>
      </c>
      <c r="Y1038" t="str">
        <f t="shared" si="101"/>
        <v/>
      </c>
    </row>
    <row r="1039" spans="1:25" ht="14.5" x14ac:dyDescent="0.35">
      <c r="A1039" s="3"/>
      <c r="B1039" s="2"/>
      <c r="C1039" s="2"/>
      <c r="D1039" s="4"/>
      <c r="E1039" s="2"/>
      <c r="F1039" s="2"/>
      <c r="G1039" s="3" t="str">
        <f t="shared" si="96"/>
        <v/>
      </c>
      <c r="H1039" s="3"/>
      <c r="I1039" s="3"/>
      <c r="J1039" s="2"/>
      <c r="K1039" s="2"/>
      <c r="L1039" s="2"/>
      <c r="M1039" s="4"/>
      <c r="N1039" s="2"/>
      <c r="O1039" s="5" t="str">
        <f t="shared" ca="1" si="97"/>
        <v/>
      </c>
      <c r="P1039" s="6"/>
      <c r="V1039" t="str">
        <f t="shared" si="98"/>
        <v/>
      </c>
      <c r="W1039" t="str">
        <f t="shared" si="99"/>
        <v/>
      </c>
      <c r="X1039" t="str">
        <f t="shared" si="100"/>
        <v/>
      </c>
      <c r="Y1039" t="str">
        <f t="shared" si="101"/>
        <v/>
      </c>
    </row>
    <row r="1040" spans="1:25" ht="14.5" x14ac:dyDescent="0.35">
      <c r="A1040" s="3"/>
      <c r="B1040" s="2"/>
      <c r="C1040" s="2"/>
      <c r="D1040" s="4"/>
      <c r="E1040" s="2"/>
      <c r="F1040" s="2"/>
      <c r="G1040" s="3" t="str">
        <f t="shared" si="96"/>
        <v/>
      </c>
      <c r="H1040" s="3"/>
      <c r="I1040" s="3"/>
      <c r="J1040" s="2"/>
      <c r="K1040" s="2"/>
      <c r="L1040" s="2"/>
      <c r="M1040" s="4"/>
      <c r="N1040" s="2"/>
      <c r="O1040" s="5" t="str">
        <f t="shared" ca="1" si="97"/>
        <v/>
      </c>
      <c r="P1040" s="6"/>
      <c r="V1040" t="str">
        <f t="shared" si="98"/>
        <v/>
      </c>
      <c r="W1040" t="str">
        <f t="shared" si="99"/>
        <v/>
      </c>
      <c r="X1040" t="str">
        <f t="shared" si="100"/>
        <v/>
      </c>
      <c r="Y1040" t="str">
        <f t="shared" si="101"/>
        <v/>
      </c>
    </row>
    <row r="1041" spans="1:25" ht="14.5" x14ac:dyDescent="0.35">
      <c r="A1041" s="3"/>
      <c r="B1041" s="2"/>
      <c r="C1041" s="2"/>
      <c r="D1041" s="4"/>
      <c r="E1041" s="2"/>
      <c r="F1041" s="2"/>
      <c r="G1041" s="3" t="str">
        <f t="shared" si="96"/>
        <v/>
      </c>
      <c r="H1041" s="3"/>
      <c r="I1041" s="3"/>
      <c r="J1041" s="2"/>
      <c r="K1041" s="2"/>
      <c r="L1041" s="2"/>
      <c r="M1041" s="4"/>
      <c r="N1041" s="2"/>
      <c r="O1041" s="5" t="str">
        <f t="shared" ca="1" si="97"/>
        <v/>
      </c>
      <c r="P1041" s="6"/>
      <c r="V1041" t="str">
        <f t="shared" si="98"/>
        <v/>
      </c>
      <c r="W1041" t="str">
        <f t="shared" si="99"/>
        <v/>
      </c>
      <c r="X1041" t="str">
        <f t="shared" si="100"/>
        <v/>
      </c>
      <c r="Y1041" t="str">
        <f t="shared" si="101"/>
        <v/>
      </c>
    </row>
    <row r="1042" spans="1:25" ht="14.5" x14ac:dyDescent="0.35">
      <c r="A1042" s="3"/>
      <c r="B1042" s="2"/>
      <c r="C1042" s="2"/>
      <c r="D1042" s="4"/>
      <c r="E1042" s="2"/>
      <c r="F1042" s="2"/>
      <c r="G1042" s="3" t="str">
        <f t="shared" si="96"/>
        <v/>
      </c>
      <c r="H1042" s="3"/>
      <c r="I1042" s="3"/>
      <c r="J1042" s="2"/>
      <c r="K1042" s="2"/>
      <c r="L1042" s="2"/>
      <c r="M1042" s="4"/>
      <c r="N1042" s="2"/>
      <c r="O1042" s="5" t="str">
        <f t="shared" ca="1" si="97"/>
        <v/>
      </c>
      <c r="P1042" s="6"/>
      <c r="V1042" t="str">
        <f t="shared" si="98"/>
        <v/>
      </c>
      <c r="W1042" t="str">
        <f t="shared" si="99"/>
        <v/>
      </c>
      <c r="X1042" t="str">
        <f t="shared" si="100"/>
        <v/>
      </c>
      <c r="Y1042" t="str">
        <f t="shared" si="101"/>
        <v/>
      </c>
    </row>
    <row r="1043" spans="1:25" ht="14.5" x14ac:dyDescent="0.35">
      <c r="A1043" s="3"/>
      <c r="B1043" s="2"/>
      <c r="C1043" s="2"/>
      <c r="D1043" s="4"/>
      <c r="E1043" s="2"/>
      <c r="F1043" s="2"/>
      <c r="G1043" s="3" t="str">
        <f t="shared" si="96"/>
        <v/>
      </c>
      <c r="H1043" s="3"/>
      <c r="I1043" s="3"/>
      <c r="J1043" s="2"/>
      <c r="K1043" s="2"/>
      <c r="L1043" s="2"/>
      <c r="M1043" s="4"/>
      <c r="N1043" s="2"/>
      <c r="O1043" s="5" t="str">
        <f t="shared" ca="1" si="97"/>
        <v/>
      </c>
      <c r="P1043" s="6"/>
      <c r="V1043" t="str">
        <f t="shared" si="98"/>
        <v/>
      </c>
      <c r="W1043" t="str">
        <f t="shared" si="99"/>
        <v/>
      </c>
      <c r="X1043" t="str">
        <f t="shared" si="100"/>
        <v/>
      </c>
      <c r="Y1043" t="str">
        <f t="shared" si="101"/>
        <v/>
      </c>
    </row>
    <row r="1044" spans="1:25" ht="14.5" x14ac:dyDescent="0.35">
      <c r="A1044" s="3"/>
      <c r="B1044" s="2"/>
      <c r="C1044" s="2"/>
      <c r="D1044" s="4"/>
      <c r="E1044" s="2"/>
      <c r="F1044" s="2"/>
      <c r="G1044" s="3" t="str">
        <f t="shared" si="96"/>
        <v/>
      </c>
      <c r="H1044" s="3"/>
      <c r="I1044" s="3"/>
      <c r="J1044" s="2"/>
      <c r="K1044" s="2"/>
      <c r="L1044" s="2"/>
      <c r="M1044" s="4"/>
      <c r="N1044" s="2"/>
      <c r="O1044" s="5" t="str">
        <f t="shared" ca="1" si="97"/>
        <v/>
      </c>
      <c r="P1044" s="6"/>
      <c r="V1044" t="str">
        <f t="shared" si="98"/>
        <v/>
      </c>
      <c r="W1044" t="str">
        <f t="shared" si="99"/>
        <v/>
      </c>
      <c r="X1044" t="str">
        <f t="shared" si="100"/>
        <v/>
      </c>
      <c r="Y1044" t="str">
        <f t="shared" si="101"/>
        <v/>
      </c>
    </row>
    <row r="1045" spans="1:25" ht="14.5" x14ac:dyDescent="0.35">
      <c r="A1045" s="3"/>
      <c r="B1045" s="2"/>
      <c r="C1045" s="2"/>
      <c r="D1045" s="4"/>
      <c r="E1045" s="2"/>
      <c r="F1045" s="2"/>
      <c r="G1045" s="3" t="str">
        <f t="shared" si="96"/>
        <v/>
      </c>
      <c r="H1045" s="3"/>
      <c r="I1045" s="3"/>
      <c r="J1045" s="2"/>
      <c r="K1045" s="2"/>
      <c r="L1045" s="2"/>
      <c r="M1045" s="4"/>
      <c r="N1045" s="2"/>
      <c r="O1045" s="5" t="str">
        <f t="shared" ca="1" si="97"/>
        <v/>
      </c>
      <c r="P1045" s="6"/>
      <c r="V1045" t="str">
        <f t="shared" si="98"/>
        <v/>
      </c>
      <c r="W1045" t="str">
        <f t="shared" si="99"/>
        <v/>
      </c>
      <c r="X1045" t="str">
        <f t="shared" si="100"/>
        <v/>
      </c>
      <c r="Y1045" t="str">
        <f t="shared" si="101"/>
        <v/>
      </c>
    </row>
    <row r="1046" spans="1:25" ht="14.5" x14ac:dyDescent="0.35">
      <c r="A1046" s="3"/>
      <c r="B1046" s="2"/>
      <c r="C1046" s="2"/>
      <c r="D1046" s="4"/>
      <c r="E1046" s="2"/>
      <c r="F1046" s="2"/>
      <c r="G1046" s="3" t="str">
        <f t="shared" si="96"/>
        <v/>
      </c>
      <c r="H1046" s="3"/>
      <c r="I1046" s="3"/>
      <c r="J1046" s="2"/>
      <c r="K1046" s="2"/>
      <c r="L1046" s="2"/>
      <c r="M1046" s="4"/>
      <c r="N1046" s="2"/>
      <c r="O1046" s="5" t="str">
        <f t="shared" ca="1" si="97"/>
        <v/>
      </c>
      <c r="P1046" s="6"/>
      <c r="V1046" t="str">
        <f t="shared" si="98"/>
        <v/>
      </c>
      <c r="W1046" t="str">
        <f t="shared" si="99"/>
        <v/>
      </c>
      <c r="X1046" t="str">
        <f t="shared" si="100"/>
        <v/>
      </c>
      <c r="Y1046" t="str">
        <f t="shared" si="101"/>
        <v/>
      </c>
    </row>
    <row r="1047" spans="1:25" ht="14.5" x14ac:dyDescent="0.35">
      <c r="A1047" s="3"/>
      <c r="B1047" s="2"/>
      <c r="C1047" s="2"/>
      <c r="D1047" s="4"/>
      <c r="E1047" s="2"/>
      <c r="F1047" s="2"/>
      <c r="G1047" s="3" t="str">
        <f t="shared" si="96"/>
        <v/>
      </c>
      <c r="H1047" s="3"/>
      <c r="I1047" s="3"/>
      <c r="J1047" s="2"/>
      <c r="K1047" s="2"/>
      <c r="L1047" s="2"/>
      <c r="M1047" s="4"/>
      <c r="N1047" s="2"/>
      <c r="O1047" s="5" t="str">
        <f t="shared" ca="1" si="97"/>
        <v/>
      </c>
      <c r="P1047" s="6"/>
      <c r="V1047" t="str">
        <f t="shared" si="98"/>
        <v/>
      </c>
      <c r="W1047" t="str">
        <f t="shared" si="99"/>
        <v/>
      </c>
      <c r="X1047" t="str">
        <f t="shared" si="100"/>
        <v/>
      </c>
      <c r="Y1047" t="str">
        <f t="shared" si="101"/>
        <v/>
      </c>
    </row>
    <row r="1048" spans="1:25" ht="14.5" x14ac:dyDescent="0.35">
      <c r="A1048" s="3"/>
      <c r="B1048" s="2"/>
      <c r="C1048" s="2"/>
      <c r="D1048" s="4"/>
      <c r="E1048" s="2"/>
      <c r="F1048" s="2"/>
      <c r="G1048" s="3" t="str">
        <f t="shared" si="96"/>
        <v/>
      </c>
      <c r="H1048" s="3"/>
      <c r="I1048" s="3"/>
      <c r="J1048" s="2"/>
      <c r="K1048" s="2"/>
      <c r="L1048" s="2"/>
      <c r="M1048" s="4"/>
      <c r="N1048" s="2"/>
      <c r="O1048" s="5" t="str">
        <f t="shared" ca="1" si="97"/>
        <v/>
      </c>
      <c r="P1048" s="6"/>
      <c r="V1048" t="str">
        <f t="shared" si="98"/>
        <v/>
      </c>
      <c r="W1048" t="str">
        <f t="shared" si="99"/>
        <v/>
      </c>
      <c r="X1048" t="str">
        <f t="shared" si="100"/>
        <v/>
      </c>
      <c r="Y1048" t="str">
        <f t="shared" si="101"/>
        <v/>
      </c>
    </row>
    <row r="1049" spans="1:25" ht="14.5" x14ac:dyDescent="0.35">
      <c r="A1049" s="3"/>
      <c r="B1049" s="2"/>
      <c r="C1049" s="2"/>
      <c r="D1049" s="4"/>
      <c r="E1049" s="2"/>
      <c r="F1049" s="2"/>
      <c r="G1049" s="3" t="str">
        <f t="shared" si="96"/>
        <v/>
      </c>
      <c r="H1049" s="3"/>
      <c r="I1049" s="3"/>
      <c r="J1049" s="2"/>
      <c r="K1049" s="2"/>
      <c r="L1049" s="2"/>
      <c r="M1049" s="4"/>
      <c r="N1049" s="2"/>
      <c r="O1049" s="5" t="str">
        <f t="shared" ca="1" si="97"/>
        <v/>
      </c>
      <c r="P1049" s="6"/>
      <c r="V1049" t="str">
        <f t="shared" si="98"/>
        <v/>
      </c>
      <c r="W1049" t="str">
        <f t="shared" si="99"/>
        <v/>
      </c>
      <c r="X1049" t="str">
        <f t="shared" si="100"/>
        <v/>
      </c>
      <c r="Y1049" t="str">
        <f t="shared" si="101"/>
        <v/>
      </c>
    </row>
    <row r="1050" spans="1:25" ht="14.5" x14ac:dyDescent="0.35">
      <c r="A1050" s="3"/>
      <c r="B1050" s="2"/>
      <c r="C1050" s="2"/>
      <c r="D1050" s="4"/>
      <c r="E1050" s="2"/>
      <c r="F1050" s="2"/>
      <c r="G1050" s="3" t="str">
        <f t="shared" si="96"/>
        <v/>
      </c>
      <c r="H1050" s="3"/>
      <c r="I1050" s="3"/>
      <c r="J1050" s="2"/>
      <c r="K1050" s="2"/>
      <c r="L1050" s="2"/>
      <c r="M1050" s="4"/>
      <c r="N1050" s="2"/>
      <c r="O1050" s="5" t="str">
        <f t="shared" ca="1" si="97"/>
        <v/>
      </c>
      <c r="P1050" s="6"/>
      <c r="V1050" t="str">
        <f t="shared" si="98"/>
        <v/>
      </c>
      <c r="W1050" t="str">
        <f t="shared" si="99"/>
        <v/>
      </c>
      <c r="X1050" t="str">
        <f t="shared" si="100"/>
        <v/>
      </c>
      <c r="Y1050" t="str">
        <f t="shared" si="101"/>
        <v/>
      </c>
    </row>
    <row r="1051" spans="1:25" ht="14.5" x14ac:dyDescent="0.35">
      <c r="A1051" s="3"/>
      <c r="B1051" s="2"/>
      <c r="C1051" s="2"/>
      <c r="D1051" s="4"/>
      <c r="E1051" s="2"/>
      <c r="F1051" s="2"/>
      <c r="G1051" s="3" t="str">
        <f t="shared" si="96"/>
        <v/>
      </c>
      <c r="H1051" s="3"/>
      <c r="I1051" s="3"/>
      <c r="J1051" s="2"/>
      <c r="K1051" s="2"/>
      <c r="L1051" s="2"/>
      <c r="M1051" s="4"/>
      <c r="N1051" s="2"/>
      <c r="O1051" s="5" t="str">
        <f t="shared" ca="1" si="97"/>
        <v/>
      </c>
      <c r="P1051" s="6"/>
      <c r="V1051" t="str">
        <f t="shared" si="98"/>
        <v/>
      </c>
      <c r="W1051" t="str">
        <f t="shared" si="99"/>
        <v/>
      </c>
      <c r="X1051" t="str">
        <f t="shared" si="100"/>
        <v/>
      </c>
      <c r="Y1051" t="str">
        <f t="shared" si="101"/>
        <v/>
      </c>
    </row>
    <row r="1052" spans="1:25" ht="14.5" x14ac:dyDescent="0.35">
      <c r="A1052" s="3"/>
      <c r="B1052" s="2"/>
      <c r="C1052" s="2"/>
      <c r="D1052" s="4"/>
      <c r="E1052" s="2"/>
      <c r="F1052" s="2"/>
      <c r="G1052" s="3" t="str">
        <f t="shared" si="96"/>
        <v/>
      </c>
      <c r="H1052" s="3"/>
      <c r="I1052" s="3"/>
      <c r="J1052" s="2"/>
      <c r="K1052" s="2"/>
      <c r="L1052" s="2"/>
      <c r="M1052" s="4"/>
      <c r="N1052" s="2"/>
      <c r="O1052" s="5" t="str">
        <f t="shared" ca="1" si="97"/>
        <v/>
      </c>
      <c r="P1052" s="6"/>
      <c r="V1052" t="str">
        <f t="shared" si="98"/>
        <v/>
      </c>
      <c r="W1052" t="str">
        <f t="shared" si="99"/>
        <v/>
      </c>
      <c r="X1052" t="str">
        <f t="shared" si="100"/>
        <v/>
      </c>
      <c r="Y1052" t="str">
        <f t="shared" si="101"/>
        <v/>
      </c>
    </row>
    <row r="1053" spans="1:25" ht="14.5" x14ac:dyDescent="0.35">
      <c r="A1053" s="3"/>
      <c r="B1053" s="2"/>
      <c r="C1053" s="2"/>
      <c r="D1053" s="4"/>
      <c r="E1053" s="2"/>
      <c r="F1053" s="2"/>
      <c r="G1053" s="3" t="str">
        <f t="shared" si="96"/>
        <v/>
      </c>
      <c r="H1053" s="3"/>
      <c r="I1053" s="3"/>
      <c r="J1053" s="2"/>
      <c r="K1053" s="2"/>
      <c r="L1053" s="2"/>
      <c r="M1053" s="4"/>
      <c r="N1053" s="2"/>
      <c r="O1053" s="5" t="str">
        <f t="shared" ca="1" si="97"/>
        <v/>
      </c>
      <c r="P1053" s="6"/>
      <c r="V1053" t="str">
        <f t="shared" si="98"/>
        <v/>
      </c>
      <c r="W1053" t="str">
        <f t="shared" si="99"/>
        <v/>
      </c>
      <c r="X1053" t="str">
        <f t="shared" si="100"/>
        <v/>
      </c>
      <c r="Y1053" t="str">
        <f t="shared" si="101"/>
        <v/>
      </c>
    </row>
    <row r="1054" spans="1:25" ht="14.5" x14ac:dyDescent="0.35">
      <c r="A1054" s="3"/>
      <c r="B1054" s="2"/>
      <c r="C1054" s="2"/>
      <c r="D1054" s="4"/>
      <c r="E1054" s="2"/>
      <c r="F1054" s="2"/>
      <c r="G1054" s="3" t="str">
        <f t="shared" si="96"/>
        <v/>
      </c>
      <c r="H1054" s="3"/>
      <c r="I1054" s="3"/>
      <c r="J1054" s="2"/>
      <c r="K1054" s="2"/>
      <c r="L1054" s="2"/>
      <c r="M1054" s="4"/>
      <c r="N1054" s="2"/>
      <c r="O1054" s="5" t="str">
        <f t="shared" ca="1" si="97"/>
        <v/>
      </c>
      <c r="P1054" s="6"/>
      <c r="V1054" t="str">
        <f t="shared" si="98"/>
        <v/>
      </c>
      <c r="W1054" t="str">
        <f t="shared" si="99"/>
        <v/>
      </c>
      <c r="X1054" t="str">
        <f t="shared" si="100"/>
        <v/>
      </c>
      <c r="Y1054" t="str">
        <f t="shared" si="101"/>
        <v/>
      </c>
    </row>
    <row r="1055" spans="1:25" ht="14.5" x14ac:dyDescent="0.35">
      <c r="A1055" s="3"/>
      <c r="B1055" s="2"/>
      <c r="C1055" s="2"/>
      <c r="D1055" s="4"/>
      <c r="E1055" s="2"/>
      <c r="F1055" s="2"/>
      <c r="G1055" s="3" t="str">
        <f t="shared" si="96"/>
        <v/>
      </c>
      <c r="H1055" s="3"/>
      <c r="I1055" s="3"/>
      <c r="J1055" s="2"/>
      <c r="K1055" s="2"/>
      <c r="L1055" s="2"/>
      <c r="M1055" s="4"/>
      <c r="N1055" s="2"/>
      <c r="O1055" s="5" t="str">
        <f t="shared" ca="1" si="97"/>
        <v/>
      </c>
      <c r="P1055" s="6"/>
      <c r="V1055" t="str">
        <f t="shared" si="98"/>
        <v/>
      </c>
      <c r="W1055" t="str">
        <f t="shared" si="99"/>
        <v/>
      </c>
      <c r="X1055" t="str">
        <f t="shared" si="100"/>
        <v/>
      </c>
      <c r="Y1055" t="str">
        <f t="shared" si="101"/>
        <v/>
      </c>
    </row>
    <row r="1056" spans="1:25" ht="14.5" x14ac:dyDescent="0.35">
      <c r="A1056" s="3"/>
      <c r="B1056" s="2"/>
      <c r="C1056" s="2"/>
      <c r="D1056" s="4"/>
      <c r="E1056" s="2"/>
      <c r="F1056" s="2"/>
      <c r="G1056" s="3" t="str">
        <f t="shared" si="96"/>
        <v/>
      </c>
      <c r="H1056" s="3"/>
      <c r="I1056" s="3"/>
      <c r="J1056" s="2"/>
      <c r="K1056" s="2"/>
      <c r="L1056" s="2"/>
      <c r="M1056" s="4"/>
      <c r="N1056" s="2"/>
      <c r="O1056" s="5" t="str">
        <f t="shared" ca="1" si="97"/>
        <v/>
      </c>
      <c r="P1056" s="6"/>
      <c r="V1056" t="str">
        <f t="shared" si="98"/>
        <v/>
      </c>
      <c r="W1056" t="str">
        <f t="shared" si="99"/>
        <v/>
      </c>
      <c r="X1056" t="str">
        <f t="shared" si="100"/>
        <v/>
      </c>
      <c r="Y1056" t="str">
        <f t="shared" si="101"/>
        <v/>
      </c>
    </row>
    <row r="1057" spans="1:25" ht="14.5" x14ac:dyDescent="0.35">
      <c r="A1057" s="3"/>
      <c r="B1057" s="2"/>
      <c r="C1057" s="2"/>
      <c r="D1057" s="4"/>
      <c r="E1057" s="2"/>
      <c r="F1057" s="2"/>
      <c r="G1057" s="3" t="str">
        <f t="shared" si="96"/>
        <v/>
      </c>
      <c r="H1057" s="3"/>
      <c r="I1057" s="3"/>
      <c r="J1057" s="2"/>
      <c r="K1057" s="2"/>
      <c r="L1057" s="2"/>
      <c r="M1057" s="4"/>
      <c r="N1057" s="2"/>
      <c r="O1057" s="5" t="str">
        <f t="shared" ca="1" si="97"/>
        <v/>
      </c>
      <c r="P1057" s="6"/>
      <c r="V1057" t="str">
        <f t="shared" si="98"/>
        <v/>
      </c>
      <c r="W1057" t="str">
        <f t="shared" si="99"/>
        <v/>
      </c>
      <c r="X1057" t="str">
        <f t="shared" si="100"/>
        <v/>
      </c>
      <c r="Y1057" t="str">
        <f t="shared" si="101"/>
        <v/>
      </c>
    </row>
    <row r="1058" spans="1:25" ht="14.5" x14ac:dyDescent="0.35">
      <c r="A1058" s="3"/>
      <c r="B1058" s="2"/>
      <c r="C1058" s="2"/>
      <c r="D1058" s="4"/>
      <c r="E1058" s="2"/>
      <c r="F1058" s="2"/>
      <c r="G1058" s="3" t="str">
        <f t="shared" si="96"/>
        <v/>
      </c>
      <c r="H1058" s="3"/>
      <c r="I1058" s="3"/>
      <c r="J1058" s="2"/>
      <c r="K1058" s="2"/>
      <c r="L1058" s="2"/>
      <c r="M1058" s="4"/>
      <c r="N1058" s="2"/>
      <c r="O1058" s="5" t="str">
        <f t="shared" ca="1" si="97"/>
        <v/>
      </c>
      <c r="P1058" s="6"/>
      <c r="V1058" t="str">
        <f t="shared" si="98"/>
        <v/>
      </c>
      <c r="W1058" t="str">
        <f t="shared" si="99"/>
        <v/>
      </c>
      <c r="X1058" t="str">
        <f t="shared" si="100"/>
        <v/>
      </c>
      <c r="Y1058" t="str">
        <f t="shared" si="101"/>
        <v/>
      </c>
    </row>
    <row r="1059" spans="1:25" ht="14.5" x14ac:dyDescent="0.35">
      <c r="A1059" s="3"/>
      <c r="B1059" s="2"/>
      <c r="C1059" s="2"/>
      <c r="D1059" s="4"/>
      <c r="E1059" s="2"/>
      <c r="F1059" s="2"/>
      <c r="G1059" s="3" t="str">
        <f t="shared" si="96"/>
        <v/>
      </c>
      <c r="H1059" s="3"/>
      <c r="I1059" s="3"/>
      <c r="J1059" s="2"/>
      <c r="K1059" s="2"/>
      <c r="L1059" s="2"/>
      <c r="M1059" s="4"/>
      <c r="N1059" s="2"/>
      <c r="O1059" s="5" t="str">
        <f t="shared" ca="1" si="97"/>
        <v/>
      </c>
      <c r="P1059" s="6"/>
      <c r="V1059" t="str">
        <f t="shared" si="98"/>
        <v/>
      </c>
      <c r="W1059" t="str">
        <f t="shared" si="99"/>
        <v/>
      </c>
      <c r="X1059" t="str">
        <f t="shared" si="100"/>
        <v/>
      </c>
      <c r="Y1059" t="str">
        <f t="shared" si="101"/>
        <v/>
      </c>
    </row>
    <row r="1060" spans="1:25" ht="14.5" x14ac:dyDescent="0.35">
      <c r="A1060" s="3"/>
      <c r="B1060" s="2"/>
      <c r="C1060" s="2"/>
      <c r="D1060" s="4"/>
      <c r="E1060" s="2"/>
      <c r="F1060" s="2"/>
      <c r="G1060" s="3" t="str">
        <f t="shared" si="96"/>
        <v/>
      </c>
      <c r="H1060" s="3"/>
      <c r="I1060" s="3"/>
      <c r="J1060" s="2"/>
      <c r="K1060" s="2"/>
      <c r="L1060" s="2"/>
      <c r="M1060" s="4"/>
      <c r="N1060" s="2"/>
      <c r="O1060" s="5" t="str">
        <f t="shared" ca="1" si="97"/>
        <v/>
      </c>
      <c r="P1060" s="6"/>
      <c r="V1060" t="str">
        <f t="shared" si="98"/>
        <v/>
      </c>
      <c r="W1060" t="str">
        <f t="shared" si="99"/>
        <v/>
      </c>
      <c r="X1060" t="str">
        <f t="shared" si="100"/>
        <v/>
      </c>
      <c r="Y1060" t="str">
        <f t="shared" si="101"/>
        <v/>
      </c>
    </row>
    <row r="1061" spans="1:25" ht="14.5" x14ac:dyDescent="0.35">
      <c r="A1061" s="3"/>
      <c r="B1061" s="2"/>
      <c r="C1061" s="2"/>
      <c r="D1061" s="4"/>
      <c r="E1061" s="2"/>
      <c r="F1061" s="2"/>
      <c r="G1061" s="3" t="str">
        <f t="shared" si="96"/>
        <v/>
      </c>
      <c r="H1061" s="3"/>
      <c r="I1061" s="3"/>
      <c r="J1061" s="2"/>
      <c r="K1061" s="2"/>
      <c r="L1061" s="2"/>
      <c r="M1061" s="4"/>
      <c r="N1061" s="2"/>
      <c r="O1061" s="5" t="str">
        <f t="shared" ca="1" si="97"/>
        <v/>
      </c>
      <c r="P1061" s="6"/>
      <c r="V1061" t="str">
        <f t="shared" si="98"/>
        <v/>
      </c>
      <c r="W1061" t="str">
        <f t="shared" si="99"/>
        <v/>
      </c>
      <c r="X1061" t="str">
        <f t="shared" si="100"/>
        <v/>
      </c>
      <c r="Y1061" t="str">
        <f t="shared" si="101"/>
        <v/>
      </c>
    </row>
    <row r="1062" spans="1:25" ht="14.5" x14ac:dyDescent="0.35">
      <c r="A1062" s="3"/>
      <c r="B1062" s="2"/>
      <c r="C1062" s="2"/>
      <c r="D1062" s="4"/>
      <c r="E1062" s="2"/>
      <c r="F1062" s="2"/>
      <c r="G1062" s="3" t="str">
        <f t="shared" si="96"/>
        <v/>
      </c>
      <c r="H1062" s="3"/>
      <c r="I1062" s="3"/>
      <c r="J1062" s="2"/>
      <c r="K1062" s="2"/>
      <c r="L1062" s="2"/>
      <c r="M1062" s="4"/>
      <c r="N1062" s="2"/>
      <c r="O1062" s="5" t="str">
        <f t="shared" ca="1" si="97"/>
        <v/>
      </c>
      <c r="P1062" s="6"/>
      <c r="V1062" t="str">
        <f t="shared" si="98"/>
        <v/>
      </c>
      <c r="W1062" t="str">
        <f t="shared" si="99"/>
        <v/>
      </c>
      <c r="X1062" t="str">
        <f t="shared" si="100"/>
        <v/>
      </c>
      <c r="Y1062" t="str">
        <f t="shared" si="101"/>
        <v/>
      </c>
    </row>
    <row r="1063" spans="1:25" ht="14.5" x14ac:dyDescent="0.35">
      <c r="A1063" s="3"/>
      <c r="B1063" s="2"/>
      <c r="C1063" s="2"/>
      <c r="D1063" s="4"/>
      <c r="E1063" s="2"/>
      <c r="F1063" s="2"/>
      <c r="G1063" s="3" t="str">
        <f t="shared" si="96"/>
        <v/>
      </c>
      <c r="H1063" s="3"/>
      <c r="I1063" s="3"/>
      <c r="J1063" s="2"/>
      <c r="K1063" s="2"/>
      <c r="L1063" s="2"/>
      <c r="M1063" s="4"/>
      <c r="N1063" s="2"/>
      <c r="O1063" s="5" t="str">
        <f t="shared" ca="1" si="97"/>
        <v/>
      </c>
      <c r="P1063" s="6"/>
      <c r="V1063" t="str">
        <f t="shared" si="98"/>
        <v/>
      </c>
      <c r="W1063" t="str">
        <f t="shared" si="99"/>
        <v/>
      </c>
      <c r="X1063" t="str">
        <f t="shared" si="100"/>
        <v/>
      </c>
      <c r="Y1063" t="str">
        <f t="shared" si="101"/>
        <v/>
      </c>
    </row>
    <row r="1064" spans="1:25" ht="14.5" x14ac:dyDescent="0.35">
      <c r="A1064" s="3"/>
      <c r="B1064" s="2"/>
      <c r="C1064" s="2"/>
      <c r="D1064" s="4"/>
      <c r="E1064" s="2"/>
      <c r="F1064" s="2"/>
      <c r="G1064" s="3" t="str">
        <f t="shared" si="96"/>
        <v/>
      </c>
      <c r="H1064" s="3"/>
      <c r="I1064" s="3"/>
      <c r="J1064" s="2"/>
      <c r="K1064" s="2"/>
      <c r="L1064" s="2"/>
      <c r="M1064" s="4"/>
      <c r="N1064" s="2"/>
      <c r="O1064" s="5" t="str">
        <f t="shared" ca="1" si="97"/>
        <v/>
      </c>
      <c r="P1064" s="6"/>
      <c r="V1064" t="str">
        <f t="shared" si="98"/>
        <v/>
      </c>
      <c r="W1064" t="str">
        <f t="shared" si="99"/>
        <v/>
      </c>
      <c r="X1064" t="str">
        <f t="shared" si="100"/>
        <v/>
      </c>
      <c r="Y1064" t="str">
        <f t="shared" si="101"/>
        <v/>
      </c>
    </row>
    <row r="1065" spans="1:25" ht="14.5" x14ac:dyDescent="0.35">
      <c r="A1065" s="3"/>
      <c r="B1065" s="2"/>
      <c r="C1065" s="2"/>
      <c r="D1065" s="4"/>
      <c r="E1065" s="2"/>
      <c r="F1065" s="2"/>
      <c r="G1065" s="3" t="str">
        <f t="shared" si="96"/>
        <v/>
      </c>
      <c r="H1065" s="3"/>
      <c r="I1065" s="3"/>
      <c r="J1065" s="2"/>
      <c r="K1065" s="2"/>
      <c r="L1065" s="2"/>
      <c r="M1065" s="4"/>
      <c r="N1065" s="2"/>
      <c r="O1065" s="5" t="str">
        <f t="shared" ca="1" si="97"/>
        <v/>
      </c>
      <c r="P1065" s="6"/>
      <c r="V1065" t="str">
        <f t="shared" si="98"/>
        <v/>
      </c>
      <c r="W1065" t="str">
        <f t="shared" si="99"/>
        <v/>
      </c>
      <c r="X1065" t="str">
        <f t="shared" si="100"/>
        <v/>
      </c>
      <c r="Y1065" t="str">
        <f t="shared" si="101"/>
        <v/>
      </c>
    </row>
    <row r="1066" spans="1:25" ht="14.5" x14ac:dyDescent="0.35">
      <c r="A1066" s="3"/>
      <c r="B1066" s="2"/>
      <c r="C1066" s="2"/>
      <c r="D1066" s="4"/>
      <c r="E1066" s="2"/>
      <c r="F1066" s="2"/>
      <c r="G1066" s="3" t="str">
        <f t="shared" si="96"/>
        <v/>
      </c>
      <c r="H1066" s="3"/>
      <c r="I1066" s="3"/>
      <c r="J1066" s="2"/>
      <c r="K1066" s="2"/>
      <c r="L1066" s="2"/>
      <c r="M1066" s="4"/>
      <c r="N1066" s="2"/>
      <c r="O1066" s="5" t="str">
        <f t="shared" ca="1" si="97"/>
        <v/>
      </c>
      <c r="P1066" s="6"/>
      <c r="V1066" t="str">
        <f t="shared" si="98"/>
        <v/>
      </c>
      <c r="W1066" t="str">
        <f t="shared" si="99"/>
        <v/>
      </c>
      <c r="X1066" t="str">
        <f t="shared" si="100"/>
        <v/>
      </c>
      <c r="Y1066" t="str">
        <f t="shared" si="101"/>
        <v/>
      </c>
    </row>
    <row r="1067" spans="1:25" ht="14.5" x14ac:dyDescent="0.35">
      <c r="A1067" s="3"/>
      <c r="B1067" s="2"/>
      <c r="C1067" s="2"/>
      <c r="D1067" s="4"/>
      <c r="E1067" s="2"/>
      <c r="F1067" s="2"/>
      <c r="G1067" s="3" t="str">
        <f t="shared" si="96"/>
        <v/>
      </c>
      <c r="H1067" s="3"/>
      <c r="I1067" s="3"/>
      <c r="J1067" s="2"/>
      <c r="K1067" s="2"/>
      <c r="L1067" s="2"/>
      <c r="M1067" s="4"/>
      <c r="N1067" s="2"/>
      <c r="O1067" s="5" t="str">
        <f t="shared" ca="1" si="97"/>
        <v/>
      </c>
      <c r="P1067" s="6"/>
      <c r="V1067" t="str">
        <f t="shared" si="98"/>
        <v/>
      </c>
      <c r="W1067" t="str">
        <f t="shared" si="99"/>
        <v/>
      </c>
      <c r="X1067" t="str">
        <f t="shared" si="100"/>
        <v/>
      </c>
      <c r="Y1067" t="str">
        <f t="shared" si="101"/>
        <v/>
      </c>
    </row>
    <row r="1068" spans="1:25" ht="14.5" x14ac:dyDescent="0.35">
      <c r="A1068" s="3"/>
      <c r="B1068" s="2"/>
      <c r="C1068" s="2"/>
      <c r="D1068" s="4"/>
      <c r="E1068" s="2"/>
      <c r="F1068" s="2"/>
      <c r="G1068" s="3" t="str">
        <f t="shared" si="96"/>
        <v/>
      </c>
      <c r="H1068" s="3"/>
      <c r="I1068" s="3"/>
      <c r="J1068" s="2"/>
      <c r="K1068" s="2"/>
      <c r="L1068" s="2"/>
      <c r="M1068" s="4"/>
      <c r="N1068" s="2"/>
      <c r="O1068" s="5" t="str">
        <f t="shared" ca="1" si="97"/>
        <v/>
      </c>
      <c r="P1068" s="6"/>
      <c r="V1068" t="str">
        <f t="shared" si="98"/>
        <v/>
      </c>
      <c r="W1068" t="str">
        <f t="shared" si="99"/>
        <v/>
      </c>
      <c r="X1068" t="str">
        <f t="shared" si="100"/>
        <v/>
      </c>
      <c r="Y1068" t="str">
        <f t="shared" si="101"/>
        <v/>
      </c>
    </row>
    <row r="1069" spans="1:25" ht="14.5" x14ac:dyDescent="0.35">
      <c r="A1069" s="3"/>
      <c r="B1069" s="2"/>
      <c r="C1069" s="2"/>
      <c r="D1069" s="4"/>
      <c r="E1069" s="2"/>
      <c r="F1069" s="2"/>
      <c r="G1069" s="3" t="str">
        <f t="shared" si="96"/>
        <v/>
      </c>
      <c r="H1069" s="3"/>
      <c r="I1069" s="3"/>
      <c r="J1069" s="2"/>
      <c r="K1069" s="2"/>
      <c r="L1069" s="2"/>
      <c r="M1069" s="4"/>
      <c r="N1069" s="2"/>
      <c r="O1069" s="5" t="str">
        <f t="shared" ca="1" si="97"/>
        <v/>
      </c>
      <c r="P1069" s="6"/>
      <c r="V1069" t="str">
        <f t="shared" si="98"/>
        <v/>
      </c>
      <c r="W1069" t="str">
        <f t="shared" si="99"/>
        <v/>
      </c>
      <c r="X1069" t="str">
        <f t="shared" si="100"/>
        <v/>
      </c>
      <c r="Y1069" t="str">
        <f t="shared" si="101"/>
        <v/>
      </c>
    </row>
    <row r="1070" spans="1:25" ht="14.5" x14ac:dyDescent="0.35">
      <c r="A1070" s="3"/>
      <c r="B1070" s="2"/>
      <c r="C1070" s="2"/>
      <c r="D1070" s="4"/>
      <c r="E1070" s="2"/>
      <c r="F1070" s="2"/>
      <c r="G1070" s="3" t="str">
        <f t="shared" si="96"/>
        <v/>
      </c>
      <c r="H1070" s="3"/>
      <c r="I1070" s="3"/>
      <c r="J1070" s="2"/>
      <c r="K1070" s="2"/>
      <c r="L1070" s="2"/>
      <c r="M1070" s="4"/>
      <c r="N1070" s="2"/>
      <c r="O1070" s="5" t="str">
        <f t="shared" ca="1" si="97"/>
        <v/>
      </c>
      <c r="P1070" s="6"/>
      <c r="V1070" t="str">
        <f t="shared" si="98"/>
        <v/>
      </c>
      <c r="W1070" t="str">
        <f t="shared" si="99"/>
        <v/>
      </c>
      <c r="X1070" t="str">
        <f t="shared" si="100"/>
        <v/>
      </c>
      <c r="Y1070" t="str">
        <f t="shared" si="101"/>
        <v/>
      </c>
    </row>
    <row r="1071" spans="1:25" ht="14.5" x14ac:dyDescent="0.35">
      <c r="A1071" s="3"/>
      <c r="B1071" s="2"/>
      <c r="C1071" s="2"/>
      <c r="D1071" s="4"/>
      <c r="E1071" s="2"/>
      <c r="F1071" s="2"/>
      <c r="G1071" s="3" t="str">
        <f t="shared" si="96"/>
        <v/>
      </c>
      <c r="H1071" s="3"/>
      <c r="I1071" s="3"/>
      <c r="J1071" s="2"/>
      <c r="K1071" s="2"/>
      <c r="L1071" s="2"/>
      <c r="M1071" s="4"/>
      <c r="N1071" s="2"/>
      <c r="O1071" s="5" t="str">
        <f t="shared" ca="1" si="97"/>
        <v/>
      </c>
      <c r="P1071" s="6"/>
      <c r="V1071" t="str">
        <f t="shared" si="98"/>
        <v/>
      </c>
      <c r="W1071" t="str">
        <f t="shared" si="99"/>
        <v/>
      </c>
      <c r="X1071" t="str">
        <f t="shared" si="100"/>
        <v/>
      </c>
      <c r="Y1071" t="str">
        <f t="shared" si="101"/>
        <v/>
      </c>
    </row>
    <row r="1072" spans="1:25" ht="14.5" x14ac:dyDescent="0.35">
      <c r="A1072" s="3"/>
      <c r="B1072" s="2"/>
      <c r="C1072" s="2"/>
      <c r="D1072" s="4"/>
      <c r="E1072" s="2"/>
      <c r="F1072" s="2"/>
      <c r="G1072" s="3" t="str">
        <f t="shared" si="96"/>
        <v/>
      </c>
      <c r="H1072" s="3"/>
      <c r="I1072" s="3"/>
      <c r="J1072" s="2"/>
      <c r="K1072" s="2"/>
      <c r="L1072" s="2"/>
      <c r="M1072" s="4"/>
      <c r="N1072" s="2"/>
      <c r="O1072" s="5" t="str">
        <f t="shared" ca="1" si="97"/>
        <v/>
      </c>
      <c r="P1072" s="6"/>
      <c r="V1072" t="str">
        <f t="shared" si="98"/>
        <v/>
      </c>
      <c r="W1072" t="str">
        <f t="shared" si="99"/>
        <v/>
      </c>
      <c r="X1072" t="str">
        <f t="shared" si="100"/>
        <v/>
      </c>
      <c r="Y1072" t="str">
        <f t="shared" si="101"/>
        <v/>
      </c>
    </row>
    <row r="1073" spans="1:25" ht="14.5" x14ac:dyDescent="0.35">
      <c r="A1073" s="3"/>
      <c r="B1073" s="2"/>
      <c r="C1073" s="2"/>
      <c r="D1073" s="4"/>
      <c r="E1073" s="2"/>
      <c r="F1073" s="2"/>
      <c r="G1073" s="3" t="str">
        <f t="shared" si="96"/>
        <v/>
      </c>
      <c r="H1073" s="3"/>
      <c r="I1073" s="3"/>
      <c r="J1073" s="2"/>
      <c r="K1073" s="2"/>
      <c r="L1073" s="2"/>
      <c r="M1073" s="4"/>
      <c r="N1073" s="2"/>
      <c r="O1073" s="5" t="str">
        <f t="shared" ca="1" si="97"/>
        <v/>
      </c>
      <c r="P1073" s="6"/>
      <c r="V1073" t="str">
        <f t="shared" si="98"/>
        <v/>
      </c>
      <c r="W1073" t="str">
        <f t="shared" si="99"/>
        <v/>
      </c>
      <c r="X1073" t="str">
        <f t="shared" si="100"/>
        <v/>
      </c>
      <c r="Y1073" t="str">
        <f t="shared" si="101"/>
        <v/>
      </c>
    </row>
    <row r="1074" spans="1:25" ht="14.5" x14ac:dyDescent="0.35">
      <c r="A1074" s="3"/>
      <c r="B1074" s="2"/>
      <c r="C1074" s="2"/>
      <c r="D1074" s="4"/>
      <c r="E1074" s="2"/>
      <c r="F1074" s="2"/>
      <c r="G1074" s="3" t="str">
        <f t="shared" si="96"/>
        <v/>
      </c>
      <c r="H1074" s="3"/>
      <c r="I1074" s="3"/>
      <c r="J1074" s="2"/>
      <c r="K1074" s="2"/>
      <c r="L1074" s="2"/>
      <c r="M1074" s="4"/>
      <c r="N1074" s="2"/>
      <c r="O1074" s="5" t="str">
        <f t="shared" ca="1" si="97"/>
        <v/>
      </c>
      <c r="P1074" s="6"/>
      <c r="V1074" t="str">
        <f t="shared" si="98"/>
        <v/>
      </c>
      <c r="W1074" t="str">
        <f t="shared" si="99"/>
        <v/>
      </c>
      <c r="X1074" t="str">
        <f t="shared" si="100"/>
        <v/>
      </c>
      <c r="Y1074" t="str">
        <f t="shared" si="101"/>
        <v/>
      </c>
    </row>
    <row r="1075" spans="1:25" ht="14.5" x14ac:dyDescent="0.35">
      <c r="A1075" s="3"/>
      <c r="B1075" s="2"/>
      <c r="C1075" s="2"/>
      <c r="D1075" s="4"/>
      <c r="E1075" s="2"/>
      <c r="F1075" s="2"/>
      <c r="G1075" s="3" t="str">
        <f t="shared" si="96"/>
        <v/>
      </c>
      <c r="H1075" s="3"/>
      <c r="I1075" s="3"/>
      <c r="J1075" s="2"/>
      <c r="K1075" s="2"/>
      <c r="L1075" s="2"/>
      <c r="M1075" s="4"/>
      <c r="N1075" s="2"/>
      <c r="O1075" s="5" t="str">
        <f t="shared" ca="1" si="97"/>
        <v/>
      </c>
      <c r="P1075" s="6"/>
      <c r="V1075" t="str">
        <f t="shared" si="98"/>
        <v/>
      </c>
      <c r="W1075" t="str">
        <f t="shared" si="99"/>
        <v/>
      </c>
      <c r="X1075" t="str">
        <f t="shared" si="100"/>
        <v/>
      </c>
      <c r="Y1075" t="str">
        <f t="shared" si="101"/>
        <v/>
      </c>
    </row>
    <row r="1076" spans="1:25" ht="14.5" x14ac:dyDescent="0.35">
      <c r="A1076" s="3"/>
      <c r="B1076" s="2"/>
      <c r="C1076" s="2"/>
      <c r="D1076" s="4"/>
      <c r="E1076" s="2"/>
      <c r="F1076" s="2"/>
      <c r="G1076" s="3" t="str">
        <f t="shared" si="96"/>
        <v/>
      </c>
      <c r="H1076" s="3"/>
      <c r="I1076" s="3"/>
      <c r="J1076" s="2"/>
      <c r="K1076" s="2"/>
      <c r="L1076" s="2"/>
      <c r="M1076" s="4"/>
      <c r="N1076" s="2"/>
      <c r="O1076" s="5" t="str">
        <f t="shared" ca="1" si="97"/>
        <v/>
      </c>
      <c r="P1076" s="6"/>
      <c r="V1076" t="str">
        <f t="shared" si="98"/>
        <v/>
      </c>
      <c r="W1076" t="str">
        <f t="shared" si="99"/>
        <v/>
      </c>
      <c r="X1076" t="str">
        <f t="shared" si="100"/>
        <v/>
      </c>
      <c r="Y1076" t="str">
        <f t="shared" si="101"/>
        <v/>
      </c>
    </row>
    <row r="1077" spans="1:25" ht="14.5" x14ac:dyDescent="0.35">
      <c r="A1077" s="3"/>
      <c r="B1077" s="2"/>
      <c r="C1077" s="2"/>
      <c r="D1077" s="4"/>
      <c r="E1077" s="2"/>
      <c r="F1077" s="2"/>
      <c r="G1077" s="3" t="str">
        <f t="shared" si="96"/>
        <v/>
      </c>
      <c r="H1077" s="3"/>
      <c r="I1077" s="3"/>
      <c r="J1077" s="2"/>
      <c r="K1077" s="2"/>
      <c r="L1077" s="2"/>
      <c r="M1077" s="4"/>
      <c r="N1077" s="2"/>
      <c r="O1077" s="5" t="str">
        <f t="shared" ca="1" si="97"/>
        <v/>
      </c>
      <c r="P1077" s="6"/>
      <c r="V1077" t="str">
        <f t="shared" si="98"/>
        <v/>
      </c>
      <c r="W1077" t="str">
        <f t="shared" si="99"/>
        <v/>
      </c>
      <c r="X1077" t="str">
        <f t="shared" si="100"/>
        <v/>
      </c>
      <c r="Y1077" t="str">
        <f t="shared" si="101"/>
        <v/>
      </c>
    </row>
    <row r="1078" spans="1:25" ht="14.5" x14ac:dyDescent="0.35">
      <c r="A1078" s="3"/>
      <c r="B1078" s="2"/>
      <c r="C1078" s="2"/>
      <c r="D1078" s="4"/>
      <c r="E1078" s="2"/>
      <c r="F1078" s="2"/>
      <c r="G1078" s="3" t="str">
        <f t="shared" si="96"/>
        <v/>
      </c>
      <c r="H1078" s="3"/>
      <c r="I1078" s="3"/>
      <c r="J1078" s="2"/>
      <c r="K1078" s="2"/>
      <c r="L1078" s="2"/>
      <c r="M1078" s="4"/>
      <c r="N1078" s="2"/>
      <c r="O1078" s="5" t="str">
        <f t="shared" ca="1" si="97"/>
        <v/>
      </c>
      <c r="P1078" s="6"/>
      <c r="V1078" t="str">
        <f t="shared" si="98"/>
        <v/>
      </c>
      <c r="W1078" t="str">
        <f t="shared" si="99"/>
        <v/>
      </c>
      <c r="X1078" t="str">
        <f t="shared" si="100"/>
        <v/>
      </c>
      <c r="Y1078" t="str">
        <f t="shared" si="101"/>
        <v/>
      </c>
    </row>
    <row r="1079" spans="1:25" ht="14.5" x14ac:dyDescent="0.35">
      <c r="A1079" s="3"/>
      <c r="B1079" s="2"/>
      <c r="C1079" s="2"/>
      <c r="D1079" s="4"/>
      <c r="E1079" s="2"/>
      <c r="F1079" s="2"/>
      <c r="G1079" s="3" t="str">
        <f t="shared" si="96"/>
        <v/>
      </c>
      <c r="H1079" s="3"/>
      <c r="I1079" s="3"/>
      <c r="J1079" s="2"/>
      <c r="K1079" s="2"/>
      <c r="L1079" s="2"/>
      <c r="M1079" s="4"/>
      <c r="N1079" s="2"/>
      <c r="O1079" s="5" t="str">
        <f t="shared" ca="1" si="97"/>
        <v/>
      </c>
      <c r="P1079" s="6"/>
      <c r="V1079" t="str">
        <f t="shared" si="98"/>
        <v/>
      </c>
      <c r="W1079" t="str">
        <f t="shared" si="99"/>
        <v/>
      </c>
      <c r="X1079" t="str">
        <f t="shared" si="100"/>
        <v/>
      </c>
      <c r="Y1079" t="str">
        <f t="shared" si="101"/>
        <v/>
      </c>
    </row>
    <row r="1080" spans="1:25" ht="14.5" x14ac:dyDescent="0.35">
      <c r="A1080" s="3"/>
      <c r="B1080" s="2"/>
      <c r="C1080" s="2"/>
      <c r="D1080" s="4"/>
      <c r="E1080" s="2"/>
      <c r="F1080" s="2"/>
      <c r="G1080" s="3" t="str">
        <f t="shared" si="96"/>
        <v/>
      </c>
      <c r="H1080" s="3"/>
      <c r="I1080" s="3"/>
      <c r="J1080" s="2"/>
      <c r="K1080" s="2"/>
      <c r="L1080" s="2"/>
      <c r="M1080" s="4"/>
      <c r="N1080" s="2"/>
      <c r="O1080" s="5" t="str">
        <f t="shared" ca="1" si="97"/>
        <v/>
      </c>
      <c r="P1080" s="6"/>
      <c r="V1080" t="str">
        <f t="shared" si="98"/>
        <v/>
      </c>
      <c r="W1080" t="str">
        <f t="shared" si="99"/>
        <v/>
      </c>
      <c r="X1080" t="str">
        <f t="shared" si="100"/>
        <v/>
      </c>
      <c r="Y1080" t="str">
        <f t="shared" si="101"/>
        <v/>
      </c>
    </row>
    <row r="1081" spans="1:25" ht="14.5" x14ac:dyDescent="0.35">
      <c r="A1081" s="3"/>
      <c r="B1081" s="2"/>
      <c r="C1081" s="2"/>
      <c r="D1081" s="4"/>
      <c r="E1081" s="2"/>
      <c r="F1081" s="2"/>
      <c r="G1081" s="3" t="str">
        <f t="shared" si="96"/>
        <v/>
      </c>
      <c r="H1081" s="3"/>
      <c r="I1081" s="3"/>
      <c r="J1081" s="2"/>
      <c r="K1081" s="2"/>
      <c r="L1081" s="2"/>
      <c r="M1081" s="4"/>
      <c r="N1081" s="2"/>
      <c r="O1081" s="5" t="str">
        <f t="shared" ca="1" si="97"/>
        <v/>
      </c>
      <c r="P1081" s="6"/>
      <c r="V1081" t="str">
        <f t="shared" si="98"/>
        <v/>
      </c>
      <c r="W1081" t="str">
        <f t="shared" si="99"/>
        <v/>
      </c>
      <c r="X1081" t="str">
        <f t="shared" si="100"/>
        <v/>
      </c>
      <c r="Y1081" t="str">
        <f t="shared" si="101"/>
        <v/>
      </c>
    </row>
    <row r="1082" spans="1:25" ht="14.5" x14ac:dyDescent="0.35">
      <c r="A1082" s="3"/>
      <c r="B1082" s="2"/>
      <c r="C1082" s="2"/>
      <c r="D1082" s="4"/>
      <c r="E1082" s="2"/>
      <c r="F1082" s="2"/>
      <c r="G1082" s="3" t="str">
        <f t="shared" si="96"/>
        <v/>
      </c>
      <c r="H1082" s="3"/>
      <c r="I1082" s="3"/>
      <c r="J1082" s="2"/>
      <c r="K1082" s="2"/>
      <c r="L1082" s="2"/>
      <c r="M1082" s="4"/>
      <c r="N1082" s="2"/>
      <c r="O1082" s="5" t="str">
        <f t="shared" ca="1" si="97"/>
        <v/>
      </c>
      <c r="P1082" s="6"/>
      <c r="V1082" t="str">
        <f t="shared" si="98"/>
        <v/>
      </c>
      <c r="W1082" t="str">
        <f t="shared" si="99"/>
        <v/>
      </c>
      <c r="X1082" t="str">
        <f t="shared" si="100"/>
        <v/>
      </c>
      <c r="Y1082" t="str">
        <f t="shared" si="101"/>
        <v/>
      </c>
    </row>
    <row r="1083" spans="1:25" ht="14.5" x14ac:dyDescent="0.35">
      <c r="A1083" s="3"/>
      <c r="B1083" s="2"/>
      <c r="C1083" s="2"/>
      <c r="D1083" s="4"/>
      <c r="E1083" s="2"/>
      <c r="F1083" s="2"/>
      <c r="G1083" s="3" t="str">
        <f t="shared" si="96"/>
        <v/>
      </c>
      <c r="H1083" s="3"/>
      <c r="I1083" s="3"/>
      <c r="J1083" s="2"/>
      <c r="K1083" s="2"/>
      <c r="L1083" s="2"/>
      <c r="M1083" s="4"/>
      <c r="N1083" s="2"/>
      <c r="O1083" s="5" t="str">
        <f t="shared" ca="1" si="97"/>
        <v/>
      </c>
      <c r="P1083" s="6"/>
      <c r="V1083" t="str">
        <f t="shared" si="98"/>
        <v/>
      </c>
      <c r="W1083" t="str">
        <f t="shared" si="99"/>
        <v/>
      </c>
      <c r="X1083" t="str">
        <f t="shared" si="100"/>
        <v/>
      </c>
      <c r="Y1083" t="str">
        <f t="shared" si="101"/>
        <v/>
      </c>
    </row>
    <row r="1084" spans="1:25" ht="14.5" x14ac:dyDescent="0.35">
      <c r="A1084" s="3"/>
      <c r="B1084" s="2"/>
      <c r="C1084" s="2"/>
      <c r="D1084" s="4"/>
      <c r="E1084" s="2"/>
      <c r="F1084" s="2"/>
      <c r="G1084" s="3" t="str">
        <f t="shared" si="96"/>
        <v/>
      </c>
      <c r="H1084" s="3"/>
      <c r="I1084" s="3"/>
      <c r="J1084" s="2"/>
      <c r="K1084" s="2"/>
      <c r="L1084" s="2"/>
      <c r="M1084" s="4"/>
      <c r="N1084" s="2"/>
      <c r="O1084" s="5" t="str">
        <f t="shared" ca="1" si="97"/>
        <v/>
      </c>
      <c r="P1084" s="6"/>
      <c r="V1084" t="str">
        <f t="shared" si="98"/>
        <v/>
      </c>
      <c r="W1084" t="str">
        <f t="shared" si="99"/>
        <v/>
      </c>
      <c r="X1084" t="str">
        <f t="shared" si="100"/>
        <v/>
      </c>
      <c r="Y1084" t="str">
        <f t="shared" si="101"/>
        <v/>
      </c>
    </row>
    <row r="1085" spans="1:25" ht="14.5" x14ac:dyDescent="0.35">
      <c r="A1085" s="3"/>
      <c r="B1085" s="2"/>
      <c r="C1085" s="2"/>
      <c r="D1085" s="4"/>
      <c r="E1085" s="2"/>
      <c r="F1085" s="2"/>
      <c r="G1085" s="3" t="str">
        <f t="shared" si="96"/>
        <v/>
      </c>
      <c r="H1085" s="3"/>
      <c r="I1085" s="3"/>
      <c r="J1085" s="2"/>
      <c r="K1085" s="2"/>
      <c r="L1085" s="2"/>
      <c r="M1085" s="4"/>
      <c r="N1085" s="2"/>
      <c r="O1085" s="5" t="str">
        <f t="shared" ca="1" si="97"/>
        <v/>
      </c>
      <c r="P1085" s="6"/>
      <c r="V1085" t="str">
        <f t="shared" si="98"/>
        <v/>
      </c>
      <c r="W1085" t="str">
        <f t="shared" si="99"/>
        <v/>
      </c>
      <c r="X1085" t="str">
        <f t="shared" si="100"/>
        <v/>
      </c>
      <c r="Y1085" t="str">
        <f t="shared" si="101"/>
        <v/>
      </c>
    </row>
    <row r="1086" spans="1:25" ht="14.5" x14ac:dyDescent="0.35">
      <c r="A1086" s="3"/>
      <c r="B1086" s="2"/>
      <c r="C1086" s="2"/>
      <c r="D1086" s="4"/>
      <c r="E1086" s="2"/>
      <c r="F1086" s="2"/>
      <c r="G1086" s="3" t="str">
        <f t="shared" si="96"/>
        <v/>
      </c>
      <c r="H1086" s="3"/>
      <c r="I1086" s="3"/>
      <c r="J1086" s="2"/>
      <c r="K1086" s="2"/>
      <c r="L1086" s="2"/>
      <c r="M1086" s="4"/>
      <c r="N1086" s="2"/>
      <c r="O1086" s="5" t="str">
        <f t="shared" ca="1" si="97"/>
        <v/>
      </c>
      <c r="P1086" s="6"/>
      <c r="V1086" t="str">
        <f t="shared" si="98"/>
        <v/>
      </c>
      <c r="W1086" t="str">
        <f t="shared" si="99"/>
        <v/>
      </c>
      <c r="X1086" t="str">
        <f t="shared" si="100"/>
        <v/>
      </c>
      <c r="Y1086" t="str">
        <f t="shared" si="101"/>
        <v/>
      </c>
    </row>
    <row r="1087" spans="1:25" ht="14.5" x14ac:dyDescent="0.35">
      <c r="A1087" s="3"/>
      <c r="B1087" s="2"/>
      <c r="C1087" s="2"/>
      <c r="D1087" s="4"/>
      <c r="E1087" s="2"/>
      <c r="F1087" s="2"/>
      <c r="G1087" s="3" t="str">
        <f t="shared" si="96"/>
        <v/>
      </c>
      <c r="H1087" s="3"/>
      <c r="I1087" s="3"/>
      <c r="J1087" s="2"/>
      <c r="K1087" s="2"/>
      <c r="L1087" s="2"/>
      <c r="M1087" s="4"/>
      <c r="N1087" s="2"/>
      <c r="O1087" s="5" t="str">
        <f t="shared" ca="1" si="97"/>
        <v/>
      </c>
      <c r="P1087" s="6"/>
      <c r="V1087" t="str">
        <f t="shared" si="98"/>
        <v/>
      </c>
      <c r="W1087" t="str">
        <f t="shared" si="99"/>
        <v/>
      </c>
      <c r="X1087" t="str">
        <f t="shared" si="100"/>
        <v/>
      </c>
      <c r="Y1087" t="str">
        <f t="shared" si="101"/>
        <v/>
      </c>
    </row>
    <row r="1088" spans="1:25" ht="14.5" x14ac:dyDescent="0.35">
      <c r="A1088" s="3"/>
      <c r="B1088" s="2"/>
      <c r="C1088" s="2"/>
      <c r="D1088" s="4"/>
      <c r="E1088" s="2"/>
      <c r="F1088" s="2"/>
      <c r="G1088" s="3" t="str">
        <f t="shared" si="96"/>
        <v/>
      </c>
      <c r="H1088" s="3"/>
      <c r="I1088" s="3"/>
      <c r="J1088" s="2"/>
      <c r="K1088" s="2"/>
      <c r="L1088" s="2"/>
      <c r="M1088" s="4"/>
      <c r="N1088" s="2"/>
      <c r="O1088" s="5" t="str">
        <f t="shared" ca="1" si="97"/>
        <v/>
      </c>
      <c r="P1088" s="6"/>
      <c r="V1088" t="str">
        <f t="shared" si="98"/>
        <v/>
      </c>
      <c r="W1088" t="str">
        <f t="shared" si="99"/>
        <v/>
      </c>
      <c r="X1088" t="str">
        <f t="shared" si="100"/>
        <v/>
      </c>
      <c r="Y1088" t="str">
        <f t="shared" si="101"/>
        <v/>
      </c>
    </row>
    <row r="1089" spans="1:25" ht="14.5" x14ac:dyDescent="0.35">
      <c r="A1089" s="3"/>
      <c r="B1089" s="2"/>
      <c r="C1089" s="2"/>
      <c r="D1089" s="4"/>
      <c r="E1089" s="2"/>
      <c r="F1089" s="2"/>
      <c r="G1089" s="3" t="str">
        <f t="shared" si="96"/>
        <v/>
      </c>
      <c r="H1089" s="3"/>
      <c r="I1089" s="3"/>
      <c r="J1089" s="2"/>
      <c r="K1089" s="2"/>
      <c r="L1089" s="2"/>
      <c r="M1089" s="4"/>
      <c r="N1089" s="2"/>
      <c r="O1089" s="5" t="str">
        <f t="shared" ca="1" si="97"/>
        <v/>
      </c>
      <c r="P1089" s="6"/>
      <c r="V1089" t="str">
        <f t="shared" si="98"/>
        <v/>
      </c>
      <c r="W1089" t="str">
        <f t="shared" si="99"/>
        <v/>
      </c>
      <c r="X1089" t="str">
        <f t="shared" si="100"/>
        <v/>
      </c>
      <c r="Y1089" t="str">
        <f t="shared" si="101"/>
        <v/>
      </c>
    </row>
    <row r="1090" spans="1:25" ht="14.5" x14ac:dyDescent="0.35">
      <c r="A1090" s="3"/>
      <c r="B1090" s="2"/>
      <c r="C1090" s="2"/>
      <c r="D1090" s="4"/>
      <c r="E1090" s="2"/>
      <c r="F1090" s="2"/>
      <c r="G1090" s="3" t="str">
        <f t="shared" ref="G1090:G1153" si="102">IF(COUNTIF($A$2:$A$1500,A1090&amp;".*")=0,"",COUNTIF($A$2:$A$1500,A1090&amp;".*"))</f>
        <v/>
      </c>
      <c r="H1090" s="3"/>
      <c r="I1090" s="3"/>
      <c r="J1090" s="2"/>
      <c r="K1090" s="2"/>
      <c r="L1090" s="2"/>
      <c r="M1090" s="4"/>
      <c r="N1090" s="2"/>
      <c r="O1090" s="5" t="str">
        <f t="shared" ref="O1090:O1153" ca="1" si="103">IF(M1090="","",INT(M1090)-TODAY())</f>
        <v/>
      </c>
      <c r="P1090" s="6"/>
      <c r="V1090" t="str">
        <f t="shared" ref="V1090:V1153" si="104">IF(M1090="","",M1090+Q1090/1000000)</f>
        <v/>
      </c>
      <c r="W1090" t="str">
        <f t="shared" ref="W1090:W1153" si="105">IF(U1090="","",IF(M1090="",9999999+Q1090/1000000,M1090+Q1090/1000000))</f>
        <v/>
      </c>
      <c r="X1090" t="str">
        <f t="shared" ref="X1090:X1153" si="106">IF(U1090="","",SUMPRODUCT(($U$2:$U$1500=U1090)*($W$2:$W$1500&lt;=W1090)))</f>
        <v/>
      </c>
      <c r="Y1090" t="str">
        <f t="shared" ref="Y1090:Y1153" si="107">IF(U1090="","",U1090&amp;"|"&amp;X1090)</f>
        <v/>
      </c>
    </row>
    <row r="1091" spans="1:25" ht="14.5" x14ac:dyDescent="0.35">
      <c r="A1091" s="3"/>
      <c r="B1091" s="2"/>
      <c r="C1091" s="2"/>
      <c r="D1091" s="4"/>
      <c r="E1091" s="2"/>
      <c r="F1091" s="2"/>
      <c r="G1091" s="3" t="str">
        <f t="shared" si="102"/>
        <v/>
      </c>
      <c r="H1091" s="3"/>
      <c r="I1091" s="3"/>
      <c r="J1091" s="2"/>
      <c r="K1091" s="2"/>
      <c r="L1091" s="2"/>
      <c r="M1091" s="4"/>
      <c r="N1091" s="2"/>
      <c r="O1091" s="5" t="str">
        <f t="shared" ca="1" si="103"/>
        <v/>
      </c>
      <c r="P1091" s="6"/>
      <c r="V1091" t="str">
        <f t="shared" si="104"/>
        <v/>
      </c>
      <c r="W1091" t="str">
        <f t="shared" si="105"/>
        <v/>
      </c>
      <c r="X1091" t="str">
        <f t="shared" si="106"/>
        <v/>
      </c>
      <c r="Y1091" t="str">
        <f t="shared" si="107"/>
        <v/>
      </c>
    </row>
    <row r="1092" spans="1:25" ht="14.5" x14ac:dyDescent="0.35">
      <c r="A1092" s="3"/>
      <c r="B1092" s="2"/>
      <c r="C1092" s="2"/>
      <c r="D1092" s="4"/>
      <c r="E1092" s="2"/>
      <c r="F1092" s="2"/>
      <c r="G1092" s="3" t="str">
        <f t="shared" si="102"/>
        <v/>
      </c>
      <c r="H1092" s="3"/>
      <c r="I1092" s="3"/>
      <c r="J1092" s="2"/>
      <c r="K1092" s="2"/>
      <c r="L1092" s="2"/>
      <c r="M1092" s="4"/>
      <c r="N1092" s="2"/>
      <c r="O1092" s="5" t="str">
        <f t="shared" ca="1" si="103"/>
        <v/>
      </c>
      <c r="P1092" s="6"/>
      <c r="V1092" t="str">
        <f t="shared" si="104"/>
        <v/>
      </c>
      <c r="W1092" t="str">
        <f t="shared" si="105"/>
        <v/>
      </c>
      <c r="X1092" t="str">
        <f t="shared" si="106"/>
        <v/>
      </c>
      <c r="Y1092" t="str">
        <f t="shared" si="107"/>
        <v/>
      </c>
    </row>
    <row r="1093" spans="1:25" ht="14.5" x14ac:dyDescent="0.35">
      <c r="A1093" s="3"/>
      <c r="B1093" s="2"/>
      <c r="C1093" s="2"/>
      <c r="D1093" s="4"/>
      <c r="E1093" s="2"/>
      <c r="F1093" s="2"/>
      <c r="G1093" s="3" t="str">
        <f t="shared" si="102"/>
        <v/>
      </c>
      <c r="H1093" s="3"/>
      <c r="I1093" s="3"/>
      <c r="J1093" s="2"/>
      <c r="K1093" s="2"/>
      <c r="L1093" s="2"/>
      <c r="M1093" s="4"/>
      <c r="N1093" s="2"/>
      <c r="O1093" s="5" t="str">
        <f t="shared" ca="1" si="103"/>
        <v/>
      </c>
      <c r="P1093" s="6"/>
      <c r="V1093" t="str">
        <f t="shared" si="104"/>
        <v/>
      </c>
      <c r="W1093" t="str">
        <f t="shared" si="105"/>
        <v/>
      </c>
      <c r="X1093" t="str">
        <f t="shared" si="106"/>
        <v/>
      </c>
      <c r="Y1093" t="str">
        <f t="shared" si="107"/>
        <v/>
      </c>
    </row>
    <row r="1094" spans="1:25" ht="14.5" x14ac:dyDescent="0.35">
      <c r="A1094" s="3"/>
      <c r="B1094" s="2"/>
      <c r="C1094" s="2"/>
      <c r="D1094" s="4"/>
      <c r="E1094" s="2"/>
      <c r="F1094" s="2"/>
      <c r="G1094" s="3" t="str">
        <f t="shared" si="102"/>
        <v/>
      </c>
      <c r="H1094" s="3"/>
      <c r="I1094" s="3"/>
      <c r="J1094" s="2"/>
      <c r="K1094" s="2"/>
      <c r="L1094" s="2"/>
      <c r="M1094" s="4"/>
      <c r="N1094" s="2"/>
      <c r="O1094" s="5" t="str">
        <f t="shared" ca="1" si="103"/>
        <v/>
      </c>
      <c r="P1094" s="6"/>
      <c r="V1094" t="str">
        <f t="shared" si="104"/>
        <v/>
      </c>
      <c r="W1094" t="str">
        <f t="shared" si="105"/>
        <v/>
      </c>
      <c r="X1094" t="str">
        <f t="shared" si="106"/>
        <v/>
      </c>
      <c r="Y1094" t="str">
        <f t="shared" si="107"/>
        <v/>
      </c>
    </row>
    <row r="1095" spans="1:25" ht="14.5" x14ac:dyDescent="0.35">
      <c r="A1095" s="3"/>
      <c r="B1095" s="2"/>
      <c r="C1095" s="2"/>
      <c r="D1095" s="4"/>
      <c r="E1095" s="2"/>
      <c r="F1095" s="2"/>
      <c r="G1095" s="3" t="str">
        <f t="shared" si="102"/>
        <v/>
      </c>
      <c r="H1095" s="3"/>
      <c r="I1095" s="3"/>
      <c r="J1095" s="2"/>
      <c r="K1095" s="2"/>
      <c r="L1095" s="2"/>
      <c r="M1095" s="4"/>
      <c r="N1095" s="2"/>
      <c r="O1095" s="5" t="str">
        <f t="shared" ca="1" si="103"/>
        <v/>
      </c>
      <c r="P1095" s="6"/>
      <c r="V1095" t="str">
        <f t="shared" si="104"/>
        <v/>
      </c>
      <c r="W1095" t="str">
        <f t="shared" si="105"/>
        <v/>
      </c>
      <c r="X1095" t="str">
        <f t="shared" si="106"/>
        <v/>
      </c>
      <c r="Y1095" t="str">
        <f t="shared" si="107"/>
        <v/>
      </c>
    </row>
    <row r="1096" spans="1:25" ht="14.5" x14ac:dyDescent="0.35">
      <c r="A1096" s="3"/>
      <c r="B1096" s="2"/>
      <c r="C1096" s="2"/>
      <c r="D1096" s="4"/>
      <c r="E1096" s="2"/>
      <c r="F1096" s="2"/>
      <c r="G1096" s="3" t="str">
        <f t="shared" si="102"/>
        <v/>
      </c>
      <c r="H1096" s="3"/>
      <c r="I1096" s="3"/>
      <c r="J1096" s="2"/>
      <c r="K1096" s="2"/>
      <c r="L1096" s="2"/>
      <c r="M1096" s="4"/>
      <c r="N1096" s="2"/>
      <c r="O1096" s="5" t="str">
        <f t="shared" ca="1" si="103"/>
        <v/>
      </c>
      <c r="P1096" s="6"/>
      <c r="V1096" t="str">
        <f t="shared" si="104"/>
        <v/>
      </c>
      <c r="W1096" t="str">
        <f t="shared" si="105"/>
        <v/>
      </c>
      <c r="X1096" t="str">
        <f t="shared" si="106"/>
        <v/>
      </c>
      <c r="Y1096" t="str">
        <f t="shared" si="107"/>
        <v/>
      </c>
    </row>
    <row r="1097" spans="1:25" ht="14.5" x14ac:dyDescent="0.35">
      <c r="A1097" s="3"/>
      <c r="B1097" s="2"/>
      <c r="C1097" s="2"/>
      <c r="D1097" s="4"/>
      <c r="E1097" s="2"/>
      <c r="F1097" s="2"/>
      <c r="G1097" s="3" t="str">
        <f t="shared" si="102"/>
        <v/>
      </c>
      <c r="H1097" s="3"/>
      <c r="I1097" s="3"/>
      <c r="J1097" s="2"/>
      <c r="K1097" s="2"/>
      <c r="L1097" s="2"/>
      <c r="M1097" s="4"/>
      <c r="N1097" s="2"/>
      <c r="O1097" s="5" t="str">
        <f t="shared" ca="1" si="103"/>
        <v/>
      </c>
      <c r="P1097" s="6"/>
      <c r="V1097" t="str">
        <f t="shared" si="104"/>
        <v/>
      </c>
      <c r="W1097" t="str">
        <f t="shared" si="105"/>
        <v/>
      </c>
      <c r="X1097" t="str">
        <f t="shared" si="106"/>
        <v/>
      </c>
      <c r="Y1097" t="str">
        <f t="shared" si="107"/>
        <v/>
      </c>
    </row>
    <row r="1098" spans="1:25" ht="14.5" x14ac:dyDescent="0.35">
      <c r="A1098" s="3"/>
      <c r="B1098" s="2"/>
      <c r="C1098" s="2"/>
      <c r="D1098" s="4"/>
      <c r="E1098" s="2"/>
      <c r="F1098" s="2"/>
      <c r="G1098" s="3" t="str">
        <f t="shared" si="102"/>
        <v/>
      </c>
      <c r="H1098" s="3"/>
      <c r="I1098" s="3"/>
      <c r="J1098" s="2"/>
      <c r="K1098" s="2"/>
      <c r="L1098" s="2"/>
      <c r="M1098" s="4"/>
      <c r="N1098" s="2"/>
      <c r="O1098" s="5" t="str">
        <f t="shared" ca="1" si="103"/>
        <v/>
      </c>
      <c r="P1098" s="6"/>
      <c r="V1098" t="str">
        <f t="shared" si="104"/>
        <v/>
      </c>
      <c r="W1098" t="str">
        <f t="shared" si="105"/>
        <v/>
      </c>
      <c r="X1098" t="str">
        <f t="shared" si="106"/>
        <v/>
      </c>
      <c r="Y1098" t="str">
        <f t="shared" si="107"/>
        <v/>
      </c>
    </row>
    <row r="1099" spans="1:25" ht="14.5" x14ac:dyDescent="0.35">
      <c r="A1099" s="3"/>
      <c r="B1099" s="2"/>
      <c r="C1099" s="2"/>
      <c r="D1099" s="4"/>
      <c r="E1099" s="2"/>
      <c r="F1099" s="2"/>
      <c r="G1099" s="3" t="str">
        <f t="shared" si="102"/>
        <v/>
      </c>
      <c r="H1099" s="3"/>
      <c r="I1099" s="3"/>
      <c r="J1099" s="2"/>
      <c r="K1099" s="2"/>
      <c r="L1099" s="2"/>
      <c r="M1099" s="4"/>
      <c r="N1099" s="2"/>
      <c r="O1099" s="5" t="str">
        <f t="shared" ca="1" si="103"/>
        <v/>
      </c>
      <c r="P1099" s="6"/>
      <c r="V1099" t="str">
        <f t="shared" si="104"/>
        <v/>
      </c>
      <c r="W1099" t="str">
        <f t="shared" si="105"/>
        <v/>
      </c>
      <c r="X1099" t="str">
        <f t="shared" si="106"/>
        <v/>
      </c>
      <c r="Y1099" t="str">
        <f t="shared" si="107"/>
        <v/>
      </c>
    </row>
    <row r="1100" spans="1:25" ht="14.5" x14ac:dyDescent="0.35">
      <c r="A1100" s="3"/>
      <c r="B1100" s="2"/>
      <c r="C1100" s="2"/>
      <c r="D1100" s="4"/>
      <c r="E1100" s="2"/>
      <c r="F1100" s="2"/>
      <c r="G1100" s="3" t="str">
        <f t="shared" si="102"/>
        <v/>
      </c>
      <c r="H1100" s="3"/>
      <c r="I1100" s="3"/>
      <c r="J1100" s="2"/>
      <c r="K1100" s="2"/>
      <c r="L1100" s="2"/>
      <c r="M1100" s="4"/>
      <c r="N1100" s="2"/>
      <c r="O1100" s="5" t="str">
        <f t="shared" ca="1" si="103"/>
        <v/>
      </c>
      <c r="P1100" s="6"/>
      <c r="V1100" t="str">
        <f t="shared" si="104"/>
        <v/>
      </c>
      <c r="W1100" t="str">
        <f t="shared" si="105"/>
        <v/>
      </c>
      <c r="X1100" t="str">
        <f t="shared" si="106"/>
        <v/>
      </c>
      <c r="Y1100" t="str">
        <f t="shared" si="107"/>
        <v/>
      </c>
    </row>
    <row r="1101" spans="1:25" ht="14.5" x14ac:dyDescent="0.35">
      <c r="A1101" s="3"/>
      <c r="B1101" s="2"/>
      <c r="C1101" s="2"/>
      <c r="D1101" s="4"/>
      <c r="E1101" s="2"/>
      <c r="F1101" s="2"/>
      <c r="G1101" s="3" t="str">
        <f t="shared" si="102"/>
        <v/>
      </c>
      <c r="H1101" s="3"/>
      <c r="I1101" s="3"/>
      <c r="J1101" s="2"/>
      <c r="K1101" s="2"/>
      <c r="L1101" s="2"/>
      <c r="M1101" s="4"/>
      <c r="N1101" s="2"/>
      <c r="O1101" s="5" t="str">
        <f t="shared" ca="1" si="103"/>
        <v/>
      </c>
      <c r="P1101" s="6"/>
      <c r="V1101" t="str">
        <f t="shared" si="104"/>
        <v/>
      </c>
      <c r="W1101" t="str">
        <f t="shared" si="105"/>
        <v/>
      </c>
      <c r="X1101" t="str">
        <f t="shared" si="106"/>
        <v/>
      </c>
      <c r="Y1101" t="str">
        <f t="shared" si="107"/>
        <v/>
      </c>
    </row>
    <row r="1102" spans="1:25" ht="14.5" x14ac:dyDescent="0.35">
      <c r="A1102" s="3"/>
      <c r="B1102" s="2"/>
      <c r="C1102" s="2"/>
      <c r="D1102" s="4"/>
      <c r="E1102" s="2"/>
      <c r="F1102" s="2"/>
      <c r="G1102" s="3" t="str">
        <f t="shared" si="102"/>
        <v/>
      </c>
      <c r="H1102" s="3"/>
      <c r="I1102" s="3"/>
      <c r="J1102" s="2"/>
      <c r="K1102" s="2"/>
      <c r="L1102" s="2"/>
      <c r="M1102" s="4"/>
      <c r="N1102" s="2"/>
      <c r="O1102" s="5" t="str">
        <f t="shared" ca="1" si="103"/>
        <v/>
      </c>
      <c r="P1102" s="6"/>
      <c r="V1102" t="str">
        <f t="shared" si="104"/>
        <v/>
      </c>
      <c r="W1102" t="str">
        <f t="shared" si="105"/>
        <v/>
      </c>
      <c r="X1102" t="str">
        <f t="shared" si="106"/>
        <v/>
      </c>
      <c r="Y1102" t="str">
        <f t="shared" si="107"/>
        <v/>
      </c>
    </row>
    <row r="1103" spans="1:25" ht="14.5" x14ac:dyDescent="0.35">
      <c r="A1103" s="3"/>
      <c r="B1103" s="2"/>
      <c r="C1103" s="2"/>
      <c r="D1103" s="4"/>
      <c r="E1103" s="2"/>
      <c r="F1103" s="2"/>
      <c r="G1103" s="3" t="str">
        <f t="shared" si="102"/>
        <v/>
      </c>
      <c r="H1103" s="3"/>
      <c r="I1103" s="3"/>
      <c r="J1103" s="2"/>
      <c r="K1103" s="2"/>
      <c r="L1103" s="2"/>
      <c r="M1103" s="4"/>
      <c r="N1103" s="2"/>
      <c r="O1103" s="5" t="str">
        <f t="shared" ca="1" si="103"/>
        <v/>
      </c>
      <c r="P1103" s="6"/>
      <c r="V1103" t="str">
        <f t="shared" si="104"/>
        <v/>
      </c>
      <c r="W1103" t="str">
        <f t="shared" si="105"/>
        <v/>
      </c>
      <c r="X1103" t="str">
        <f t="shared" si="106"/>
        <v/>
      </c>
      <c r="Y1103" t="str">
        <f t="shared" si="107"/>
        <v/>
      </c>
    </row>
    <row r="1104" spans="1:25" ht="14.5" x14ac:dyDescent="0.35">
      <c r="A1104" s="3"/>
      <c r="B1104" s="2"/>
      <c r="C1104" s="2"/>
      <c r="D1104" s="4"/>
      <c r="E1104" s="2"/>
      <c r="F1104" s="2"/>
      <c r="G1104" s="3" t="str">
        <f t="shared" si="102"/>
        <v/>
      </c>
      <c r="H1104" s="3"/>
      <c r="I1104" s="3"/>
      <c r="J1104" s="2"/>
      <c r="K1104" s="2"/>
      <c r="L1104" s="2"/>
      <c r="M1104" s="4"/>
      <c r="N1104" s="2"/>
      <c r="O1104" s="5" t="str">
        <f t="shared" ca="1" si="103"/>
        <v/>
      </c>
      <c r="P1104" s="6"/>
      <c r="V1104" t="str">
        <f t="shared" si="104"/>
        <v/>
      </c>
      <c r="W1104" t="str">
        <f t="shared" si="105"/>
        <v/>
      </c>
      <c r="X1104" t="str">
        <f t="shared" si="106"/>
        <v/>
      </c>
      <c r="Y1104" t="str">
        <f t="shared" si="107"/>
        <v/>
      </c>
    </row>
    <row r="1105" spans="1:25" ht="14.5" x14ac:dyDescent="0.35">
      <c r="A1105" s="3"/>
      <c r="B1105" s="2"/>
      <c r="C1105" s="2"/>
      <c r="D1105" s="4"/>
      <c r="E1105" s="2"/>
      <c r="F1105" s="2"/>
      <c r="G1105" s="3" t="str">
        <f t="shared" si="102"/>
        <v/>
      </c>
      <c r="H1105" s="3"/>
      <c r="I1105" s="3"/>
      <c r="J1105" s="2"/>
      <c r="K1105" s="2"/>
      <c r="L1105" s="2"/>
      <c r="M1105" s="4"/>
      <c r="N1105" s="2"/>
      <c r="O1105" s="5" t="str">
        <f t="shared" ca="1" si="103"/>
        <v/>
      </c>
      <c r="P1105" s="6"/>
      <c r="V1105" t="str">
        <f t="shared" si="104"/>
        <v/>
      </c>
      <c r="W1105" t="str">
        <f t="shared" si="105"/>
        <v/>
      </c>
      <c r="X1105" t="str">
        <f t="shared" si="106"/>
        <v/>
      </c>
      <c r="Y1105" t="str">
        <f t="shared" si="107"/>
        <v/>
      </c>
    </row>
    <row r="1106" spans="1:25" ht="14.5" x14ac:dyDescent="0.35">
      <c r="A1106" s="3"/>
      <c r="B1106" s="2"/>
      <c r="C1106" s="2"/>
      <c r="D1106" s="4"/>
      <c r="E1106" s="2"/>
      <c r="F1106" s="2"/>
      <c r="G1106" s="3" t="str">
        <f t="shared" si="102"/>
        <v/>
      </c>
      <c r="H1106" s="3"/>
      <c r="I1106" s="3"/>
      <c r="J1106" s="2"/>
      <c r="K1106" s="2"/>
      <c r="L1106" s="2"/>
      <c r="M1106" s="4"/>
      <c r="N1106" s="2"/>
      <c r="O1106" s="5" t="str">
        <f t="shared" ca="1" si="103"/>
        <v/>
      </c>
      <c r="P1106" s="6"/>
      <c r="V1106" t="str">
        <f t="shared" si="104"/>
        <v/>
      </c>
      <c r="W1106" t="str">
        <f t="shared" si="105"/>
        <v/>
      </c>
      <c r="X1106" t="str">
        <f t="shared" si="106"/>
        <v/>
      </c>
      <c r="Y1106" t="str">
        <f t="shared" si="107"/>
        <v/>
      </c>
    </row>
    <row r="1107" spans="1:25" ht="14.5" x14ac:dyDescent="0.35">
      <c r="A1107" s="3"/>
      <c r="B1107" s="2"/>
      <c r="C1107" s="2"/>
      <c r="D1107" s="4"/>
      <c r="E1107" s="2"/>
      <c r="F1107" s="2"/>
      <c r="G1107" s="3" t="str">
        <f t="shared" si="102"/>
        <v/>
      </c>
      <c r="H1107" s="3"/>
      <c r="I1107" s="3"/>
      <c r="J1107" s="2"/>
      <c r="K1107" s="2"/>
      <c r="L1107" s="2"/>
      <c r="M1107" s="4"/>
      <c r="N1107" s="2"/>
      <c r="O1107" s="5" t="str">
        <f t="shared" ca="1" si="103"/>
        <v/>
      </c>
      <c r="P1107" s="6"/>
      <c r="V1107" t="str">
        <f t="shared" si="104"/>
        <v/>
      </c>
      <c r="W1107" t="str">
        <f t="shared" si="105"/>
        <v/>
      </c>
      <c r="X1107" t="str">
        <f t="shared" si="106"/>
        <v/>
      </c>
      <c r="Y1107" t="str">
        <f t="shared" si="107"/>
        <v/>
      </c>
    </row>
    <row r="1108" spans="1:25" ht="14.5" x14ac:dyDescent="0.35">
      <c r="A1108" s="3"/>
      <c r="B1108" s="2"/>
      <c r="C1108" s="2"/>
      <c r="D1108" s="4"/>
      <c r="E1108" s="2"/>
      <c r="F1108" s="2"/>
      <c r="G1108" s="3" t="str">
        <f t="shared" si="102"/>
        <v/>
      </c>
      <c r="H1108" s="3"/>
      <c r="I1108" s="3"/>
      <c r="J1108" s="2"/>
      <c r="K1108" s="2"/>
      <c r="L1108" s="2"/>
      <c r="M1108" s="4"/>
      <c r="N1108" s="2"/>
      <c r="O1108" s="5" t="str">
        <f t="shared" ca="1" si="103"/>
        <v/>
      </c>
      <c r="P1108" s="6"/>
      <c r="V1108" t="str">
        <f t="shared" si="104"/>
        <v/>
      </c>
      <c r="W1108" t="str">
        <f t="shared" si="105"/>
        <v/>
      </c>
      <c r="X1108" t="str">
        <f t="shared" si="106"/>
        <v/>
      </c>
      <c r="Y1108" t="str">
        <f t="shared" si="107"/>
        <v/>
      </c>
    </row>
    <row r="1109" spans="1:25" ht="14.5" x14ac:dyDescent="0.35">
      <c r="A1109" s="3"/>
      <c r="B1109" s="2"/>
      <c r="C1109" s="2"/>
      <c r="D1109" s="4"/>
      <c r="E1109" s="2"/>
      <c r="F1109" s="2"/>
      <c r="G1109" s="3" t="str">
        <f t="shared" si="102"/>
        <v/>
      </c>
      <c r="H1109" s="3"/>
      <c r="I1109" s="3"/>
      <c r="J1109" s="2"/>
      <c r="K1109" s="2"/>
      <c r="L1109" s="2"/>
      <c r="M1109" s="4"/>
      <c r="N1109" s="2"/>
      <c r="O1109" s="5" t="str">
        <f t="shared" ca="1" si="103"/>
        <v/>
      </c>
      <c r="P1109" s="6"/>
      <c r="V1109" t="str">
        <f t="shared" si="104"/>
        <v/>
      </c>
      <c r="W1109" t="str">
        <f t="shared" si="105"/>
        <v/>
      </c>
      <c r="X1109" t="str">
        <f t="shared" si="106"/>
        <v/>
      </c>
      <c r="Y1109" t="str">
        <f t="shared" si="107"/>
        <v/>
      </c>
    </row>
    <row r="1110" spans="1:25" ht="14.5" x14ac:dyDescent="0.35">
      <c r="A1110" s="3"/>
      <c r="B1110" s="2"/>
      <c r="C1110" s="2"/>
      <c r="D1110" s="4"/>
      <c r="E1110" s="2"/>
      <c r="F1110" s="2"/>
      <c r="G1110" s="3" t="str">
        <f t="shared" si="102"/>
        <v/>
      </c>
      <c r="H1110" s="3"/>
      <c r="I1110" s="3"/>
      <c r="J1110" s="2"/>
      <c r="K1110" s="2"/>
      <c r="L1110" s="2"/>
      <c r="M1110" s="4"/>
      <c r="N1110" s="2"/>
      <c r="O1110" s="5" t="str">
        <f t="shared" ca="1" si="103"/>
        <v/>
      </c>
      <c r="P1110" s="6"/>
      <c r="V1110" t="str">
        <f t="shared" si="104"/>
        <v/>
      </c>
      <c r="W1110" t="str">
        <f t="shared" si="105"/>
        <v/>
      </c>
      <c r="X1110" t="str">
        <f t="shared" si="106"/>
        <v/>
      </c>
      <c r="Y1110" t="str">
        <f t="shared" si="107"/>
        <v/>
      </c>
    </row>
    <row r="1111" spans="1:25" ht="14.5" x14ac:dyDescent="0.35">
      <c r="A1111" s="3"/>
      <c r="B1111" s="2"/>
      <c r="C1111" s="2"/>
      <c r="D1111" s="4"/>
      <c r="E1111" s="2"/>
      <c r="F1111" s="2"/>
      <c r="G1111" s="3" t="str">
        <f t="shared" si="102"/>
        <v/>
      </c>
      <c r="H1111" s="3"/>
      <c r="I1111" s="3"/>
      <c r="J1111" s="2"/>
      <c r="K1111" s="2"/>
      <c r="L1111" s="2"/>
      <c r="M1111" s="4"/>
      <c r="N1111" s="2"/>
      <c r="O1111" s="5" t="str">
        <f t="shared" ca="1" si="103"/>
        <v/>
      </c>
      <c r="P1111" s="6"/>
      <c r="V1111" t="str">
        <f t="shared" si="104"/>
        <v/>
      </c>
      <c r="W1111" t="str">
        <f t="shared" si="105"/>
        <v/>
      </c>
      <c r="X1111" t="str">
        <f t="shared" si="106"/>
        <v/>
      </c>
      <c r="Y1111" t="str">
        <f t="shared" si="107"/>
        <v/>
      </c>
    </row>
    <row r="1112" spans="1:25" ht="14.5" x14ac:dyDescent="0.35">
      <c r="A1112" s="3"/>
      <c r="B1112" s="2"/>
      <c r="C1112" s="2"/>
      <c r="D1112" s="4"/>
      <c r="E1112" s="2"/>
      <c r="F1112" s="2"/>
      <c r="G1112" s="3" t="str">
        <f t="shared" si="102"/>
        <v/>
      </c>
      <c r="H1112" s="3"/>
      <c r="I1112" s="3"/>
      <c r="J1112" s="2"/>
      <c r="K1112" s="2"/>
      <c r="L1112" s="2"/>
      <c r="M1112" s="4"/>
      <c r="N1112" s="2"/>
      <c r="O1112" s="5" t="str">
        <f t="shared" ca="1" si="103"/>
        <v/>
      </c>
      <c r="P1112" s="6"/>
      <c r="V1112" t="str">
        <f t="shared" si="104"/>
        <v/>
      </c>
      <c r="W1112" t="str">
        <f t="shared" si="105"/>
        <v/>
      </c>
      <c r="X1112" t="str">
        <f t="shared" si="106"/>
        <v/>
      </c>
      <c r="Y1112" t="str">
        <f t="shared" si="107"/>
        <v/>
      </c>
    </row>
    <row r="1113" spans="1:25" ht="14.5" x14ac:dyDescent="0.35">
      <c r="A1113" s="3"/>
      <c r="B1113" s="2"/>
      <c r="C1113" s="2"/>
      <c r="D1113" s="4"/>
      <c r="E1113" s="2"/>
      <c r="F1113" s="2"/>
      <c r="G1113" s="3" t="str">
        <f t="shared" si="102"/>
        <v/>
      </c>
      <c r="H1113" s="3"/>
      <c r="I1113" s="3"/>
      <c r="J1113" s="2"/>
      <c r="K1113" s="2"/>
      <c r="L1113" s="2"/>
      <c r="M1113" s="4"/>
      <c r="N1113" s="2"/>
      <c r="O1113" s="5" t="str">
        <f t="shared" ca="1" si="103"/>
        <v/>
      </c>
      <c r="P1113" s="6"/>
      <c r="V1113" t="str">
        <f t="shared" si="104"/>
        <v/>
      </c>
      <c r="W1113" t="str">
        <f t="shared" si="105"/>
        <v/>
      </c>
      <c r="X1113" t="str">
        <f t="shared" si="106"/>
        <v/>
      </c>
      <c r="Y1113" t="str">
        <f t="shared" si="107"/>
        <v/>
      </c>
    </row>
    <row r="1114" spans="1:25" ht="14.5" x14ac:dyDescent="0.35">
      <c r="A1114" s="3"/>
      <c r="B1114" s="2"/>
      <c r="C1114" s="2"/>
      <c r="D1114" s="4"/>
      <c r="E1114" s="2"/>
      <c r="F1114" s="2"/>
      <c r="G1114" s="3" t="str">
        <f t="shared" si="102"/>
        <v/>
      </c>
      <c r="H1114" s="3"/>
      <c r="I1114" s="3"/>
      <c r="J1114" s="2"/>
      <c r="K1114" s="2"/>
      <c r="L1114" s="2"/>
      <c r="M1114" s="4"/>
      <c r="N1114" s="2"/>
      <c r="O1114" s="5" t="str">
        <f t="shared" ca="1" si="103"/>
        <v/>
      </c>
      <c r="P1114" s="6"/>
      <c r="V1114" t="str">
        <f t="shared" si="104"/>
        <v/>
      </c>
      <c r="W1114" t="str">
        <f t="shared" si="105"/>
        <v/>
      </c>
      <c r="X1114" t="str">
        <f t="shared" si="106"/>
        <v/>
      </c>
      <c r="Y1114" t="str">
        <f t="shared" si="107"/>
        <v/>
      </c>
    </row>
    <row r="1115" spans="1:25" ht="14.5" x14ac:dyDescent="0.35">
      <c r="A1115" s="3"/>
      <c r="B1115" s="2"/>
      <c r="C1115" s="2"/>
      <c r="D1115" s="4"/>
      <c r="E1115" s="2"/>
      <c r="F1115" s="2"/>
      <c r="G1115" s="3" t="str">
        <f t="shared" si="102"/>
        <v/>
      </c>
      <c r="H1115" s="3"/>
      <c r="I1115" s="3"/>
      <c r="J1115" s="2"/>
      <c r="K1115" s="2"/>
      <c r="L1115" s="2"/>
      <c r="M1115" s="4"/>
      <c r="N1115" s="2"/>
      <c r="O1115" s="5" t="str">
        <f t="shared" ca="1" si="103"/>
        <v/>
      </c>
      <c r="P1115" s="6"/>
      <c r="V1115" t="str">
        <f t="shared" si="104"/>
        <v/>
      </c>
      <c r="W1115" t="str">
        <f t="shared" si="105"/>
        <v/>
      </c>
      <c r="X1115" t="str">
        <f t="shared" si="106"/>
        <v/>
      </c>
      <c r="Y1115" t="str">
        <f t="shared" si="107"/>
        <v/>
      </c>
    </row>
    <row r="1116" spans="1:25" ht="14.5" x14ac:dyDescent="0.35">
      <c r="A1116" s="3"/>
      <c r="B1116" s="2"/>
      <c r="C1116" s="2"/>
      <c r="D1116" s="4"/>
      <c r="E1116" s="2"/>
      <c r="F1116" s="2"/>
      <c r="G1116" s="3" t="str">
        <f t="shared" si="102"/>
        <v/>
      </c>
      <c r="H1116" s="3"/>
      <c r="I1116" s="3"/>
      <c r="J1116" s="2"/>
      <c r="K1116" s="2"/>
      <c r="L1116" s="2"/>
      <c r="M1116" s="4"/>
      <c r="N1116" s="2"/>
      <c r="O1116" s="5" t="str">
        <f t="shared" ca="1" si="103"/>
        <v/>
      </c>
      <c r="P1116" s="6"/>
      <c r="V1116" t="str">
        <f t="shared" si="104"/>
        <v/>
      </c>
      <c r="W1116" t="str">
        <f t="shared" si="105"/>
        <v/>
      </c>
      <c r="X1116" t="str">
        <f t="shared" si="106"/>
        <v/>
      </c>
      <c r="Y1116" t="str">
        <f t="shared" si="107"/>
        <v/>
      </c>
    </row>
    <row r="1117" spans="1:25" ht="14.5" x14ac:dyDescent="0.35">
      <c r="A1117" s="3"/>
      <c r="B1117" s="2"/>
      <c r="C1117" s="2"/>
      <c r="D1117" s="4"/>
      <c r="E1117" s="2"/>
      <c r="F1117" s="2"/>
      <c r="G1117" s="3" t="str">
        <f t="shared" si="102"/>
        <v/>
      </c>
      <c r="H1117" s="3"/>
      <c r="I1117" s="3"/>
      <c r="J1117" s="2"/>
      <c r="K1117" s="2"/>
      <c r="L1117" s="2"/>
      <c r="M1117" s="4"/>
      <c r="N1117" s="2"/>
      <c r="O1117" s="5" t="str">
        <f t="shared" ca="1" si="103"/>
        <v/>
      </c>
      <c r="P1117" s="6"/>
      <c r="V1117" t="str">
        <f t="shared" si="104"/>
        <v/>
      </c>
      <c r="W1117" t="str">
        <f t="shared" si="105"/>
        <v/>
      </c>
      <c r="X1117" t="str">
        <f t="shared" si="106"/>
        <v/>
      </c>
      <c r="Y1117" t="str">
        <f t="shared" si="107"/>
        <v/>
      </c>
    </row>
    <row r="1118" spans="1:25" ht="14.5" x14ac:dyDescent="0.35">
      <c r="A1118" s="3"/>
      <c r="B1118" s="2"/>
      <c r="C1118" s="2"/>
      <c r="D1118" s="4"/>
      <c r="E1118" s="2"/>
      <c r="F1118" s="2"/>
      <c r="G1118" s="3" t="str">
        <f t="shared" si="102"/>
        <v/>
      </c>
      <c r="H1118" s="3"/>
      <c r="I1118" s="3"/>
      <c r="J1118" s="2"/>
      <c r="K1118" s="2"/>
      <c r="L1118" s="2"/>
      <c r="M1118" s="4"/>
      <c r="N1118" s="2"/>
      <c r="O1118" s="5" t="str">
        <f t="shared" ca="1" si="103"/>
        <v/>
      </c>
      <c r="P1118" s="6"/>
      <c r="V1118" t="str">
        <f t="shared" si="104"/>
        <v/>
      </c>
      <c r="W1118" t="str">
        <f t="shared" si="105"/>
        <v/>
      </c>
      <c r="X1118" t="str">
        <f t="shared" si="106"/>
        <v/>
      </c>
      <c r="Y1118" t="str">
        <f t="shared" si="107"/>
        <v/>
      </c>
    </row>
    <row r="1119" spans="1:25" ht="14.5" x14ac:dyDescent="0.35">
      <c r="A1119" s="3"/>
      <c r="B1119" s="2"/>
      <c r="C1119" s="2"/>
      <c r="D1119" s="4"/>
      <c r="E1119" s="2"/>
      <c r="F1119" s="2"/>
      <c r="G1119" s="3" t="str">
        <f t="shared" si="102"/>
        <v/>
      </c>
      <c r="H1119" s="3"/>
      <c r="I1119" s="3"/>
      <c r="J1119" s="2"/>
      <c r="K1119" s="2"/>
      <c r="L1119" s="2"/>
      <c r="M1119" s="4"/>
      <c r="N1119" s="2"/>
      <c r="O1119" s="5" t="str">
        <f t="shared" ca="1" si="103"/>
        <v/>
      </c>
      <c r="P1119" s="6"/>
      <c r="V1119" t="str">
        <f t="shared" si="104"/>
        <v/>
      </c>
      <c r="W1119" t="str">
        <f t="shared" si="105"/>
        <v/>
      </c>
      <c r="X1119" t="str">
        <f t="shared" si="106"/>
        <v/>
      </c>
      <c r="Y1119" t="str">
        <f t="shared" si="107"/>
        <v/>
      </c>
    </row>
    <row r="1120" spans="1:25" ht="14.5" x14ac:dyDescent="0.35">
      <c r="A1120" s="3"/>
      <c r="B1120" s="2"/>
      <c r="C1120" s="2"/>
      <c r="D1120" s="4"/>
      <c r="E1120" s="2"/>
      <c r="F1120" s="2"/>
      <c r="G1120" s="3" t="str">
        <f t="shared" si="102"/>
        <v/>
      </c>
      <c r="H1120" s="3"/>
      <c r="I1120" s="3"/>
      <c r="J1120" s="2"/>
      <c r="K1120" s="2"/>
      <c r="L1120" s="2"/>
      <c r="M1120" s="4"/>
      <c r="N1120" s="2"/>
      <c r="O1120" s="5" t="str">
        <f t="shared" ca="1" si="103"/>
        <v/>
      </c>
      <c r="P1120" s="6"/>
      <c r="V1120" t="str">
        <f t="shared" si="104"/>
        <v/>
      </c>
      <c r="W1120" t="str">
        <f t="shared" si="105"/>
        <v/>
      </c>
      <c r="X1120" t="str">
        <f t="shared" si="106"/>
        <v/>
      </c>
      <c r="Y1120" t="str">
        <f t="shared" si="107"/>
        <v/>
      </c>
    </row>
    <row r="1121" spans="1:25" ht="14.5" x14ac:dyDescent="0.35">
      <c r="A1121" s="3"/>
      <c r="B1121" s="2"/>
      <c r="C1121" s="2"/>
      <c r="D1121" s="4"/>
      <c r="E1121" s="2"/>
      <c r="F1121" s="2"/>
      <c r="G1121" s="3" t="str">
        <f t="shared" si="102"/>
        <v/>
      </c>
      <c r="H1121" s="3"/>
      <c r="I1121" s="3"/>
      <c r="J1121" s="2"/>
      <c r="K1121" s="2"/>
      <c r="L1121" s="2"/>
      <c r="M1121" s="4"/>
      <c r="N1121" s="2"/>
      <c r="O1121" s="5" t="str">
        <f t="shared" ca="1" si="103"/>
        <v/>
      </c>
      <c r="P1121" s="6"/>
      <c r="V1121" t="str">
        <f t="shared" si="104"/>
        <v/>
      </c>
      <c r="W1121" t="str">
        <f t="shared" si="105"/>
        <v/>
      </c>
      <c r="X1121" t="str">
        <f t="shared" si="106"/>
        <v/>
      </c>
      <c r="Y1121" t="str">
        <f t="shared" si="107"/>
        <v/>
      </c>
    </row>
    <row r="1122" spans="1:25" ht="14.5" x14ac:dyDescent="0.35">
      <c r="A1122" s="3"/>
      <c r="B1122" s="2"/>
      <c r="C1122" s="2"/>
      <c r="D1122" s="4"/>
      <c r="E1122" s="2"/>
      <c r="F1122" s="2"/>
      <c r="G1122" s="3" t="str">
        <f t="shared" si="102"/>
        <v/>
      </c>
      <c r="H1122" s="3"/>
      <c r="I1122" s="3"/>
      <c r="J1122" s="2"/>
      <c r="K1122" s="2"/>
      <c r="L1122" s="2"/>
      <c r="M1122" s="4"/>
      <c r="N1122" s="2"/>
      <c r="O1122" s="5" t="str">
        <f t="shared" ca="1" si="103"/>
        <v/>
      </c>
      <c r="P1122" s="6"/>
      <c r="V1122" t="str">
        <f t="shared" si="104"/>
        <v/>
      </c>
      <c r="W1122" t="str">
        <f t="shared" si="105"/>
        <v/>
      </c>
      <c r="X1122" t="str">
        <f t="shared" si="106"/>
        <v/>
      </c>
      <c r="Y1122" t="str">
        <f t="shared" si="107"/>
        <v/>
      </c>
    </row>
    <row r="1123" spans="1:25" ht="14.5" x14ac:dyDescent="0.35">
      <c r="A1123" s="3"/>
      <c r="B1123" s="2"/>
      <c r="C1123" s="2"/>
      <c r="D1123" s="4"/>
      <c r="E1123" s="2"/>
      <c r="F1123" s="2"/>
      <c r="G1123" s="3" t="str">
        <f t="shared" si="102"/>
        <v/>
      </c>
      <c r="H1123" s="3"/>
      <c r="I1123" s="3"/>
      <c r="J1123" s="2"/>
      <c r="K1123" s="2"/>
      <c r="L1123" s="2"/>
      <c r="M1123" s="4"/>
      <c r="N1123" s="2"/>
      <c r="O1123" s="5" t="str">
        <f t="shared" ca="1" si="103"/>
        <v/>
      </c>
      <c r="P1123" s="6"/>
      <c r="V1123" t="str">
        <f t="shared" si="104"/>
        <v/>
      </c>
      <c r="W1123" t="str">
        <f t="shared" si="105"/>
        <v/>
      </c>
      <c r="X1123" t="str">
        <f t="shared" si="106"/>
        <v/>
      </c>
      <c r="Y1123" t="str">
        <f t="shared" si="107"/>
        <v/>
      </c>
    </row>
    <row r="1124" spans="1:25" ht="14.5" x14ac:dyDescent="0.35">
      <c r="A1124" s="3"/>
      <c r="B1124" s="2"/>
      <c r="C1124" s="2"/>
      <c r="D1124" s="4"/>
      <c r="E1124" s="2"/>
      <c r="F1124" s="2"/>
      <c r="G1124" s="3" t="str">
        <f t="shared" si="102"/>
        <v/>
      </c>
      <c r="H1124" s="3"/>
      <c r="I1124" s="3"/>
      <c r="J1124" s="2"/>
      <c r="K1124" s="2"/>
      <c r="L1124" s="2"/>
      <c r="M1124" s="4"/>
      <c r="N1124" s="2"/>
      <c r="O1124" s="5" t="str">
        <f t="shared" ca="1" si="103"/>
        <v/>
      </c>
      <c r="P1124" s="6"/>
      <c r="V1124" t="str">
        <f t="shared" si="104"/>
        <v/>
      </c>
      <c r="W1124" t="str">
        <f t="shared" si="105"/>
        <v/>
      </c>
      <c r="X1124" t="str">
        <f t="shared" si="106"/>
        <v/>
      </c>
      <c r="Y1124" t="str">
        <f t="shared" si="107"/>
        <v/>
      </c>
    </row>
    <row r="1125" spans="1:25" ht="14.5" x14ac:dyDescent="0.35">
      <c r="A1125" s="3"/>
      <c r="B1125" s="2"/>
      <c r="C1125" s="2"/>
      <c r="D1125" s="4"/>
      <c r="E1125" s="2"/>
      <c r="F1125" s="2"/>
      <c r="G1125" s="3" t="str">
        <f t="shared" si="102"/>
        <v/>
      </c>
      <c r="H1125" s="3"/>
      <c r="I1125" s="3"/>
      <c r="J1125" s="2"/>
      <c r="K1125" s="2"/>
      <c r="L1125" s="2"/>
      <c r="M1125" s="4"/>
      <c r="N1125" s="2"/>
      <c r="O1125" s="5" t="str">
        <f t="shared" ca="1" si="103"/>
        <v/>
      </c>
      <c r="P1125" s="6"/>
      <c r="V1125" t="str">
        <f t="shared" si="104"/>
        <v/>
      </c>
      <c r="W1125" t="str">
        <f t="shared" si="105"/>
        <v/>
      </c>
      <c r="X1125" t="str">
        <f t="shared" si="106"/>
        <v/>
      </c>
      <c r="Y1125" t="str">
        <f t="shared" si="107"/>
        <v/>
      </c>
    </row>
    <row r="1126" spans="1:25" ht="14.5" x14ac:dyDescent="0.35">
      <c r="A1126" s="3"/>
      <c r="B1126" s="2"/>
      <c r="C1126" s="2"/>
      <c r="D1126" s="4"/>
      <c r="E1126" s="2"/>
      <c r="F1126" s="2"/>
      <c r="G1126" s="3" t="str">
        <f t="shared" si="102"/>
        <v/>
      </c>
      <c r="H1126" s="3"/>
      <c r="I1126" s="3"/>
      <c r="J1126" s="2"/>
      <c r="K1126" s="2"/>
      <c r="L1126" s="2"/>
      <c r="M1126" s="4"/>
      <c r="N1126" s="2"/>
      <c r="O1126" s="5" t="str">
        <f t="shared" ca="1" si="103"/>
        <v/>
      </c>
      <c r="P1126" s="6"/>
      <c r="V1126" t="str">
        <f t="shared" si="104"/>
        <v/>
      </c>
      <c r="W1126" t="str">
        <f t="shared" si="105"/>
        <v/>
      </c>
      <c r="X1126" t="str">
        <f t="shared" si="106"/>
        <v/>
      </c>
      <c r="Y1126" t="str">
        <f t="shared" si="107"/>
        <v/>
      </c>
    </row>
    <row r="1127" spans="1:25" ht="14.5" x14ac:dyDescent="0.35">
      <c r="A1127" s="3"/>
      <c r="B1127" s="2"/>
      <c r="C1127" s="2"/>
      <c r="D1127" s="4"/>
      <c r="E1127" s="2"/>
      <c r="F1127" s="2"/>
      <c r="G1127" s="3" t="str">
        <f t="shared" si="102"/>
        <v/>
      </c>
      <c r="H1127" s="3"/>
      <c r="I1127" s="3"/>
      <c r="J1127" s="2"/>
      <c r="K1127" s="2"/>
      <c r="L1127" s="2"/>
      <c r="M1127" s="4"/>
      <c r="N1127" s="2"/>
      <c r="O1127" s="5" t="str">
        <f t="shared" ca="1" si="103"/>
        <v/>
      </c>
      <c r="P1127" s="6"/>
      <c r="V1127" t="str">
        <f t="shared" si="104"/>
        <v/>
      </c>
      <c r="W1127" t="str">
        <f t="shared" si="105"/>
        <v/>
      </c>
      <c r="X1127" t="str">
        <f t="shared" si="106"/>
        <v/>
      </c>
      <c r="Y1127" t="str">
        <f t="shared" si="107"/>
        <v/>
      </c>
    </row>
    <row r="1128" spans="1:25" ht="14.5" x14ac:dyDescent="0.35">
      <c r="A1128" s="3"/>
      <c r="B1128" s="2"/>
      <c r="C1128" s="2"/>
      <c r="D1128" s="4"/>
      <c r="E1128" s="2"/>
      <c r="F1128" s="2"/>
      <c r="G1128" s="3" t="str">
        <f t="shared" si="102"/>
        <v/>
      </c>
      <c r="H1128" s="3"/>
      <c r="I1128" s="3"/>
      <c r="J1128" s="2"/>
      <c r="K1128" s="2"/>
      <c r="L1128" s="2"/>
      <c r="M1128" s="4"/>
      <c r="N1128" s="2"/>
      <c r="O1128" s="5" t="str">
        <f t="shared" ca="1" si="103"/>
        <v/>
      </c>
      <c r="P1128" s="6"/>
      <c r="V1128" t="str">
        <f t="shared" si="104"/>
        <v/>
      </c>
      <c r="W1128" t="str">
        <f t="shared" si="105"/>
        <v/>
      </c>
      <c r="X1128" t="str">
        <f t="shared" si="106"/>
        <v/>
      </c>
      <c r="Y1128" t="str">
        <f t="shared" si="107"/>
        <v/>
      </c>
    </row>
    <row r="1129" spans="1:25" ht="14.5" x14ac:dyDescent="0.35">
      <c r="A1129" s="3"/>
      <c r="B1129" s="2"/>
      <c r="C1129" s="2"/>
      <c r="D1129" s="4"/>
      <c r="E1129" s="2"/>
      <c r="F1129" s="2"/>
      <c r="G1129" s="3" t="str">
        <f t="shared" si="102"/>
        <v/>
      </c>
      <c r="H1129" s="3"/>
      <c r="I1129" s="3"/>
      <c r="J1129" s="2"/>
      <c r="K1129" s="2"/>
      <c r="L1129" s="2"/>
      <c r="M1129" s="4"/>
      <c r="N1129" s="2"/>
      <c r="O1129" s="5" t="str">
        <f t="shared" ca="1" si="103"/>
        <v/>
      </c>
      <c r="P1129" s="6"/>
      <c r="V1129" t="str">
        <f t="shared" si="104"/>
        <v/>
      </c>
      <c r="W1129" t="str">
        <f t="shared" si="105"/>
        <v/>
      </c>
      <c r="X1129" t="str">
        <f t="shared" si="106"/>
        <v/>
      </c>
      <c r="Y1129" t="str">
        <f t="shared" si="107"/>
        <v/>
      </c>
    </row>
    <row r="1130" spans="1:25" ht="14.5" x14ac:dyDescent="0.35">
      <c r="A1130" s="3"/>
      <c r="B1130" s="2"/>
      <c r="C1130" s="2"/>
      <c r="D1130" s="4"/>
      <c r="E1130" s="2"/>
      <c r="F1130" s="2"/>
      <c r="G1130" s="3" t="str">
        <f t="shared" si="102"/>
        <v/>
      </c>
      <c r="H1130" s="3"/>
      <c r="I1130" s="3"/>
      <c r="J1130" s="2"/>
      <c r="K1130" s="2"/>
      <c r="L1130" s="2"/>
      <c r="M1130" s="4"/>
      <c r="N1130" s="2"/>
      <c r="O1130" s="5" t="str">
        <f t="shared" ca="1" si="103"/>
        <v/>
      </c>
      <c r="P1130" s="6"/>
      <c r="V1130" t="str">
        <f t="shared" si="104"/>
        <v/>
      </c>
      <c r="W1130" t="str">
        <f t="shared" si="105"/>
        <v/>
      </c>
      <c r="X1130" t="str">
        <f t="shared" si="106"/>
        <v/>
      </c>
      <c r="Y1130" t="str">
        <f t="shared" si="107"/>
        <v/>
      </c>
    </row>
    <row r="1131" spans="1:25" ht="14.5" x14ac:dyDescent="0.35">
      <c r="A1131" s="3"/>
      <c r="B1131" s="2"/>
      <c r="C1131" s="2"/>
      <c r="D1131" s="4"/>
      <c r="E1131" s="2"/>
      <c r="F1131" s="2"/>
      <c r="G1131" s="3" t="str">
        <f t="shared" si="102"/>
        <v/>
      </c>
      <c r="H1131" s="3"/>
      <c r="I1131" s="3"/>
      <c r="J1131" s="2"/>
      <c r="K1131" s="2"/>
      <c r="L1131" s="2"/>
      <c r="M1131" s="4"/>
      <c r="N1131" s="2"/>
      <c r="O1131" s="5" t="str">
        <f t="shared" ca="1" si="103"/>
        <v/>
      </c>
      <c r="P1131" s="6"/>
      <c r="V1131" t="str">
        <f t="shared" si="104"/>
        <v/>
      </c>
      <c r="W1131" t="str">
        <f t="shared" si="105"/>
        <v/>
      </c>
      <c r="X1131" t="str">
        <f t="shared" si="106"/>
        <v/>
      </c>
      <c r="Y1131" t="str">
        <f t="shared" si="107"/>
        <v/>
      </c>
    </row>
    <row r="1132" spans="1:25" ht="14.5" x14ac:dyDescent="0.35">
      <c r="A1132" s="3"/>
      <c r="B1132" s="2"/>
      <c r="C1132" s="2"/>
      <c r="D1132" s="4"/>
      <c r="E1132" s="2"/>
      <c r="F1132" s="2"/>
      <c r="G1132" s="3" t="str">
        <f t="shared" si="102"/>
        <v/>
      </c>
      <c r="H1132" s="3"/>
      <c r="I1132" s="3"/>
      <c r="J1132" s="2"/>
      <c r="K1132" s="2"/>
      <c r="L1132" s="2"/>
      <c r="M1132" s="4"/>
      <c r="N1132" s="2"/>
      <c r="O1132" s="5" t="str">
        <f t="shared" ca="1" si="103"/>
        <v/>
      </c>
      <c r="P1132" s="6"/>
      <c r="V1132" t="str">
        <f t="shared" si="104"/>
        <v/>
      </c>
      <c r="W1132" t="str">
        <f t="shared" si="105"/>
        <v/>
      </c>
      <c r="X1132" t="str">
        <f t="shared" si="106"/>
        <v/>
      </c>
      <c r="Y1132" t="str">
        <f t="shared" si="107"/>
        <v/>
      </c>
    </row>
    <row r="1133" spans="1:25" ht="14.5" x14ac:dyDescent="0.35">
      <c r="A1133" s="3"/>
      <c r="B1133" s="2"/>
      <c r="C1133" s="2"/>
      <c r="D1133" s="4"/>
      <c r="E1133" s="2"/>
      <c r="F1133" s="2"/>
      <c r="G1133" s="3" t="str">
        <f t="shared" si="102"/>
        <v/>
      </c>
      <c r="H1133" s="3"/>
      <c r="I1133" s="3"/>
      <c r="J1133" s="2"/>
      <c r="K1133" s="2"/>
      <c r="L1133" s="2"/>
      <c r="M1133" s="4"/>
      <c r="N1133" s="2"/>
      <c r="O1133" s="5" t="str">
        <f t="shared" ca="1" si="103"/>
        <v/>
      </c>
      <c r="P1133" s="6"/>
      <c r="V1133" t="str">
        <f t="shared" si="104"/>
        <v/>
      </c>
      <c r="W1133" t="str">
        <f t="shared" si="105"/>
        <v/>
      </c>
      <c r="X1133" t="str">
        <f t="shared" si="106"/>
        <v/>
      </c>
      <c r="Y1133" t="str">
        <f t="shared" si="107"/>
        <v/>
      </c>
    </row>
    <row r="1134" spans="1:25" ht="14.5" x14ac:dyDescent="0.35">
      <c r="A1134" s="3"/>
      <c r="B1134" s="2"/>
      <c r="C1134" s="2"/>
      <c r="D1134" s="4"/>
      <c r="E1134" s="2"/>
      <c r="F1134" s="2"/>
      <c r="G1134" s="3" t="str">
        <f t="shared" si="102"/>
        <v/>
      </c>
      <c r="H1134" s="3"/>
      <c r="I1134" s="3"/>
      <c r="J1134" s="2"/>
      <c r="K1134" s="2"/>
      <c r="L1134" s="2"/>
      <c r="M1134" s="4"/>
      <c r="N1134" s="2"/>
      <c r="O1134" s="5" t="str">
        <f t="shared" ca="1" si="103"/>
        <v/>
      </c>
      <c r="P1134" s="6"/>
      <c r="V1134" t="str">
        <f t="shared" si="104"/>
        <v/>
      </c>
      <c r="W1134" t="str">
        <f t="shared" si="105"/>
        <v/>
      </c>
      <c r="X1134" t="str">
        <f t="shared" si="106"/>
        <v/>
      </c>
      <c r="Y1134" t="str">
        <f t="shared" si="107"/>
        <v/>
      </c>
    </row>
    <row r="1135" spans="1:25" ht="14.5" x14ac:dyDescent="0.35">
      <c r="A1135" s="3"/>
      <c r="B1135" s="2"/>
      <c r="C1135" s="2"/>
      <c r="D1135" s="4"/>
      <c r="E1135" s="2"/>
      <c r="F1135" s="2"/>
      <c r="G1135" s="3" t="str">
        <f t="shared" si="102"/>
        <v/>
      </c>
      <c r="H1135" s="3"/>
      <c r="I1135" s="3"/>
      <c r="J1135" s="2"/>
      <c r="K1135" s="2"/>
      <c r="L1135" s="2"/>
      <c r="M1135" s="4"/>
      <c r="N1135" s="2"/>
      <c r="O1135" s="5" t="str">
        <f t="shared" ca="1" si="103"/>
        <v/>
      </c>
      <c r="P1135" s="6"/>
      <c r="V1135" t="str">
        <f t="shared" si="104"/>
        <v/>
      </c>
      <c r="W1135" t="str">
        <f t="shared" si="105"/>
        <v/>
      </c>
      <c r="X1135" t="str">
        <f t="shared" si="106"/>
        <v/>
      </c>
      <c r="Y1135" t="str">
        <f t="shared" si="107"/>
        <v/>
      </c>
    </row>
    <row r="1136" spans="1:25" ht="14.5" x14ac:dyDescent="0.35">
      <c r="A1136" s="3"/>
      <c r="B1136" s="2"/>
      <c r="C1136" s="2"/>
      <c r="D1136" s="4"/>
      <c r="E1136" s="2"/>
      <c r="F1136" s="2"/>
      <c r="G1136" s="3" t="str">
        <f t="shared" si="102"/>
        <v/>
      </c>
      <c r="H1136" s="3"/>
      <c r="I1136" s="3"/>
      <c r="J1136" s="2"/>
      <c r="K1136" s="2"/>
      <c r="L1136" s="2"/>
      <c r="M1136" s="4"/>
      <c r="N1136" s="2"/>
      <c r="O1136" s="5" t="str">
        <f t="shared" ca="1" si="103"/>
        <v/>
      </c>
      <c r="P1136" s="6"/>
      <c r="V1136" t="str">
        <f t="shared" si="104"/>
        <v/>
      </c>
      <c r="W1136" t="str">
        <f t="shared" si="105"/>
        <v/>
      </c>
      <c r="X1136" t="str">
        <f t="shared" si="106"/>
        <v/>
      </c>
      <c r="Y1136" t="str">
        <f t="shared" si="107"/>
        <v/>
      </c>
    </row>
    <row r="1137" spans="1:25" ht="14.5" x14ac:dyDescent="0.35">
      <c r="A1137" s="3"/>
      <c r="B1137" s="2"/>
      <c r="C1137" s="2"/>
      <c r="D1137" s="4"/>
      <c r="E1137" s="2"/>
      <c r="F1137" s="2"/>
      <c r="G1137" s="3" t="str">
        <f t="shared" si="102"/>
        <v/>
      </c>
      <c r="H1137" s="3"/>
      <c r="I1137" s="3"/>
      <c r="J1137" s="2"/>
      <c r="K1137" s="2"/>
      <c r="L1137" s="2"/>
      <c r="M1137" s="4"/>
      <c r="N1137" s="2"/>
      <c r="O1137" s="5" t="str">
        <f t="shared" ca="1" si="103"/>
        <v/>
      </c>
      <c r="P1137" s="6"/>
      <c r="V1137" t="str">
        <f t="shared" si="104"/>
        <v/>
      </c>
      <c r="W1137" t="str">
        <f t="shared" si="105"/>
        <v/>
      </c>
      <c r="X1137" t="str">
        <f t="shared" si="106"/>
        <v/>
      </c>
      <c r="Y1137" t="str">
        <f t="shared" si="107"/>
        <v/>
      </c>
    </row>
    <row r="1138" spans="1:25" ht="14.5" x14ac:dyDescent="0.35">
      <c r="A1138" s="3"/>
      <c r="B1138" s="2"/>
      <c r="C1138" s="2"/>
      <c r="D1138" s="4"/>
      <c r="E1138" s="2"/>
      <c r="F1138" s="2"/>
      <c r="G1138" s="3" t="str">
        <f t="shared" si="102"/>
        <v/>
      </c>
      <c r="H1138" s="3"/>
      <c r="I1138" s="3"/>
      <c r="J1138" s="2"/>
      <c r="K1138" s="2"/>
      <c r="L1138" s="2"/>
      <c r="M1138" s="4"/>
      <c r="N1138" s="2"/>
      <c r="O1138" s="5" t="str">
        <f t="shared" ca="1" si="103"/>
        <v/>
      </c>
      <c r="P1138" s="6"/>
      <c r="V1138" t="str">
        <f t="shared" si="104"/>
        <v/>
      </c>
      <c r="W1138" t="str">
        <f t="shared" si="105"/>
        <v/>
      </c>
      <c r="X1138" t="str">
        <f t="shared" si="106"/>
        <v/>
      </c>
      <c r="Y1138" t="str">
        <f t="shared" si="107"/>
        <v/>
      </c>
    </row>
    <row r="1139" spans="1:25" ht="14.5" x14ac:dyDescent="0.35">
      <c r="A1139" s="3"/>
      <c r="B1139" s="2"/>
      <c r="C1139" s="2"/>
      <c r="D1139" s="4"/>
      <c r="E1139" s="2"/>
      <c r="F1139" s="2"/>
      <c r="G1139" s="3" t="str">
        <f t="shared" si="102"/>
        <v/>
      </c>
      <c r="H1139" s="3"/>
      <c r="I1139" s="3"/>
      <c r="J1139" s="2"/>
      <c r="K1139" s="2"/>
      <c r="L1139" s="2"/>
      <c r="M1139" s="4"/>
      <c r="N1139" s="2"/>
      <c r="O1139" s="5" t="str">
        <f t="shared" ca="1" si="103"/>
        <v/>
      </c>
      <c r="P1139" s="6"/>
      <c r="V1139" t="str">
        <f t="shared" si="104"/>
        <v/>
      </c>
      <c r="W1139" t="str">
        <f t="shared" si="105"/>
        <v/>
      </c>
      <c r="X1139" t="str">
        <f t="shared" si="106"/>
        <v/>
      </c>
      <c r="Y1139" t="str">
        <f t="shared" si="107"/>
        <v/>
      </c>
    </row>
    <row r="1140" spans="1:25" ht="14.5" x14ac:dyDescent="0.35">
      <c r="A1140" s="3"/>
      <c r="B1140" s="2"/>
      <c r="C1140" s="2"/>
      <c r="D1140" s="4"/>
      <c r="E1140" s="2"/>
      <c r="F1140" s="2"/>
      <c r="G1140" s="3" t="str">
        <f t="shared" si="102"/>
        <v/>
      </c>
      <c r="H1140" s="3"/>
      <c r="I1140" s="3"/>
      <c r="J1140" s="2"/>
      <c r="K1140" s="2"/>
      <c r="L1140" s="2"/>
      <c r="M1140" s="4"/>
      <c r="N1140" s="2"/>
      <c r="O1140" s="5" t="str">
        <f t="shared" ca="1" si="103"/>
        <v/>
      </c>
      <c r="P1140" s="6"/>
      <c r="V1140" t="str">
        <f t="shared" si="104"/>
        <v/>
      </c>
      <c r="W1140" t="str">
        <f t="shared" si="105"/>
        <v/>
      </c>
      <c r="X1140" t="str">
        <f t="shared" si="106"/>
        <v/>
      </c>
      <c r="Y1140" t="str">
        <f t="shared" si="107"/>
        <v/>
      </c>
    </row>
    <row r="1141" spans="1:25" ht="14.5" x14ac:dyDescent="0.35">
      <c r="A1141" s="3"/>
      <c r="B1141" s="2"/>
      <c r="C1141" s="2"/>
      <c r="D1141" s="4"/>
      <c r="E1141" s="2"/>
      <c r="F1141" s="2"/>
      <c r="G1141" s="3" t="str">
        <f t="shared" si="102"/>
        <v/>
      </c>
      <c r="H1141" s="3"/>
      <c r="I1141" s="3"/>
      <c r="J1141" s="2"/>
      <c r="K1141" s="2"/>
      <c r="L1141" s="2"/>
      <c r="M1141" s="4"/>
      <c r="N1141" s="2"/>
      <c r="O1141" s="5" t="str">
        <f t="shared" ca="1" si="103"/>
        <v/>
      </c>
      <c r="P1141" s="6"/>
      <c r="V1141" t="str">
        <f t="shared" si="104"/>
        <v/>
      </c>
      <c r="W1141" t="str">
        <f t="shared" si="105"/>
        <v/>
      </c>
      <c r="X1141" t="str">
        <f t="shared" si="106"/>
        <v/>
      </c>
      <c r="Y1141" t="str">
        <f t="shared" si="107"/>
        <v/>
      </c>
    </row>
    <row r="1142" spans="1:25" ht="14.5" x14ac:dyDescent="0.35">
      <c r="A1142" s="3"/>
      <c r="B1142" s="2"/>
      <c r="C1142" s="2"/>
      <c r="D1142" s="4"/>
      <c r="E1142" s="2"/>
      <c r="F1142" s="2"/>
      <c r="G1142" s="3" t="str">
        <f t="shared" si="102"/>
        <v/>
      </c>
      <c r="H1142" s="3"/>
      <c r="I1142" s="3"/>
      <c r="J1142" s="2"/>
      <c r="K1142" s="2"/>
      <c r="L1142" s="2"/>
      <c r="M1142" s="4"/>
      <c r="N1142" s="2"/>
      <c r="O1142" s="5" t="str">
        <f t="shared" ca="1" si="103"/>
        <v/>
      </c>
      <c r="P1142" s="6"/>
      <c r="V1142" t="str">
        <f t="shared" si="104"/>
        <v/>
      </c>
      <c r="W1142" t="str">
        <f t="shared" si="105"/>
        <v/>
      </c>
      <c r="X1142" t="str">
        <f t="shared" si="106"/>
        <v/>
      </c>
      <c r="Y1142" t="str">
        <f t="shared" si="107"/>
        <v/>
      </c>
    </row>
    <row r="1143" spans="1:25" ht="14.5" x14ac:dyDescent="0.35">
      <c r="A1143" s="3"/>
      <c r="B1143" s="2"/>
      <c r="C1143" s="2"/>
      <c r="D1143" s="4"/>
      <c r="E1143" s="2"/>
      <c r="F1143" s="2"/>
      <c r="G1143" s="3" t="str">
        <f t="shared" si="102"/>
        <v/>
      </c>
      <c r="H1143" s="3"/>
      <c r="I1143" s="3"/>
      <c r="J1143" s="2"/>
      <c r="K1143" s="2"/>
      <c r="L1143" s="2"/>
      <c r="M1143" s="4"/>
      <c r="N1143" s="2"/>
      <c r="O1143" s="5" t="str">
        <f t="shared" ca="1" si="103"/>
        <v/>
      </c>
      <c r="P1143" s="6"/>
      <c r="V1143" t="str">
        <f t="shared" si="104"/>
        <v/>
      </c>
      <c r="W1143" t="str">
        <f t="shared" si="105"/>
        <v/>
      </c>
      <c r="X1143" t="str">
        <f t="shared" si="106"/>
        <v/>
      </c>
      <c r="Y1143" t="str">
        <f t="shared" si="107"/>
        <v/>
      </c>
    </row>
    <row r="1144" spans="1:25" ht="14.5" x14ac:dyDescent="0.35">
      <c r="A1144" s="3"/>
      <c r="B1144" s="2"/>
      <c r="C1144" s="2"/>
      <c r="D1144" s="4"/>
      <c r="E1144" s="2"/>
      <c r="F1144" s="2"/>
      <c r="G1144" s="3" t="str">
        <f t="shared" si="102"/>
        <v/>
      </c>
      <c r="H1144" s="3"/>
      <c r="I1144" s="3"/>
      <c r="J1144" s="2"/>
      <c r="K1144" s="2"/>
      <c r="L1144" s="2"/>
      <c r="M1144" s="4"/>
      <c r="N1144" s="2"/>
      <c r="O1144" s="5" t="str">
        <f t="shared" ca="1" si="103"/>
        <v/>
      </c>
      <c r="P1144" s="6"/>
      <c r="V1144" t="str">
        <f t="shared" si="104"/>
        <v/>
      </c>
      <c r="W1144" t="str">
        <f t="shared" si="105"/>
        <v/>
      </c>
      <c r="X1144" t="str">
        <f t="shared" si="106"/>
        <v/>
      </c>
      <c r="Y1144" t="str">
        <f t="shared" si="107"/>
        <v/>
      </c>
    </row>
    <row r="1145" spans="1:25" ht="14.5" x14ac:dyDescent="0.35">
      <c r="A1145" s="3"/>
      <c r="B1145" s="2"/>
      <c r="C1145" s="2"/>
      <c r="D1145" s="4"/>
      <c r="E1145" s="2"/>
      <c r="F1145" s="2"/>
      <c r="G1145" s="3" t="str">
        <f t="shared" si="102"/>
        <v/>
      </c>
      <c r="H1145" s="3"/>
      <c r="I1145" s="3"/>
      <c r="J1145" s="2"/>
      <c r="K1145" s="2"/>
      <c r="L1145" s="2"/>
      <c r="M1145" s="4"/>
      <c r="N1145" s="2"/>
      <c r="O1145" s="5" t="str">
        <f t="shared" ca="1" si="103"/>
        <v/>
      </c>
      <c r="P1145" s="6"/>
      <c r="V1145" t="str">
        <f t="shared" si="104"/>
        <v/>
      </c>
      <c r="W1145" t="str">
        <f t="shared" si="105"/>
        <v/>
      </c>
      <c r="X1145" t="str">
        <f t="shared" si="106"/>
        <v/>
      </c>
      <c r="Y1145" t="str">
        <f t="shared" si="107"/>
        <v/>
      </c>
    </row>
    <row r="1146" spans="1:25" ht="14.5" x14ac:dyDescent="0.35">
      <c r="A1146" s="3"/>
      <c r="B1146" s="2"/>
      <c r="C1146" s="2"/>
      <c r="D1146" s="4"/>
      <c r="E1146" s="2"/>
      <c r="F1146" s="2"/>
      <c r="G1146" s="3" t="str">
        <f t="shared" si="102"/>
        <v/>
      </c>
      <c r="H1146" s="3"/>
      <c r="I1146" s="3"/>
      <c r="J1146" s="2"/>
      <c r="K1146" s="2"/>
      <c r="L1146" s="2"/>
      <c r="M1146" s="4"/>
      <c r="N1146" s="2"/>
      <c r="O1146" s="5" t="str">
        <f t="shared" ca="1" si="103"/>
        <v/>
      </c>
      <c r="P1146" s="6"/>
      <c r="V1146" t="str">
        <f t="shared" si="104"/>
        <v/>
      </c>
      <c r="W1146" t="str">
        <f t="shared" si="105"/>
        <v/>
      </c>
      <c r="X1146" t="str">
        <f t="shared" si="106"/>
        <v/>
      </c>
      <c r="Y1146" t="str">
        <f t="shared" si="107"/>
        <v/>
      </c>
    </row>
    <row r="1147" spans="1:25" ht="14.5" x14ac:dyDescent="0.35">
      <c r="A1147" s="3"/>
      <c r="B1147" s="2"/>
      <c r="C1147" s="2"/>
      <c r="D1147" s="4"/>
      <c r="E1147" s="2"/>
      <c r="F1147" s="2"/>
      <c r="G1147" s="3" t="str">
        <f t="shared" si="102"/>
        <v/>
      </c>
      <c r="H1147" s="3"/>
      <c r="I1147" s="3"/>
      <c r="J1147" s="2"/>
      <c r="K1147" s="2"/>
      <c r="L1147" s="2"/>
      <c r="M1147" s="4"/>
      <c r="N1147" s="2"/>
      <c r="O1147" s="5" t="str">
        <f t="shared" ca="1" si="103"/>
        <v/>
      </c>
      <c r="P1147" s="6"/>
      <c r="V1147" t="str">
        <f t="shared" si="104"/>
        <v/>
      </c>
      <c r="W1147" t="str">
        <f t="shared" si="105"/>
        <v/>
      </c>
      <c r="X1147" t="str">
        <f t="shared" si="106"/>
        <v/>
      </c>
      <c r="Y1147" t="str">
        <f t="shared" si="107"/>
        <v/>
      </c>
    </row>
    <row r="1148" spans="1:25" ht="14.5" x14ac:dyDescent="0.35">
      <c r="A1148" s="3"/>
      <c r="B1148" s="2"/>
      <c r="C1148" s="2"/>
      <c r="D1148" s="4"/>
      <c r="E1148" s="2"/>
      <c r="F1148" s="2"/>
      <c r="G1148" s="3" t="str">
        <f t="shared" si="102"/>
        <v/>
      </c>
      <c r="H1148" s="3"/>
      <c r="I1148" s="3"/>
      <c r="J1148" s="2"/>
      <c r="K1148" s="2"/>
      <c r="L1148" s="2"/>
      <c r="M1148" s="4"/>
      <c r="N1148" s="2"/>
      <c r="O1148" s="5" t="str">
        <f t="shared" ca="1" si="103"/>
        <v/>
      </c>
      <c r="P1148" s="6"/>
      <c r="V1148" t="str">
        <f t="shared" si="104"/>
        <v/>
      </c>
      <c r="W1148" t="str">
        <f t="shared" si="105"/>
        <v/>
      </c>
      <c r="X1148" t="str">
        <f t="shared" si="106"/>
        <v/>
      </c>
      <c r="Y1148" t="str">
        <f t="shared" si="107"/>
        <v/>
      </c>
    </row>
    <row r="1149" spans="1:25" ht="14.5" x14ac:dyDescent="0.35">
      <c r="A1149" s="3"/>
      <c r="B1149" s="2"/>
      <c r="C1149" s="2"/>
      <c r="D1149" s="4"/>
      <c r="E1149" s="2"/>
      <c r="F1149" s="2"/>
      <c r="G1149" s="3" t="str">
        <f t="shared" si="102"/>
        <v/>
      </c>
      <c r="H1149" s="3"/>
      <c r="I1149" s="3"/>
      <c r="J1149" s="2"/>
      <c r="K1149" s="2"/>
      <c r="L1149" s="2"/>
      <c r="M1149" s="4"/>
      <c r="N1149" s="2"/>
      <c r="O1149" s="5" t="str">
        <f t="shared" ca="1" si="103"/>
        <v/>
      </c>
      <c r="P1149" s="6"/>
      <c r="V1149" t="str">
        <f t="shared" si="104"/>
        <v/>
      </c>
      <c r="W1149" t="str">
        <f t="shared" si="105"/>
        <v/>
      </c>
      <c r="X1149" t="str">
        <f t="shared" si="106"/>
        <v/>
      </c>
      <c r="Y1149" t="str">
        <f t="shared" si="107"/>
        <v/>
      </c>
    </row>
    <row r="1150" spans="1:25" ht="14.5" x14ac:dyDescent="0.35">
      <c r="A1150" s="3"/>
      <c r="B1150" s="2"/>
      <c r="C1150" s="2"/>
      <c r="D1150" s="4"/>
      <c r="E1150" s="2"/>
      <c r="F1150" s="2"/>
      <c r="G1150" s="3" t="str">
        <f t="shared" si="102"/>
        <v/>
      </c>
      <c r="H1150" s="3"/>
      <c r="I1150" s="3"/>
      <c r="J1150" s="2"/>
      <c r="K1150" s="2"/>
      <c r="L1150" s="2"/>
      <c r="M1150" s="4"/>
      <c r="N1150" s="2"/>
      <c r="O1150" s="5" t="str">
        <f t="shared" ca="1" si="103"/>
        <v/>
      </c>
      <c r="P1150" s="6"/>
      <c r="V1150" t="str">
        <f t="shared" si="104"/>
        <v/>
      </c>
      <c r="W1150" t="str">
        <f t="shared" si="105"/>
        <v/>
      </c>
      <c r="X1150" t="str">
        <f t="shared" si="106"/>
        <v/>
      </c>
      <c r="Y1150" t="str">
        <f t="shared" si="107"/>
        <v/>
      </c>
    </row>
    <row r="1151" spans="1:25" ht="14.5" x14ac:dyDescent="0.35">
      <c r="A1151" s="3"/>
      <c r="B1151" s="2"/>
      <c r="C1151" s="2"/>
      <c r="D1151" s="4"/>
      <c r="E1151" s="2"/>
      <c r="F1151" s="2"/>
      <c r="G1151" s="3" t="str">
        <f t="shared" si="102"/>
        <v/>
      </c>
      <c r="H1151" s="3"/>
      <c r="I1151" s="3"/>
      <c r="J1151" s="2"/>
      <c r="K1151" s="2"/>
      <c r="L1151" s="2"/>
      <c r="M1151" s="4"/>
      <c r="N1151" s="2"/>
      <c r="O1151" s="5" t="str">
        <f t="shared" ca="1" si="103"/>
        <v/>
      </c>
      <c r="P1151" s="6"/>
      <c r="V1151" t="str">
        <f t="shared" si="104"/>
        <v/>
      </c>
      <c r="W1151" t="str">
        <f t="shared" si="105"/>
        <v/>
      </c>
      <c r="X1151" t="str">
        <f t="shared" si="106"/>
        <v/>
      </c>
      <c r="Y1151" t="str">
        <f t="shared" si="107"/>
        <v/>
      </c>
    </row>
    <row r="1152" spans="1:25" ht="14.5" x14ac:dyDescent="0.35">
      <c r="A1152" s="3"/>
      <c r="B1152" s="2"/>
      <c r="C1152" s="2"/>
      <c r="D1152" s="4"/>
      <c r="E1152" s="2"/>
      <c r="F1152" s="2"/>
      <c r="G1152" s="3" t="str">
        <f t="shared" si="102"/>
        <v/>
      </c>
      <c r="H1152" s="3"/>
      <c r="I1152" s="3"/>
      <c r="J1152" s="2"/>
      <c r="K1152" s="2"/>
      <c r="L1152" s="2"/>
      <c r="M1152" s="4"/>
      <c r="N1152" s="2"/>
      <c r="O1152" s="5" t="str">
        <f t="shared" ca="1" si="103"/>
        <v/>
      </c>
      <c r="P1152" s="6"/>
      <c r="V1152" t="str">
        <f t="shared" si="104"/>
        <v/>
      </c>
      <c r="W1152" t="str">
        <f t="shared" si="105"/>
        <v/>
      </c>
      <c r="X1152" t="str">
        <f t="shared" si="106"/>
        <v/>
      </c>
      <c r="Y1152" t="str">
        <f t="shared" si="107"/>
        <v/>
      </c>
    </row>
    <row r="1153" spans="1:25" ht="14.5" x14ac:dyDescent="0.35">
      <c r="A1153" s="3"/>
      <c r="B1153" s="2"/>
      <c r="C1153" s="2"/>
      <c r="D1153" s="4"/>
      <c r="E1153" s="2"/>
      <c r="F1153" s="2"/>
      <c r="G1153" s="3" t="str">
        <f t="shared" si="102"/>
        <v/>
      </c>
      <c r="H1153" s="3"/>
      <c r="I1153" s="3"/>
      <c r="J1153" s="2"/>
      <c r="K1153" s="2"/>
      <c r="L1153" s="2"/>
      <c r="M1153" s="4"/>
      <c r="N1153" s="2"/>
      <c r="O1153" s="5" t="str">
        <f t="shared" ca="1" si="103"/>
        <v/>
      </c>
      <c r="P1153" s="6"/>
      <c r="V1153" t="str">
        <f t="shared" si="104"/>
        <v/>
      </c>
      <c r="W1153" t="str">
        <f t="shared" si="105"/>
        <v/>
      </c>
      <c r="X1153" t="str">
        <f t="shared" si="106"/>
        <v/>
      </c>
      <c r="Y1153" t="str">
        <f t="shared" si="107"/>
        <v/>
      </c>
    </row>
    <row r="1154" spans="1:25" ht="14.5" x14ac:dyDescent="0.35">
      <c r="A1154" s="3"/>
      <c r="B1154" s="2"/>
      <c r="C1154" s="2"/>
      <c r="D1154" s="4"/>
      <c r="E1154" s="2"/>
      <c r="F1154" s="2"/>
      <c r="G1154" s="3" t="str">
        <f t="shared" ref="G1154:G1217" si="108">IF(COUNTIF($A$2:$A$1500,A1154&amp;".*")=0,"",COUNTIF($A$2:$A$1500,A1154&amp;".*"))</f>
        <v/>
      </c>
      <c r="H1154" s="3"/>
      <c r="I1154" s="3"/>
      <c r="J1154" s="2"/>
      <c r="K1154" s="2"/>
      <c r="L1154" s="2"/>
      <c r="M1154" s="4"/>
      <c r="N1154" s="2"/>
      <c r="O1154" s="5" t="str">
        <f t="shared" ref="O1154:O1217" ca="1" si="109">IF(M1154="","",INT(M1154)-TODAY())</f>
        <v/>
      </c>
      <c r="P1154" s="6"/>
      <c r="V1154" t="str">
        <f t="shared" ref="V1154:V1217" si="110">IF(M1154="","",M1154+Q1154/1000000)</f>
        <v/>
      </c>
      <c r="W1154" t="str">
        <f t="shared" ref="W1154:W1217" si="111">IF(U1154="","",IF(M1154="",9999999+Q1154/1000000,M1154+Q1154/1000000))</f>
        <v/>
      </c>
      <c r="X1154" t="str">
        <f t="shared" ref="X1154:X1217" si="112">IF(U1154="","",SUMPRODUCT(($U$2:$U$1500=U1154)*($W$2:$W$1500&lt;=W1154)))</f>
        <v/>
      </c>
      <c r="Y1154" t="str">
        <f t="shared" ref="Y1154:Y1217" si="113">IF(U1154="","",U1154&amp;"|"&amp;X1154)</f>
        <v/>
      </c>
    </row>
    <row r="1155" spans="1:25" ht="14.5" x14ac:dyDescent="0.35">
      <c r="A1155" s="3"/>
      <c r="B1155" s="2"/>
      <c r="C1155" s="2"/>
      <c r="D1155" s="4"/>
      <c r="E1155" s="2"/>
      <c r="F1155" s="2"/>
      <c r="G1155" s="3" t="str">
        <f t="shared" si="108"/>
        <v/>
      </c>
      <c r="H1155" s="3"/>
      <c r="I1155" s="3"/>
      <c r="J1155" s="2"/>
      <c r="K1155" s="2"/>
      <c r="L1155" s="2"/>
      <c r="M1155" s="4"/>
      <c r="N1155" s="2"/>
      <c r="O1155" s="5" t="str">
        <f t="shared" ca="1" si="109"/>
        <v/>
      </c>
      <c r="P1155" s="6"/>
      <c r="V1155" t="str">
        <f t="shared" si="110"/>
        <v/>
      </c>
      <c r="W1155" t="str">
        <f t="shared" si="111"/>
        <v/>
      </c>
      <c r="X1155" t="str">
        <f t="shared" si="112"/>
        <v/>
      </c>
      <c r="Y1155" t="str">
        <f t="shared" si="113"/>
        <v/>
      </c>
    </row>
    <row r="1156" spans="1:25" ht="14.5" x14ac:dyDescent="0.35">
      <c r="A1156" s="3"/>
      <c r="B1156" s="2"/>
      <c r="C1156" s="2"/>
      <c r="D1156" s="4"/>
      <c r="E1156" s="2"/>
      <c r="F1156" s="2"/>
      <c r="G1156" s="3" t="str">
        <f t="shared" si="108"/>
        <v/>
      </c>
      <c r="H1156" s="3"/>
      <c r="I1156" s="3"/>
      <c r="J1156" s="2"/>
      <c r="K1156" s="2"/>
      <c r="L1156" s="2"/>
      <c r="M1156" s="4"/>
      <c r="N1156" s="2"/>
      <c r="O1156" s="5" t="str">
        <f t="shared" ca="1" si="109"/>
        <v/>
      </c>
      <c r="P1156" s="6"/>
      <c r="V1156" t="str">
        <f t="shared" si="110"/>
        <v/>
      </c>
      <c r="W1156" t="str">
        <f t="shared" si="111"/>
        <v/>
      </c>
      <c r="X1156" t="str">
        <f t="shared" si="112"/>
        <v/>
      </c>
      <c r="Y1156" t="str">
        <f t="shared" si="113"/>
        <v/>
      </c>
    </row>
    <row r="1157" spans="1:25" ht="14.5" x14ac:dyDescent="0.35">
      <c r="A1157" s="3"/>
      <c r="B1157" s="2"/>
      <c r="C1157" s="2"/>
      <c r="D1157" s="4"/>
      <c r="E1157" s="2"/>
      <c r="F1157" s="2"/>
      <c r="G1157" s="3" t="str">
        <f t="shared" si="108"/>
        <v/>
      </c>
      <c r="H1157" s="3"/>
      <c r="I1157" s="3"/>
      <c r="J1157" s="2"/>
      <c r="K1157" s="2"/>
      <c r="L1157" s="2"/>
      <c r="M1157" s="4"/>
      <c r="N1157" s="2"/>
      <c r="O1157" s="5" t="str">
        <f t="shared" ca="1" si="109"/>
        <v/>
      </c>
      <c r="P1157" s="6"/>
      <c r="V1157" t="str">
        <f t="shared" si="110"/>
        <v/>
      </c>
      <c r="W1157" t="str">
        <f t="shared" si="111"/>
        <v/>
      </c>
      <c r="X1157" t="str">
        <f t="shared" si="112"/>
        <v/>
      </c>
      <c r="Y1157" t="str">
        <f t="shared" si="113"/>
        <v/>
      </c>
    </row>
    <row r="1158" spans="1:25" ht="14.5" x14ac:dyDescent="0.35">
      <c r="A1158" s="3"/>
      <c r="B1158" s="2"/>
      <c r="C1158" s="2"/>
      <c r="D1158" s="4"/>
      <c r="E1158" s="2"/>
      <c r="F1158" s="2"/>
      <c r="G1158" s="3" t="str">
        <f t="shared" si="108"/>
        <v/>
      </c>
      <c r="H1158" s="3"/>
      <c r="I1158" s="3"/>
      <c r="J1158" s="2"/>
      <c r="K1158" s="2"/>
      <c r="L1158" s="2"/>
      <c r="M1158" s="4"/>
      <c r="N1158" s="2"/>
      <c r="O1158" s="5" t="str">
        <f t="shared" ca="1" si="109"/>
        <v/>
      </c>
      <c r="P1158" s="6"/>
      <c r="V1158" t="str">
        <f t="shared" si="110"/>
        <v/>
      </c>
      <c r="W1158" t="str">
        <f t="shared" si="111"/>
        <v/>
      </c>
      <c r="X1158" t="str">
        <f t="shared" si="112"/>
        <v/>
      </c>
      <c r="Y1158" t="str">
        <f t="shared" si="113"/>
        <v/>
      </c>
    </row>
    <row r="1159" spans="1:25" ht="14.5" x14ac:dyDescent="0.35">
      <c r="A1159" s="3"/>
      <c r="B1159" s="2"/>
      <c r="C1159" s="2"/>
      <c r="D1159" s="4"/>
      <c r="E1159" s="2"/>
      <c r="F1159" s="2"/>
      <c r="G1159" s="3" t="str">
        <f t="shared" si="108"/>
        <v/>
      </c>
      <c r="H1159" s="3"/>
      <c r="I1159" s="3"/>
      <c r="J1159" s="2"/>
      <c r="K1159" s="2"/>
      <c r="L1159" s="2"/>
      <c r="M1159" s="4"/>
      <c r="N1159" s="2"/>
      <c r="O1159" s="5" t="str">
        <f t="shared" ca="1" si="109"/>
        <v/>
      </c>
      <c r="P1159" s="6"/>
      <c r="V1159" t="str">
        <f t="shared" si="110"/>
        <v/>
      </c>
      <c r="W1159" t="str">
        <f t="shared" si="111"/>
        <v/>
      </c>
      <c r="X1159" t="str">
        <f t="shared" si="112"/>
        <v/>
      </c>
      <c r="Y1159" t="str">
        <f t="shared" si="113"/>
        <v/>
      </c>
    </row>
    <row r="1160" spans="1:25" ht="14.5" x14ac:dyDescent="0.35">
      <c r="A1160" s="3"/>
      <c r="B1160" s="2"/>
      <c r="C1160" s="2"/>
      <c r="D1160" s="4"/>
      <c r="E1160" s="2"/>
      <c r="F1160" s="2"/>
      <c r="G1160" s="3" t="str">
        <f t="shared" si="108"/>
        <v/>
      </c>
      <c r="H1160" s="3"/>
      <c r="I1160" s="3"/>
      <c r="J1160" s="2"/>
      <c r="K1160" s="2"/>
      <c r="L1160" s="2"/>
      <c r="M1160" s="4"/>
      <c r="N1160" s="2"/>
      <c r="O1160" s="5" t="str">
        <f t="shared" ca="1" si="109"/>
        <v/>
      </c>
      <c r="P1160" s="6"/>
      <c r="V1160" t="str">
        <f t="shared" si="110"/>
        <v/>
      </c>
      <c r="W1160" t="str">
        <f t="shared" si="111"/>
        <v/>
      </c>
      <c r="X1160" t="str">
        <f t="shared" si="112"/>
        <v/>
      </c>
      <c r="Y1160" t="str">
        <f t="shared" si="113"/>
        <v/>
      </c>
    </row>
    <row r="1161" spans="1:25" ht="14.5" x14ac:dyDescent="0.35">
      <c r="A1161" s="3"/>
      <c r="B1161" s="2"/>
      <c r="C1161" s="2"/>
      <c r="D1161" s="4"/>
      <c r="E1161" s="2"/>
      <c r="F1161" s="2"/>
      <c r="G1161" s="3" t="str">
        <f t="shared" si="108"/>
        <v/>
      </c>
      <c r="H1161" s="3"/>
      <c r="I1161" s="3"/>
      <c r="J1161" s="2"/>
      <c r="K1161" s="2"/>
      <c r="L1161" s="2"/>
      <c r="M1161" s="4"/>
      <c r="N1161" s="2"/>
      <c r="O1161" s="5" t="str">
        <f t="shared" ca="1" si="109"/>
        <v/>
      </c>
      <c r="P1161" s="6"/>
      <c r="V1161" t="str">
        <f t="shared" si="110"/>
        <v/>
      </c>
      <c r="W1161" t="str">
        <f t="shared" si="111"/>
        <v/>
      </c>
      <c r="X1161" t="str">
        <f t="shared" si="112"/>
        <v/>
      </c>
      <c r="Y1161" t="str">
        <f t="shared" si="113"/>
        <v/>
      </c>
    </row>
    <row r="1162" spans="1:25" ht="14.5" x14ac:dyDescent="0.35">
      <c r="A1162" s="3"/>
      <c r="B1162" s="2"/>
      <c r="C1162" s="2"/>
      <c r="D1162" s="4"/>
      <c r="E1162" s="2"/>
      <c r="F1162" s="2"/>
      <c r="G1162" s="3" t="str">
        <f t="shared" si="108"/>
        <v/>
      </c>
      <c r="H1162" s="3"/>
      <c r="I1162" s="3"/>
      <c r="J1162" s="2"/>
      <c r="K1162" s="2"/>
      <c r="L1162" s="2"/>
      <c r="M1162" s="4"/>
      <c r="N1162" s="2"/>
      <c r="O1162" s="5" t="str">
        <f t="shared" ca="1" si="109"/>
        <v/>
      </c>
      <c r="P1162" s="6"/>
      <c r="V1162" t="str">
        <f t="shared" si="110"/>
        <v/>
      </c>
      <c r="W1162" t="str">
        <f t="shared" si="111"/>
        <v/>
      </c>
      <c r="X1162" t="str">
        <f t="shared" si="112"/>
        <v/>
      </c>
      <c r="Y1162" t="str">
        <f t="shared" si="113"/>
        <v/>
      </c>
    </row>
    <row r="1163" spans="1:25" ht="14.5" x14ac:dyDescent="0.35">
      <c r="A1163" s="3"/>
      <c r="B1163" s="2"/>
      <c r="C1163" s="2"/>
      <c r="D1163" s="4"/>
      <c r="E1163" s="2"/>
      <c r="F1163" s="2"/>
      <c r="G1163" s="3" t="str">
        <f t="shared" si="108"/>
        <v/>
      </c>
      <c r="H1163" s="3"/>
      <c r="I1163" s="3"/>
      <c r="J1163" s="2"/>
      <c r="K1163" s="2"/>
      <c r="L1163" s="2"/>
      <c r="M1163" s="4"/>
      <c r="N1163" s="2"/>
      <c r="O1163" s="5" t="str">
        <f t="shared" ca="1" si="109"/>
        <v/>
      </c>
      <c r="P1163" s="6"/>
      <c r="V1163" t="str">
        <f t="shared" si="110"/>
        <v/>
      </c>
      <c r="W1163" t="str">
        <f t="shared" si="111"/>
        <v/>
      </c>
      <c r="X1163" t="str">
        <f t="shared" si="112"/>
        <v/>
      </c>
      <c r="Y1163" t="str">
        <f t="shared" si="113"/>
        <v/>
      </c>
    </row>
    <row r="1164" spans="1:25" ht="14.5" x14ac:dyDescent="0.35">
      <c r="A1164" s="3"/>
      <c r="B1164" s="2"/>
      <c r="C1164" s="2"/>
      <c r="D1164" s="4"/>
      <c r="E1164" s="2"/>
      <c r="F1164" s="2"/>
      <c r="G1164" s="3" t="str">
        <f t="shared" si="108"/>
        <v/>
      </c>
      <c r="H1164" s="3"/>
      <c r="I1164" s="3"/>
      <c r="J1164" s="2"/>
      <c r="K1164" s="2"/>
      <c r="L1164" s="2"/>
      <c r="M1164" s="4"/>
      <c r="N1164" s="2"/>
      <c r="O1164" s="5" t="str">
        <f t="shared" ca="1" si="109"/>
        <v/>
      </c>
      <c r="P1164" s="6"/>
      <c r="V1164" t="str">
        <f t="shared" si="110"/>
        <v/>
      </c>
      <c r="W1164" t="str">
        <f t="shared" si="111"/>
        <v/>
      </c>
      <c r="X1164" t="str">
        <f t="shared" si="112"/>
        <v/>
      </c>
      <c r="Y1164" t="str">
        <f t="shared" si="113"/>
        <v/>
      </c>
    </row>
    <row r="1165" spans="1:25" ht="14.5" x14ac:dyDescent="0.35">
      <c r="A1165" s="3"/>
      <c r="B1165" s="2"/>
      <c r="C1165" s="2"/>
      <c r="D1165" s="4"/>
      <c r="E1165" s="2"/>
      <c r="F1165" s="2"/>
      <c r="G1165" s="3" t="str">
        <f t="shared" si="108"/>
        <v/>
      </c>
      <c r="H1165" s="3"/>
      <c r="I1165" s="3"/>
      <c r="J1165" s="2"/>
      <c r="K1165" s="2"/>
      <c r="L1165" s="2"/>
      <c r="M1165" s="4"/>
      <c r="N1165" s="2"/>
      <c r="O1165" s="5" t="str">
        <f t="shared" ca="1" si="109"/>
        <v/>
      </c>
      <c r="P1165" s="6"/>
      <c r="V1165" t="str">
        <f t="shared" si="110"/>
        <v/>
      </c>
      <c r="W1165" t="str">
        <f t="shared" si="111"/>
        <v/>
      </c>
      <c r="X1165" t="str">
        <f t="shared" si="112"/>
        <v/>
      </c>
      <c r="Y1165" t="str">
        <f t="shared" si="113"/>
        <v/>
      </c>
    </row>
    <row r="1166" spans="1:25" ht="14.5" x14ac:dyDescent="0.35">
      <c r="A1166" s="3"/>
      <c r="B1166" s="2"/>
      <c r="C1166" s="2"/>
      <c r="D1166" s="4"/>
      <c r="E1166" s="2"/>
      <c r="F1166" s="2"/>
      <c r="G1166" s="3" t="str">
        <f t="shared" si="108"/>
        <v/>
      </c>
      <c r="H1166" s="3"/>
      <c r="I1166" s="3"/>
      <c r="J1166" s="2"/>
      <c r="K1166" s="2"/>
      <c r="L1166" s="2"/>
      <c r="M1166" s="4"/>
      <c r="N1166" s="2"/>
      <c r="O1166" s="5" t="str">
        <f t="shared" ca="1" si="109"/>
        <v/>
      </c>
      <c r="P1166" s="6"/>
      <c r="V1166" t="str">
        <f t="shared" si="110"/>
        <v/>
      </c>
      <c r="W1166" t="str">
        <f t="shared" si="111"/>
        <v/>
      </c>
      <c r="X1166" t="str">
        <f t="shared" si="112"/>
        <v/>
      </c>
      <c r="Y1166" t="str">
        <f t="shared" si="113"/>
        <v/>
      </c>
    </row>
    <row r="1167" spans="1:25" ht="14.5" x14ac:dyDescent="0.35">
      <c r="A1167" s="3"/>
      <c r="B1167" s="2"/>
      <c r="C1167" s="2"/>
      <c r="D1167" s="4"/>
      <c r="E1167" s="2"/>
      <c r="F1167" s="2"/>
      <c r="G1167" s="3" t="str">
        <f t="shared" si="108"/>
        <v/>
      </c>
      <c r="H1167" s="3"/>
      <c r="I1167" s="3"/>
      <c r="J1167" s="2"/>
      <c r="K1167" s="2"/>
      <c r="L1167" s="2"/>
      <c r="M1167" s="4"/>
      <c r="N1167" s="2"/>
      <c r="O1167" s="5" t="str">
        <f t="shared" ca="1" si="109"/>
        <v/>
      </c>
      <c r="P1167" s="6"/>
      <c r="V1167" t="str">
        <f t="shared" si="110"/>
        <v/>
      </c>
      <c r="W1167" t="str">
        <f t="shared" si="111"/>
        <v/>
      </c>
      <c r="X1167" t="str">
        <f t="shared" si="112"/>
        <v/>
      </c>
      <c r="Y1167" t="str">
        <f t="shared" si="113"/>
        <v/>
      </c>
    </row>
    <row r="1168" spans="1:25" ht="14.5" x14ac:dyDescent="0.35">
      <c r="A1168" s="3"/>
      <c r="B1168" s="2"/>
      <c r="C1168" s="2"/>
      <c r="D1168" s="4"/>
      <c r="E1168" s="2"/>
      <c r="F1168" s="2"/>
      <c r="G1168" s="3" t="str">
        <f t="shared" si="108"/>
        <v/>
      </c>
      <c r="H1168" s="3"/>
      <c r="I1168" s="3"/>
      <c r="J1168" s="2"/>
      <c r="K1168" s="2"/>
      <c r="L1168" s="2"/>
      <c r="M1168" s="4"/>
      <c r="N1168" s="2"/>
      <c r="O1168" s="5" t="str">
        <f t="shared" ca="1" si="109"/>
        <v/>
      </c>
      <c r="P1168" s="6"/>
      <c r="V1168" t="str">
        <f t="shared" si="110"/>
        <v/>
      </c>
      <c r="W1168" t="str">
        <f t="shared" si="111"/>
        <v/>
      </c>
      <c r="X1168" t="str">
        <f t="shared" si="112"/>
        <v/>
      </c>
      <c r="Y1168" t="str">
        <f t="shared" si="113"/>
        <v/>
      </c>
    </row>
    <row r="1169" spans="1:25" ht="14.5" x14ac:dyDescent="0.35">
      <c r="A1169" s="3"/>
      <c r="B1169" s="2"/>
      <c r="C1169" s="2"/>
      <c r="D1169" s="4"/>
      <c r="E1169" s="2"/>
      <c r="F1169" s="2"/>
      <c r="G1169" s="3" t="str">
        <f t="shared" si="108"/>
        <v/>
      </c>
      <c r="H1169" s="3"/>
      <c r="I1169" s="3"/>
      <c r="J1169" s="2"/>
      <c r="K1169" s="2"/>
      <c r="L1169" s="2"/>
      <c r="M1169" s="4"/>
      <c r="N1169" s="2"/>
      <c r="O1169" s="5" t="str">
        <f t="shared" ca="1" si="109"/>
        <v/>
      </c>
      <c r="P1169" s="6"/>
      <c r="V1169" t="str">
        <f t="shared" si="110"/>
        <v/>
      </c>
      <c r="W1169" t="str">
        <f t="shared" si="111"/>
        <v/>
      </c>
      <c r="X1169" t="str">
        <f t="shared" si="112"/>
        <v/>
      </c>
      <c r="Y1169" t="str">
        <f t="shared" si="113"/>
        <v/>
      </c>
    </row>
    <row r="1170" spans="1:25" ht="14.5" x14ac:dyDescent="0.35">
      <c r="A1170" s="3"/>
      <c r="B1170" s="2"/>
      <c r="C1170" s="2"/>
      <c r="D1170" s="4"/>
      <c r="E1170" s="2"/>
      <c r="F1170" s="2"/>
      <c r="G1170" s="3" t="str">
        <f t="shared" si="108"/>
        <v/>
      </c>
      <c r="H1170" s="3"/>
      <c r="I1170" s="3"/>
      <c r="J1170" s="2"/>
      <c r="K1170" s="2"/>
      <c r="L1170" s="2"/>
      <c r="M1170" s="4"/>
      <c r="N1170" s="2"/>
      <c r="O1170" s="5" t="str">
        <f t="shared" ca="1" si="109"/>
        <v/>
      </c>
      <c r="P1170" s="6"/>
      <c r="V1170" t="str">
        <f t="shared" si="110"/>
        <v/>
      </c>
      <c r="W1170" t="str">
        <f t="shared" si="111"/>
        <v/>
      </c>
      <c r="X1170" t="str">
        <f t="shared" si="112"/>
        <v/>
      </c>
      <c r="Y1170" t="str">
        <f t="shared" si="113"/>
        <v/>
      </c>
    </row>
    <row r="1171" spans="1:25" ht="14.5" x14ac:dyDescent="0.35">
      <c r="A1171" s="3"/>
      <c r="B1171" s="2"/>
      <c r="C1171" s="2"/>
      <c r="D1171" s="4"/>
      <c r="E1171" s="2"/>
      <c r="F1171" s="2"/>
      <c r="G1171" s="3" t="str">
        <f t="shared" si="108"/>
        <v/>
      </c>
      <c r="H1171" s="3"/>
      <c r="I1171" s="3"/>
      <c r="J1171" s="2"/>
      <c r="K1171" s="2"/>
      <c r="L1171" s="2"/>
      <c r="M1171" s="4"/>
      <c r="N1171" s="2"/>
      <c r="O1171" s="5" t="str">
        <f t="shared" ca="1" si="109"/>
        <v/>
      </c>
      <c r="P1171" s="6"/>
      <c r="V1171" t="str">
        <f t="shared" si="110"/>
        <v/>
      </c>
      <c r="W1171" t="str">
        <f t="shared" si="111"/>
        <v/>
      </c>
      <c r="X1171" t="str">
        <f t="shared" si="112"/>
        <v/>
      </c>
      <c r="Y1171" t="str">
        <f t="shared" si="113"/>
        <v/>
      </c>
    </row>
    <row r="1172" spans="1:25" ht="14.5" x14ac:dyDescent="0.35">
      <c r="A1172" s="3"/>
      <c r="B1172" s="2"/>
      <c r="C1172" s="2"/>
      <c r="D1172" s="4"/>
      <c r="E1172" s="2"/>
      <c r="F1172" s="2"/>
      <c r="G1172" s="3" t="str">
        <f t="shared" si="108"/>
        <v/>
      </c>
      <c r="H1172" s="3"/>
      <c r="I1172" s="3"/>
      <c r="J1172" s="2"/>
      <c r="K1172" s="2"/>
      <c r="L1172" s="2"/>
      <c r="M1172" s="4"/>
      <c r="N1172" s="2"/>
      <c r="O1172" s="5" t="str">
        <f t="shared" ca="1" si="109"/>
        <v/>
      </c>
      <c r="P1172" s="6"/>
      <c r="V1172" t="str">
        <f t="shared" si="110"/>
        <v/>
      </c>
      <c r="W1172" t="str">
        <f t="shared" si="111"/>
        <v/>
      </c>
      <c r="X1172" t="str">
        <f t="shared" si="112"/>
        <v/>
      </c>
      <c r="Y1172" t="str">
        <f t="shared" si="113"/>
        <v/>
      </c>
    </row>
    <row r="1173" spans="1:25" ht="14.5" x14ac:dyDescent="0.35">
      <c r="A1173" s="3"/>
      <c r="B1173" s="2"/>
      <c r="C1173" s="2"/>
      <c r="D1173" s="4"/>
      <c r="E1173" s="2"/>
      <c r="F1173" s="2"/>
      <c r="G1173" s="3" t="str">
        <f t="shared" si="108"/>
        <v/>
      </c>
      <c r="H1173" s="3"/>
      <c r="I1173" s="3"/>
      <c r="J1173" s="2"/>
      <c r="K1173" s="2"/>
      <c r="L1173" s="2"/>
      <c r="M1173" s="4"/>
      <c r="N1173" s="2"/>
      <c r="O1173" s="5" t="str">
        <f t="shared" ca="1" si="109"/>
        <v/>
      </c>
      <c r="P1173" s="6"/>
      <c r="V1173" t="str">
        <f t="shared" si="110"/>
        <v/>
      </c>
      <c r="W1173" t="str">
        <f t="shared" si="111"/>
        <v/>
      </c>
      <c r="X1173" t="str">
        <f t="shared" si="112"/>
        <v/>
      </c>
      <c r="Y1173" t="str">
        <f t="shared" si="113"/>
        <v/>
      </c>
    </row>
    <row r="1174" spans="1:25" ht="14.5" x14ac:dyDescent="0.35">
      <c r="A1174" s="3"/>
      <c r="B1174" s="2"/>
      <c r="C1174" s="2"/>
      <c r="D1174" s="4"/>
      <c r="E1174" s="2"/>
      <c r="F1174" s="2"/>
      <c r="G1174" s="3" t="str">
        <f t="shared" si="108"/>
        <v/>
      </c>
      <c r="H1174" s="3"/>
      <c r="I1174" s="3"/>
      <c r="J1174" s="2"/>
      <c r="K1174" s="2"/>
      <c r="L1174" s="2"/>
      <c r="M1174" s="4"/>
      <c r="N1174" s="2"/>
      <c r="O1174" s="5" t="str">
        <f t="shared" ca="1" si="109"/>
        <v/>
      </c>
      <c r="P1174" s="6"/>
      <c r="V1174" t="str">
        <f t="shared" si="110"/>
        <v/>
      </c>
      <c r="W1174" t="str">
        <f t="shared" si="111"/>
        <v/>
      </c>
      <c r="X1174" t="str">
        <f t="shared" si="112"/>
        <v/>
      </c>
      <c r="Y1174" t="str">
        <f t="shared" si="113"/>
        <v/>
      </c>
    </row>
    <row r="1175" spans="1:25" ht="14.5" x14ac:dyDescent="0.35">
      <c r="A1175" s="3"/>
      <c r="B1175" s="2"/>
      <c r="C1175" s="2"/>
      <c r="D1175" s="4"/>
      <c r="E1175" s="2"/>
      <c r="F1175" s="2"/>
      <c r="G1175" s="3" t="str">
        <f t="shared" si="108"/>
        <v/>
      </c>
      <c r="H1175" s="3"/>
      <c r="I1175" s="3"/>
      <c r="J1175" s="2"/>
      <c r="K1175" s="2"/>
      <c r="L1175" s="2"/>
      <c r="M1175" s="4"/>
      <c r="N1175" s="2"/>
      <c r="O1175" s="5" t="str">
        <f t="shared" ca="1" si="109"/>
        <v/>
      </c>
      <c r="P1175" s="6"/>
      <c r="V1175" t="str">
        <f t="shared" si="110"/>
        <v/>
      </c>
      <c r="W1175" t="str">
        <f t="shared" si="111"/>
        <v/>
      </c>
      <c r="X1175" t="str">
        <f t="shared" si="112"/>
        <v/>
      </c>
      <c r="Y1175" t="str">
        <f t="shared" si="113"/>
        <v/>
      </c>
    </row>
    <row r="1176" spans="1:25" ht="14.5" x14ac:dyDescent="0.35">
      <c r="A1176" s="3"/>
      <c r="B1176" s="2"/>
      <c r="C1176" s="2"/>
      <c r="D1176" s="4"/>
      <c r="E1176" s="2"/>
      <c r="F1176" s="2"/>
      <c r="G1176" s="3" t="str">
        <f t="shared" si="108"/>
        <v/>
      </c>
      <c r="H1176" s="3"/>
      <c r="I1176" s="3"/>
      <c r="J1176" s="2"/>
      <c r="K1176" s="2"/>
      <c r="L1176" s="2"/>
      <c r="M1176" s="4"/>
      <c r="N1176" s="2"/>
      <c r="O1176" s="5" t="str">
        <f t="shared" ca="1" si="109"/>
        <v/>
      </c>
      <c r="P1176" s="6"/>
      <c r="V1176" t="str">
        <f t="shared" si="110"/>
        <v/>
      </c>
      <c r="W1176" t="str">
        <f t="shared" si="111"/>
        <v/>
      </c>
      <c r="X1176" t="str">
        <f t="shared" si="112"/>
        <v/>
      </c>
      <c r="Y1176" t="str">
        <f t="shared" si="113"/>
        <v/>
      </c>
    </row>
    <row r="1177" spans="1:25" ht="14.5" x14ac:dyDescent="0.35">
      <c r="A1177" s="3"/>
      <c r="B1177" s="2"/>
      <c r="C1177" s="2"/>
      <c r="D1177" s="4"/>
      <c r="E1177" s="2"/>
      <c r="F1177" s="2"/>
      <c r="G1177" s="3" t="str">
        <f t="shared" si="108"/>
        <v/>
      </c>
      <c r="H1177" s="3"/>
      <c r="I1177" s="3"/>
      <c r="J1177" s="2"/>
      <c r="K1177" s="2"/>
      <c r="L1177" s="2"/>
      <c r="M1177" s="4"/>
      <c r="N1177" s="2"/>
      <c r="O1177" s="5" t="str">
        <f t="shared" ca="1" si="109"/>
        <v/>
      </c>
      <c r="P1177" s="6"/>
      <c r="V1177" t="str">
        <f t="shared" si="110"/>
        <v/>
      </c>
      <c r="W1177" t="str">
        <f t="shared" si="111"/>
        <v/>
      </c>
      <c r="X1177" t="str">
        <f t="shared" si="112"/>
        <v/>
      </c>
      <c r="Y1177" t="str">
        <f t="shared" si="113"/>
        <v/>
      </c>
    </row>
    <row r="1178" spans="1:25" ht="14.5" x14ac:dyDescent="0.35">
      <c r="A1178" s="3"/>
      <c r="B1178" s="2"/>
      <c r="C1178" s="2"/>
      <c r="D1178" s="4"/>
      <c r="E1178" s="2"/>
      <c r="F1178" s="2"/>
      <c r="G1178" s="3" t="str">
        <f t="shared" si="108"/>
        <v/>
      </c>
      <c r="H1178" s="3"/>
      <c r="I1178" s="3"/>
      <c r="J1178" s="2"/>
      <c r="K1178" s="2"/>
      <c r="L1178" s="2"/>
      <c r="M1178" s="4"/>
      <c r="N1178" s="2"/>
      <c r="O1178" s="5" t="str">
        <f t="shared" ca="1" si="109"/>
        <v/>
      </c>
      <c r="P1178" s="6"/>
      <c r="V1178" t="str">
        <f t="shared" si="110"/>
        <v/>
      </c>
      <c r="W1178" t="str">
        <f t="shared" si="111"/>
        <v/>
      </c>
      <c r="X1178" t="str">
        <f t="shared" si="112"/>
        <v/>
      </c>
      <c r="Y1178" t="str">
        <f t="shared" si="113"/>
        <v/>
      </c>
    </row>
    <row r="1179" spans="1:25" ht="14.5" x14ac:dyDescent="0.35">
      <c r="A1179" s="3"/>
      <c r="B1179" s="2"/>
      <c r="C1179" s="2"/>
      <c r="D1179" s="4"/>
      <c r="E1179" s="2"/>
      <c r="F1179" s="2"/>
      <c r="G1179" s="3" t="str">
        <f t="shared" si="108"/>
        <v/>
      </c>
      <c r="H1179" s="3"/>
      <c r="I1179" s="3"/>
      <c r="J1179" s="2"/>
      <c r="K1179" s="2"/>
      <c r="L1179" s="2"/>
      <c r="M1179" s="4"/>
      <c r="N1179" s="2"/>
      <c r="O1179" s="5" t="str">
        <f t="shared" ca="1" si="109"/>
        <v/>
      </c>
      <c r="P1179" s="6"/>
      <c r="V1179" t="str">
        <f t="shared" si="110"/>
        <v/>
      </c>
      <c r="W1179" t="str">
        <f t="shared" si="111"/>
        <v/>
      </c>
      <c r="X1179" t="str">
        <f t="shared" si="112"/>
        <v/>
      </c>
      <c r="Y1179" t="str">
        <f t="shared" si="113"/>
        <v/>
      </c>
    </row>
    <row r="1180" spans="1:25" ht="14.5" x14ac:dyDescent="0.35">
      <c r="A1180" s="3"/>
      <c r="B1180" s="2"/>
      <c r="C1180" s="2"/>
      <c r="D1180" s="4"/>
      <c r="E1180" s="2"/>
      <c r="F1180" s="2"/>
      <c r="G1180" s="3" t="str">
        <f t="shared" si="108"/>
        <v/>
      </c>
      <c r="H1180" s="3"/>
      <c r="I1180" s="3"/>
      <c r="J1180" s="2"/>
      <c r="K1180" s="2"/>
      <c r="L1180" s="2"/>
      <c r="M1180" s="4"/>
      <c r="N1180" s="2"/>
      <c r="O1180" s="5" t="str">
        <f t="shared" ca="1" si="109"/>
        <v/>
      </c>
      <c r="P1180" s="6"/>
      <c r="V1180" t="str">
        <f t="shared" si="110"/>
        <v/>
      </c>
      <c r="W1180" t="str">
        <f t="shared" si="111"/>
        <v/>
      </c>
      <c r="X1180" t="str">
        <f t="shared" si="112"/>
        <v/>
      </c>
      <c r="Y1180" t="str">
        <f t="shared" si="113"/>
        <v/>
      </c>
    </row>
    <row r="1181" spans="1:25" ht="14.5" x14ac:dyDescent="0.35">
      <c r="A1181" s="3"/>
      <c r="B1181" s="2"/>
      <c r="C1181" s="2"/>
      <c r="D1181" s="4"/>
      <c r="E1181" s="2"/>
      <c r="F1181" s="2"/>
      <c r="G1181" s="3" t="str">
        <f t="shared" si="108"/>
        <v/>
      </c>
      <c r="H1181" s="3"/>
      <c r="I1181" s="3"/>
      <c r="J1181" s="2"/>
      <c r="K1181" s="2"/>
      <c r="L1181" s="2"/>
      <c r="M1181" s="4"/>
      <c r="N1181" s="2"/>
      <c r="O1181" s="5" t="str">
        <f t="shared" ca="1" si="109"/>
        <v/>
      </c>
      <c r="P1181" s="6"/>
      <c r="V1181" t="str">
        <f t="shared" si="110"/>
        <v/>
      </c>
      <c r="W1181" t="str">
        <f t="shared" si="111"/>
        <v/>
      </c>
      <c r="X1181" t="str">
        <f t="shared" si="112"/>
        <v/>
      </c>
      <c r="Y1181" t="str">
        <f t="shared" si="113"/>
        <v/>
      </c>
    </row>
    <row r="1182" spans="1:25" ht="14.5" x14ac:dyDescent="0.35">
      <c r="A1182" s="3"/>
      <c r="B1182" s="2"/>
      <c r="C1182" s="2"/>
      <c r="D1182" s="4"/>
      <c r="E1182" s="2"/>
      <c r="F1182" s="2"/>
      <c r="G1182" s="3" t="str">
        <f t="shared" si="108"/>
        <v/>
      </c>
      <c r="H1182" s="3"/>
      <c r="I1182" s="3"/>
      <c r="J1182" s="2"/>
      <c r="K1182" s="2"/>
      <c r="L1182" s="2"/>
      <c r="M1182" s="4"/>
      <c r="N1182" s="2"/>
      <c r="O1182" s="5" t="str">
        <f t="shared" ca="1" si="109"/>
        <v/>
      </c>
      <c r="P1182" s="6"/>
      <c r="V1182" t="str">
        <f t="shared" si="110"/>
        <v/>
      </c>
      <c r="W1182" t="str">
        <f t="shared" si="111"/>
        <v/>
      </c>
      <c r="X1182" t="str">
        <f t="shared" si="112"/>
        <v/>
      </c>
      <c r="Y1182" t="str">
        <f t="shared" si="113"/>
        <v/>
      </c>
    </row>
    <row r="1183" spans="1:25" ht="14.5" x14ac:dyDescent="0.35">
      <c r="A1183" s="3"/>
      <c r="B1183" s="2"/>
      <c r="C1183" s="2"/>
      <c r="D1183" s="4"/>
      <c r="E1183" s="2"/>
      <c r="F1183" s="2"/>
      <c r="G1183" s="3" t="str">
        <f t="shared" si="108"/>
        <v/>
      </c>
      <c r="H1183" s="3"/>
      <c r="I1183" s="3"/>
      <c r="J1183" s="2"/>
      <c r="K1183" s="2"/>
      <c r="L1183" s="2"/>
      <c r="M1183" s="4"/>
      <c r="N1183" s="2"/>
      <c r="O1183" s="5" t="str">
        <f t="shared" ca="1" si="109"/>
        <v/>
      </c>
      <c r="P1183" s="6"/>
      <c r="V1183" t="str">
        <f t="shared" si="110"/>
        <v/>
      </c>
      <c r="W1183" t="str">
        <f t="shared" si="111"/>
        <v/>
      </c>
      <c r="X1183" t="str">
        <f t="shared" si="112"/>
        <v/>
      </c>
      <c r="Y1183" t="str">
        <f t="shared" si="113"/>
        <v/>
      </c>
    </row>
    <row r="1184" spans="1:25" ht="14.5" x14ac:dyDescent="0.35">
      <c r="A1184" s="3"/>
      <c r="B1184" s="2"/>
      <c r="C1184" s="2"/>
      <c r="D1184" s="4"/>
      <c r="E1184" s="2"/>
      <c r="F1184" s="2"/>
      <c r="G1184" s="3" t="str">
        <f t="shared" si="108"/>
        <v/>
      </c>
      <c r="H1184" s="3"/>
      <c r="I1184" s="3"/>
      <c r="J1184" s="2"/>
      <c r="K1184" s="2"/>
      <c r="L1184" s="2"/>
      <c r="M1184" s="4"/>
      <c r="N1184" s="2"/>
      <c r="O1184" s="5" t="str">
        <f t="shared" ca="1" si="109"/>
        <v/>
      </c>
      <c r="P1184" s="6"/>
      <c r="V1184" t="str">
        <f t="shared" si="110"/>
        <v/>
      </c>
      <c r="W1184" t="str">
        <f t="shared" si="111"/>
        <v/>
      </c>
      <c r="X1184" t="str">
        <f t="shared" si="112"/>
        <v/>
      </c>
      <c r="Y1184" t="str">
        <f t="shared" si="113"/>
        <v/>
      </c>
    </row>
    <row r="1185" spans="1:25" ht="14.5" x14ac:dyDescent="0.35">
      <c r="A1185" s="3"/>
      <c r="B1185" s="2"/>
      <c r="C1185" s="2"/>
      <c r="D1185" s="4"/>
      <c r="E1185" s="2"/>
      <c r="F1185" s="2"/>
      <c r="G1185" s="3" t="str">
        <f t="shared" si="108"/>
        <v/>
      </c>
      <c r="H1185" s="3"/>
      <c r="I1185" s="3"/>
      <c r="J1185" s="2"/>
      <c r="K1185" s="2"/>
      <c r="L1185" s="2"/>
      <c r="M1185" s="4"/>
      <c r="N1185" s="2"/>
      <c r="O1185" s="5" t="str">
        <f t="shared" ca="1" si="109"/>
        <v/>
      </c>
      <c r="P1185" s="6"/>
      <c r="V1185" t="str">
        <f t="shared" si="110"/>
        <v/>
      </c>
      <c r="W1185" t="str">
        <f t="shared" si="111"/>
        <v/>
      </c>
      <c r="X1185" t="str">
        <f t="shared" si="112"/>
        <v/>
      </c>
      <c r="Y1185" t="str">
        <f t="shared" si="113"/>
        <v/>
      </c>
    </row>
    <row r="1186" spans="1:25" ht="14.5" x14ac:dyDescent="0.35">
      <c r="A1186" s="3"/>
      <c r="B1186" s="2"/>
      <c r="C1186" s="2"/>
      <c r="D1186" s="4"/>
      <c r="E1186" s="2"/>
      <c r="F1186" s="2"/>
      <c r="G1186" s="3" t="str">
        <f t="shared" si="108"/>
        <v/>
      </c>
      <c r="H1186" s="3"/>
      <c r="I1186" s="3"/>
      <c r="J1186" s="2"/>
      <c r="K1186" s="2"/>
      <c r="L1186" s="2"/>
      <c r="M1186" s="4"/>
      <c r="N1186" s="2"/>
      <c r="O1186" s="5" t="str">
        <f t="shared" ca="1" si="109"/>
        <v/>
      </c>
      <c r="P1186" s="6"/>
      <c r="V1186" t="str">
        <f t="shared" si="110"/>
        <v/>
      </c>
      <c r="W1186" t="str">
        <f t="shared" si="111"/>
        <v/>
      </c>
      <c r="X1186" t="str">
        <f t="shared" si="112"/>
        <v/>
      </c>
      <c r="Y1186" t="str">
        <f t="shared" si="113"/>
        <v/>
      </c>
    </row>
    <row r="1187" spans="1:25" ht="14.5" x14ac:dyDescent="0.35">
      <c r="A1187" s="3"/>
      <c r="B1187" s="2"/>
      <c r="C1187" s="2"/>
      <c r="D1187" s="4"/>
      <c r="E1187" s="2"/>
      <c r="F1187" s="2"/>
      <c r="G1187" s="3" t="str">
        <f t="shared" si="108"/>
        <v/>
      </c>
      <c r="H1187" s="3"/>
      <c r="I1187" s="3"/>
      <c r="J1187" s="2"/>
      <c r="K1187" s="2"/>
      <c r="L1187" s="2"/>
      <c r="M1187" s="4"/>
      <c r="N1187" s="2"/>
      <c r="O1187" s="5" t="str">
        <f t="shared" ca="1" si="109"/>
        <v/>
      </c>
      <c r="P1187" s="6"/>
      <c r="V1187" t="str">
        <f t="shared" si="110"/>
        <v/>
      </c>
      <c r="W1187" t="str">
        <f t="shared" si="111"/>
        <v/>
      </c>
      <c r="X1187" t="str">
        <f t="shared" si="112"/>
        <v/>
      </c>
      <c r="Y1187" t="str">
        <f t="shared" si="113"/>
        <v/>
      </c>
    </row>
    <row r="1188" spans="1:25" ht="14.5" x14ac:dyDescent="0.35">
      <c r="A1188" s="3"/>
      <c r="B1188" s="2"/>
      <c r="C1188" s="2"/>
      <c r="D1188" s="4"/>
      <c r="E1188" s="2"/>
      <c r="F1188" s="2"/>
      <c r="G1188" s="3" t="str">
        <f t="shared" si="108"/>
        <v/>
      </c>
      <c r="H1188" s="3"/>
      <c r="I1188" s="3"/>
      <c r="J1188" s="2"/>
      <c r="K1188" s="2"/>
      <c r="L1188" s="2"/>
      <c r="M1188" s="4"/>
      <c r="N1188" s="2"/>
      <c r="O1188" s="5" t="str">
        <f t="shared" ca="1" si="109"/>
        <v/>
      </c>
      <c r="P1188" s="6"/>
      <c r="V1188" t="str">
        <f t="shared" si="110"/>
        <v/>
      </c>
      <c r="W1188" t="str">
        <f t="shared" si="111"/>
        <v/>
      </c>
      <c r="X1188" t="str">
        <f t="shared" si="112"/>
        <v/>
      </c>
      <c r="Y1188" t="str">
        <f t="shared" si="113"/>
        <v/>
      </c>
    </row>
    <row r="1189" spans="1:25" ht="14.5" x14ac:dyDescent="0.35">
      <c r="A1189" s="3"/>
      <c r="B1189" s="2"/>
      <c r="C1189" s="2"/>
      <c r="D1189" s="4"/>
      <c r="E1189" s="2"/>
      <c r="F1189" s="2"/>
      <c r="G1189" s="3" t="str">
        <f t="shared" si="108"/>
        <v/>
      </c>
      <c r="H1189" s="3"/>
      <c r="I1189" s="3"/>
      <c r="J1189" s="2"/>
      <c r="K1189" s="2"/>
      <c r="L1189" s="2"/>
      <c r="M1189" s="4"/>
      <c r="N1189" s="2"/>
      <c r="O1189" s="5" t="str">
        <f t="shared" ca="1" si="109"/>
        <v/>
      </c>
      <c r="P1189" s="6"/>
      <c r="V1189" t="str">
        <f t="shared" si="110"/>
        <v/>
      </c>
      <c r="W1189" t="str">
        <f t="shared" si="111"/>
        <v/>
      </c>
      <c r="X1189" t="str">
        <f t="shared" si="112"/>
        <v/>
      </c>
      <c r="Y1189" t="str">
        <f t="shared" si="113"/>
        <v/>
      </c>
    </row>
    <row r="1190" spans="1:25" ht="14.5" x14ac:dyDescent="0.35">
      <c r="A1190" s="3"/>
      <c r="B1190" s="2"/>
      <c r="C1190" s="2"/>
      <c r="D1190" s="4"/>
      <c r="E1190" s="2"/>
      <c r="F1190" s="2"/>
      <c r="G1190" s="3" t="str">
        <f t="shared" si="108"/>
        <v/>
      </c>
      <c r="H1190" s="3"/>
      <c r="I1190" s="3"/>
      <c r="J1190" s="2"/>
      <c r="K1190" s="2"/>
      <c r="L1190" s="2"/>
      <c r="M1190" s="4"/>
      <c r="N1190" s="2"/>
      <c r="O1190" s="5" t="str">
        <f t="shared" ca="1" si="109"/>
        <v/>
      </c>
      <c r="P1190" s="6"/>
      <c r="V1190" t="str">
        <f t="shared" si="110"/>
        <v/>
      </c>
      <c r="W1190" t="str">
        <f t="shared" si="111"/>
        <v/>
      </c>
      <c r="X1190" t="str">
        <f t="shared" si="112"/>
        <v/>
      </c>
      <c r="Y1190" t="str">
        <f t="shared" si="113"/>
        <v/>
      </c>
    </row>
    <row r="1191" spans="1:25" ht="14.5" x14ac:dyDescent="0.35">
      <c r="A1191" s="3"/>
      <c r="B1191" s="2"/>
      <c r="C1191" s="2"/>
      <c r="D1191" s="4"/>
      <c r="E1191" s="2"/>
      <c r="F1191" s="2"/>
      <c r="G1191" s="3" t="str">
        <f t="shared" si="108"/>
        <v/>
      </c>
      <c r="H1191" s="3"/>
      <c r="I1191" s="3"/>
      <c r="J1191" s="2"/>
      <c r="K1191" s="2"/>
      <c r="L1191" s="2"/>
      <c r="M1191" s="4"/>
      <c r="N1191" s="2"/>
      <c r="O1191" s="5" t="str">
        <f t="shared" ca="1" si="109"/>
        <v/>
      </c>
      <c r="P1191" s="6"/>
      <c r="V1191" t="str">
        <f t="shared" si="110"/>
        <v/>
      </c>
      <c r="W1191" t="str">
        <f t="shared" si="111"/>
        <v/>
      </c>
      <c r="X1191" t="str">
        <f t="shared" si="112"/>
        <v/>
      </c>
      <c r="Y1191" t="str">
        <f t="shared" si="113"/>
        <v/>
      </c>
    </row>
    <row r="1192" spans="1:25" ht="14.5" x14ac:dyDescent="0.35">
      <c r="A1192" s="3"/>
      <c r="B1192" s="2"/>
      <c r="C1192" s="2"/>
      <c r="D1192" s="4"/>
      <c r="E1192" s="2"/>
      <c r="F1192" s="2"/>
      <c r="G1192" s="3" t="str">
        <f t="shared" si="108"/>
        <v/>
      </c>
      <c r="H1192" s="3"/>
      <c r="I1192" s="3"/>
      <c r="J1192" s="2"/>
      <c r="K1192" s="2"/>
      <c r="L1192" s="2"/>
      <c r="M1192" s="4"/>
      <c r="N1192" s="2"/>
      <c r="O1192" s="5" t="str">
        <f t="shared" ca="1" si="109"/>
        <v/>
      </c>
      <c r="P1192" s="6"/>
      <c r="V1192" t="str">
        <f t="shared" si="110"/>
        <v/>
      </c>
      <c r="W1192" t="str">
        <f t="shared" si="111"/>
        <v/>
      </c>
      <c r="X1192" t="str">
        <f t="shared" si="112"/>
        <v/>
      </c>
      <c r="Y1192" t="str">
        <f t="shared" si="113"/>
        <v/>
      </c>
    </row>
    <row r="1193" spans="1:25" ht="14.5" x14ac:dyDescent="0.35">
      <c r="A1193" s="3"/>
      <c r="B1193" s="2"/>
      <c r="C1193" s="2"/>
      <c r="D1193" s="4"/>
      <c r="E1193" s="2"/>
      <c r="F1193" s="2"/>
      <c r="G1193" s="3" t="str">
        <f t="shared" si="108"/>
        <v/>
      </c>
      <c r="H1193" s="3"/>
      <c r="I1193" s="3"/>
      <c r="J1193" s="2"/>
      <c r="K1193" s="2"/>
      <c r="L1193" s="2"/>
      <c r="M1193" s="4"/>
      <c r="N1193" s="2"/>
      <c r="O1193" s="5" t="str">
        <f t="shared" ca="1" si="109"/>
        <v/>
      </c>
      <c r="P1193" s="6"/>
      <c r="V1193" t="str">
        <f t="shared" si="110"/>
        <v/>
      </c>
      <c r="W1193" t="str">
        <f t="shared" si="111"/>
        <v/>
      </c>
      <c r="X1193" t="str">
        <f t="shared" si="112"/>
        <v/>
      </c>
      <c r="Y1193" t="str">
        <f t="shared" si="113"/>
        <v/>
      </c>
    </row>
    <row r="1194" spans="1:25" ht="14.5" x14ac:dyDescent="0.35">
      <c r="A1194" s="3"/>
      <c r="B1194" s="2"/>
      <c r="C1194" s="2"/>
      <c r="D1194" s="4"/>
      <c r="E1194" s="2"/>
      <c r="F1194" s="2"/>
      <c r="G1194" s="3" t="str">
        <f t="shared" si="108"/>
        <v/>
      </c>
      <c r="H1194" s="3"/>
      <c r="I1194" s="3"/>
      <c r="J1194" s="2"/>
      <c r="K1194" s="2"/>
      <c r="L1194" s="2"/>
      <c r="M1194" s="4"/>
      <c r="N1194" s="2"/>
      <c r="O1194" s="5" t="str">
        <f t="shared" ca="1" si="109"/>
        <v/>
      </c>
      <c r="P1194" s="6"/>
      <c r="V1194" t="str">
        <f t="shared" si="110"/>
        <v/>
      </c>
      <c r="W1194" t="str">
        <f t="shared" si="111"/>
        <v/>
      </c>
      <c r="X1194" t="str">
        <f t="shared" si="112"/>
        <v/>
      </c>
      <c r="Y1194" t="str">
        <f t="shared" si="113"/>
        <v/>
      </c>
    </row>
    <row r="1195" spans="1:25" ht="14.5" x14ac:dyDescent="0.35">
      <c r="A1195" s="3"/>
      <c r="B1195" s="2"/>
      <c r="C1195" s="2"/>
      <c r="D1195" s="4"/>
      <c r="E1195" s="2"/>
      <c r="F1195" s="2"/>
      <c r="G1195" s="3" t="str">
        <f t="shared" si="108"/>
        <v/>
      </c>
      <c r="H1195" s="3"/>
      <c r="I1195" s="3"/>
      <c r="J1195" s="2"/>
      <c r="K1195" s="2"/>
      <c r="L1195" s="2"/>
      <c r="M1195" s="4"/>
      <c r="N1195" s="2"/>
      <c r="O1195" s="5" t="str">
        <f t="shared" ca="1" si="109"/>
        <v/>
      </c>
      <c r="P1195" s="6"/>
      <c r="V1195" t="str">
        <f t="shared" si="110"/>
        <v/>
      </c>
      <c r="W1195" t="str">
        <f t="shared" si="111"/>
        <v/>
      </c>
      <c r="X1195" t="str">
        <f t="shared" si="112"/>
        <v/>
      </c>
      <c r="Y1195" t="str">
        <f t="shared" si="113"/>
        <v/>
      </c>
    </row>
    <row r="1196" spans="1:25" ht="14.5" x14ac:dyDescent="0.35">
      <c r="A1196" s="3"/>
      <c r="B1196" s="2"/>
      <c r="C1196" s="2"/>
      <c r="D1196" s="4"/>
      <c r="E1196" s="2"/>
      <c r="F1196" s="2"/>
      <c r="G1196" s="3" t="str">
        <f t="shared" si="108"/>
        <v/>
      </c>
      <c r="H1196" s="3"/>
      <c r="I1196" s="3"/>
      <c r="J1196" s="2"/>
      <c r="K1196" s="2"/>
      <c r="L1196" s="2"/>
      <c r="M1196" s="4"/>
      <c r="N1196" s="2"/>
      <c r="O1196" s="5" t="str">
        <f t="shared" ca="1" si="109"/>
        <v/>
      </c>
      <c r="P1196" s="6"/>
      <c r="V1196" t="str">
        <f t="shared" si="110"/>
        <v/>
      </c>
      <c r="W1196" t="str">
        <f t="shared" si="111"/>
        <v/>
      </c>
      <c r="X1196" t="str">
        <f t="shared" si="112"/>
        <v/>
      </c>
      <c r="Y1196" t="str">
        <f t="shared" si="113"/>
        <v/>
      </c>
    </row>
    <row r="1197" spans="1:25" ht="14.5" x14ac:dyDescent="0.35">
      <c r="A1197" s="3"/>
      <c r="B1197" s="2"/>
      <c r="C1197" s="2"/>
      <c r="D1197" s="4"/>
      <c r="E1197" s="2"/>
      <c r="F1197" s="2"/>
      <c r="G1197" s="3" t="str">
        <f t="shared" si="108"/>
        <v/>
      </c>
      <c r="H1197" s="3"/>
      <c r="I1197" s="3"/>
      <c r="J1197" s="2"/>
      <c r="K1197" s="2"/>
      <c r="L1197" s="2"/>
      <c r="M1197" s="4"/>
      <c r="N1197" s="2"/>
      <c r="O1197" s="5" t="str">
        <f t="shared" ca="1" si="109"/>
        <v/>
      </c>
      <c r="P1197" s="6"/>
      <c r="V1197" t="str">
        <f t="shared" si="110"/>
        <v/>
      </c>
      <c r="W1197" t="str">
        <f t="shared" si="111"/>
        <v/>
      </c>
      <c r="X1197" t="str">
        <f t="shared" si="112"/>
        <v/>
      </c>
      <c r="Y1197" t="str">
        <f t="shared" si="113"/>
        <v/>
      </c>
    </row>
    <row r="1198" spans="1:25" ht="14.5" x14ac:dyDescent="0.35">
      <c r="A1198" s="3"/>
      <c r="B1198" s="2"/>
      <c r="C1198" s="2"/>
      <c r="D1198" s="4"/>
      <c r="E1198" s="2"/>
      <c r="F1198" s="2"/>
      <c r="G1198" s="3" t="str">
        <f t="shared" si="108"/>
        <v/>
      </c>
      <c r="H1198" s="3"/>
      <c r="I1198" s="3"/>
      <c r="J1198" s="2"/>
      <c r="K1198" s="2"/>
      <c r="L1198" s="2"/>
      <c r="M1198" s="4"/>
      <c r="N1198" s="2"/>
      <c r="O1198" s="5" t="str">
        <f t="shared" ca="1" si="109"/>
        <v/>
      </c>
      <c r="P1198" s="6"/>
      <c r="V1198" t="str">
        <f t="shared" si="110"/>
        <v/>
      </c>
      <c r="W1198" t="str">
        <f t="shared" si="111"/>
        <v/>
      </c>
      <c r="X1198" t="str">
        <f t="shared" si="112"/>
        <v/>
      </c>
      <c r="Y1198" t="str">
        <f t="shared" si="113"/>
        <v/>
      </c>
    </row>
    <row r="1199" spans="1:25" ht="14.5" x14ac:dyDescent="0.35">
      <c r="A1199" s="3"/>
      <c r="B1199" s="2"/>
      <c r="C1199" s="2"/>
      <c r="D1199" s="4"/>
      <c r="E1199" s="2"/>
      <c r="F1199" s="2"/>
      <c r="G1199" s="3" t="str">
        <f t="shared" si="108"/>
        <v/>
      </c>
      <c r="H1199" s="3"/>
      <c r="I1199" s="3"/>
      <c r="J1199" s="2"/>
      <c r="K1199" s="2"/>
      <c r="L1199" s="2"/>
      <c r="M1199" s="4"/>
      <c r="N1199" s="2"/>
      <c r="O1199" s="5" t="str">
        <f t="shared" ca="1" si="109"/>
        <v/>
      </c>
      <c r="P1199" s="6"/>
      <c r="V1199" t="str">
        <f t="shared" si="110"/>
        <v/>
      </c>
      <c r="W1199" t="str">
        <f t="shared" si="111"/>
        <v/>
      </c>
      <c r="X1199" t="str">
        <f t="shared" si="112"/>
        <v/>
      </c>
      <c r="Y1199" t="str">
        <f t="shared" si="113"/>
        <v/>
      </c>
    </row>
    <row r="1200" spans="1:25" ht="14.5" x14ac:dyDescent="0.35">
      <c r="A1200" s="3"/>
      <c r="B1200" s="2"/>
      <c r="C1200" s="2"/>
      <c r="D1200" s="4"/>
      <c r="E1200" s="2"/>
      <c r="F1200" s="2"/>
      <c r="G1200" s="3" t="str">
        <f t="shared" si="108"/>
        <v/>
      </c>
      <c r="H1200" s="3"/>
      <c r="I1200" s="3"/>
      <c r="J1200" s="2"/>
      <c r="K1200" s="2"/>
      <c r="L1200" s="2"/>
      <c r="M1200" s="4"/>
      <c r="N1200" s="2"/>
      <c r="O1200" s="5" t="str">
        <f t="shared" ca="1" si="109"/>
        <v/>
      </c>
      <c r="P1200" s="6"/>
      <c r="V1200" t="str">
        <f t="shared" si="110"/>
        <v/>
      </c>
      <c r="W1200" t="str">
        <f t="shared" si="111"/>
        <v/>
      </c>
      <c r="X1200" t="str">
        <f t="shared" si="112"/>
        <v/>
      </c>
      <c r="Y1200" t="str">
        <f t="shared" si="113"/>
        <v/>
      </c>
    </row>
    <row r="1201" spans="1:25" ht="14.5" x14ac:dyDescent="0.35">
      <c r="A1201" s="3"/>
      <c r="B1201" s="2"/>
      <c r="C1201" s="2"/>
      <c r="D1201" s="4"/>
      <c r="E1201" s="2"/>
      <c r="F1201" s="2"/>
      <c r="G1201" s="3" t="str">
        <f t="shared" si="108"/>
        <v/>
      </c>
      <c r="H1201" s="3"/>
      <c r="I1201" s="3"/>
      <c r="J1201" s="2"/>
      <c r="K1201" s="2"/>
      <c r="L1201" s="2"/>
      <c r="M1201" s="4"/>
      <c r="N1201" s="2"/>
      <c r="O1201" s="5" t="str">
        <f t="shared" ca="1" si="109"/>
        <v/>
      </c>
      <c r="P1201" s="6"/>
      <c r="V1201" t="str">
        <f t="shared" si="110"/>
        <v/>
      </c>
      <c r="W1201" t="str">
        <f t="shared" si="111"/>
        <v/>
      </c>
      <c r="X1201" t="str">
        <f t="shared" si="112"/>
        <v/>
      </c>
      <c r="Y1201" t="str">
        <f t="shared" si="113"/>
        <v/>
      </c>
    </row>
    <row r="1202" spans="1:25" ht="14.5" x14ac:dyDescent="0.35">
      <c r="A1202" s="3"/>
      <c r="B1202" s="2"/>
      <c r="C1202" s="2"/>
      <c r="D1202" s="4"/>
      <c r="E1202" s="2"/>
      <c r="F1202" s="2"/>
      <c r="G1202" s="3" t="str">
        <f t="shared" si="108"/>
        <v/>
      </c>
      <c r="H1202" s="3"/>
      <c r="I1202" s="3"/>
      <c r="J1202" s="2"/>
      <c r="K1202" s="2"/>
      <c r="L1202" s="2"/>
      <c r="M1202" s="4"/>
      <c r="N1202" s="2"/>
      <c r="O1202" s="5" t="str">
        <f t="shared" ca="1" si="109"/>
        <v/>
      </c>
      <c r="P1202" s="6"/>
      <c r="V1202" t="str">
        <f t="shared" si="110"/>
        <v/>
      </c>
      <c r="W1202" t="str">
        <f t="shared" si="111"/>
        <v/>
      </c>
      <c r="X1202" t="str">
        <f t="shared" si="112"/>
        <v/>
      </c>
      <c r="Y1202" t="str">
        <f t="shared" si="113"/>
        <v/>
      </c>
    </row>
    <row r="1203" spans="1:25" ht="14.5" x14ac:dyDescent="0.35">
      <c r="A1203" s="3"/>
      <c r="B1203" s="2"/>
      <c r="C1203" s="2"/>
      <c r="D1203" s="4"/>
      <c r="E1203" s="2"/>
      <c r="F1203" s="2"/>
      <c r="G1203" s="3" t="str">
        <f t="shared" si="108"/>
        <v/>
      </c>
      <c r="H1203" s="3"/>
      <c r="I1203" s="3"/>
      <c r="J1203" s="2"/>
      <c r="K1203" s="2"/>
      <c r="L1203" s="2"/>
      <c r="M1203" s="4"/>
      <c r="N1203" s="2"/>
      <c r="O1203" s="5" t="str">
        <f t="shared" ca="1" si="109"/>
        <v/>
      </c>
      <c r="P1203" s="6"/>
      <c r="V1203" t="str">
        <f t="shared" si="110"/>
        <v/>
      </c>
      <c r="W1203" t="str">
        <f t="shared" si="111"/>
        <v/>
      </c>
      <c r="X1203" t="str">
        <f t="shared" si="112"/>
        <v/>
      </c>
      <c r="Y1203" t="str">
        <f t="shared" si="113"/>
        <v/>
      </c>
    </row>
    <row r="1204" spans="1:25" ht="14.5" x14ac:dyDescent="0.35">
      <c r="A1204" s="3"/>
      <c r="B1204" s="2"/>
      <c r="C1204" s="2"/>
      <c r="D1204" s="4"/>
      <c r="E1204" s="2"/>
      <c r="F1204" s="2"/>
      <c r="G1204" s="3" t="str">
        <f t="shared" si="108"/>
        <v/>
      </c>
      <c r="H1204" s="3"/>
      <c r="I1204" s="3"/>
      <c r="J1204" s="2"/>
      <c r="K1204" s="2"/>
      <c r="L1204" s="2"/>
      <c r="M1204" s="4"/>
      <c r="N1204" s="2"/>
      <c r="O1204" s="5" t="str">
        <f t="shared" ca="1" si="109"/>
        <v/>
      </c>
      <c r="P1204" s="6"/>
      <c r="V1204" t="str">
        <f t="shared" si="110"/>
        <v/>
      </c>
      <c r="W1204" t="str">
        <f t="shared" si="111"/>
        <v/>
      </c>
      <c r="X1204" t="str">
        <f t="shared" si="112"/>
        <v/>
      </c>
      <c r="Y1204" t="str">
        <f t="shared" si="113"/>
        <v/>
      </c>
    </row>
    <row r="1205" spans="1:25" ht="14.5" x14ac:dyDescent="0.35">
      <c r="A1205" s="3"/>
      <c r="B1205" s="2"/>
      <c r="C1205" s="2"/>
      <c r="D1205" s="4"/>
      <c r="E1205" s="2"/>
      <c r="F1205" s="2"/>
      <c r="G1205" s="3" t="str">
        <f t="shared" si="108"/>
        <v/>
      </c>
      <c r="H1205" s="3"/>
      <c r="I1205" s="3"/>
      <c r="J1205" s="2"/>
      <c r="K1205" s="2"/>
      <c r="L1205" s="2"/>
      <c r="M1205" s="4"/>
      <c r="N1205" s="2"/>
      <c r="O1205" s="5" t="str">
        <f t="shared" ca="1" si="109"/>
        <v/>
      </c>
      <c r="P1205" s="6"/>
      <c r="V1205" t="str">
        <f t="shared" si="110"/>
        <v/>
      </c>
      <c r="W1205" t="str">
        <f t="shared" si="111"/>
        <v/>
      </c>
      <c r="X1205" t="str">
        <f t="shared" si="112"/>
        <v/>
      </c>
      <c r="Y1205" t="str">
        <f t="shared" si="113"/>
        <v/>
      </c>
    </row>
    <row r="1206" spans="1:25" ht="14.5" x14ac:dyDescent="0.35">
      <c r="A1206" s="3"/>
      <c r="B1206" s="2"/>
      <c r="C1206" s="2"/>
      <c r="D1206" s="4"/>
      <c r="E1206" s="2"/>
      <c r="F1206" s="2"/>
      <c r="G1206" s="3" t="str">
        <f t="shared" si="108"/>
        <v/>
      </c>
      <c r="H1206" s="3"/>
      <c r="I1206" s="3"/>
      <c r="J1206" s="2"/>
      <c r="K1206" s="2"/>
      <c r="L1206" s="2"/>
      <c r="M1206" s="4"/>
      <c r="N1206" s="2"/>
      <c r="O1206" s="5" t="str">
        <f t="shared" ca="1" si="109"/>
        <v/>
      </c>
      <c r="P1206" s="6"/>
      <c r="V1206" t="str">
        <f t="shared" si="110"/>
        <v/>
      </c>
      <c r="W1206" t="str">
        <f t="shared" si="111"/>
        <v/>
      </c>
      <c r="X1206" t="str">
        <f t="shared" si="112"/>
        <v/>
      </c>
      <c r="Y1206" t="str">
        <f t="shared" si="113"/>
        <v/>
      </c>
    </row>
    <row r="1207" spans="1:25" ht="14.5" x14ac:dyDescent="0.35">
      <c r="A1207" s="3"/>
      <c r="B1207" s="2"/>
      <c r="C1207" s="2"/>
      <c r="D1207" s="4"/>
      <c r="E1207" s="2"/>
      <c r="F1207" s="2"/>
      <c r="G1207" s="3" t="str">
        <f t="shared" si="108"/>
        <v/>
      </c>
      <c r="H1207" s="3"/>
      <c r="I1207" s="3"/>
      <c r="J1207" s="2"/>
      <c r="K1207" s="2"/>
      <c r="L1207" s="2"/>
      <c r="M1207" s="4"/>
      <c r="N1207" s="2"/>
      <c r="O1207" s="5" t="str">
        <f t="shared" ca="1" si="109"/>
        <v/>
      </c>
      <c r="P1207" s="6"/>
      <c r="V1207" t="str">
        <f t="shared" si="110"/>
        <v/>
      </c>
      <c r="W1207" t="str">
        <f t="shared" si="111"/>
        <v/>
      </c>
      <c r="X1207" t="str">
        <f t="shared" si="112"/>
        <v/>
      </c>
      <c r="Y1207" t="str">
        <f t="shared" si="113"/>
        <v/>
      </c>
    </row>
    <row r="1208" spans="1:25" ht="14.5" x14ac:dyDescent="0.35">
      <c r="A1208" s="3"/>
      <c r="B1208" s="2"/>
      <c r="C1208" s="2"/>
      <c r="D1208" s="4"/>
      <c r="E1208" s="2"/>
      <c r="F1208" s="2"/>
      <c r="G1208" s="3" t="str">
        <f t="shared" si="108"/>
        <v/>
      </c>
      <c r="H1208" s="3"/>
      <c r="I1208" s="3"/>
      <c r="J1208" s="2"/>
      <c r="K1208" s="2"/>
      <c r="L1208" s="2"/>
      <c r="M1208" s="4"/>
      <c r="N1208" s="2"/>
      <c r="O1208" s="5" t="str">
        <f t="shared" ca="1" si="109"/>
        <v/>
      </c>
      <c r="P1208" s="6"/>
      <c r="V1208" t="str">
        <f t="shared" si="110"/>
        <v/>
      </c>
      <c r="W1208" t="str">
        <f t="shared" si="111"/>
        <v/>
      </c>
      <c r="X1208" t="str">
        <f t="shared" si="112"/>
        <v/>
      </c>
      <c r="Y1208" t="str">
        <f t="shared" si="113"/>
        <v/>
      </c>
    </row>
    <row r="1209" spans="1:25" ht="14.5" x14ac:dyDescent="0.35">
      <c r="A1209" s="3"/>
      <c r="B1209" s="2"/>
      <c r="C1209" s="2"/>
      <c r="D1209" s="4"/>
      <c r="E1209" s="2"/>
      <c r="F1209" s="2"/>
      <c r="G1209" s="3" t="str">
        <f t="shared" si="108"/>
        <v/>
      </c>
      <c r="H1209" s="3"/>
      <c r="I1209" s="3"/>
      <c r="J1209" s="2"/>
      <c r="K1209" s="2"/>
      <c r="L1209" s="2"/>
      <c r="M1209" s="4"/>
      <c r="N1209" s="2"/>
      <c r="O1209" s="5" t="str">
        <f t="shared" ca="1" si="109"/>
        <v/>
      </c>
      <c r="P1209" s="6"/>
      <c r="V1209" t="str">
        <f t="shared" si="110"/>
        <v/>
      </c>
      <c r="W1209" t="str">
        <f t="shared" si="111"/>
        <v/>
      </c>
      <c r="X1209" t="str">
        <f t="shared" si="112"/>
        <v/>
      </c>
      <c r="Y1209" t="str">
        <f t="shared" si="113"/>
        <v/>
      </c>
    </row>
    <row r="1210" spans="1:25" ht="14.5" x14ac:dyDescent="0.35">
      <c r="A1210" s="3"/>
      <c r="B1210" s="2"/>
      <c r="C1210" s="2"/>
      <c r="D1210" s="4"/>
      <c r="E1210" s="2"/>
      <c r="F1210" s="2"/>
      <c r="G1210" s="3" t="str">
        <f t="shared" si="108"/>
        <v/>
      </c>
      <c r="H1210" s="3"/>
      <c r="I1210" s="3"/>
      <c r="J1210" s="2"/>
      <c r="K1210" s="2"/>
      <c r="L1210" s="2"/>
      <c r="M1210" s="4"/>
      <c r="N1210" s="2"/>
      <c r="O1210" s="5" t="str">
        <f t="shared" ca="1" si="109"/>
        <v/>
      </c>
      <c r="P1210" s="6"/>
      <c r="V1210" t="str">
        <f t="shared" si="110"/>
        <v/>
      </c>
      <c r="W1210" t="str">
        <f t="shared" si="111"/>
        <v/>
      </c>
      <c r="X1210" t="str">
        <f t="shared" si="112"/>
        <v/>
      </c>
      <c r="Y1210" t="str">
        <f t="shared" si="113"/>
        <v/>
      </c>
    </row>
    <row r="1211" spans="1:25" ht="14.5" x14ac:dyDescent="0.35">
      <c r="A1211" s="3"/>
      <c r="B1211" s="2"/>
      <c r="C1211" s="2"/>
      <c r="D1211" s="4"/>
      <c r="E1211" s="2"/>
      <c r="F1211" s="2"/>
      <c r="G1211" s="3" t="str">
        <f t="shared" si="108"/>
        <v/>
      </c>
      <c r="H1211" s="3"/>
      <c r="I1211" s="3"/>
      <c r="J1211" s="2"/>
      <c r="K1211" s="2"/>
      <c r="L1211" s="2"/>
      <c r="M1211" s="4"/>
      <c r="N1211" s="2"/>
      <c r="O1211" s="5" t="str">
        <f t="shared" ca="1" si="109"/>
        <v/>
      </c>
      <c r="P1211" s="6"/>
      <c r="V1211" t="str">
        <f t="shared" si="110"/>
        <v/>
      </c>
      <c r="W1211" t="str">
        <f t="shared" si="111"/>
        <v/>
      </c>
      <c r="X1211" t="str">
        <f t="shared" si="112"/>
        <v/>
      </c>
      <c r="Y1211" t="str">
        <f t="shared" si="113"/>
        <v/>
      </c>
    </row>
    <row r="1212" spans="1:25" ht="14.5" x14ac:dyDescent="0.35">
      <c r="A1212" s="3"/>
      <c r="B1212" s="2"/>
      <c r="C1212" s="2"/>
      <c r="D1212" s="4"/>
      <c r="E1212" s="2"/>
      <c r="F1212" s="2"/>
      <c r="G1212" s="3" t="str">
        <f t="shared" si="108"/>
        <v/>
      </c>
      <c r="H1212" s="3"/>
      <c r="I1212" s="3"/>
      <c r="J1212" s="2"/>
      <c r="K1212" s="2"/>
      <c r="L1212" s="2"/>
      <c r="M1212" s="4"/>
      <c r="N1212" s="2"/>
      <c r="O1212" s="5" t="str">
        <f t="shared" ca="1" si="109"/>
        <v/>
      </c>
      <c r="P1212" s="6"/>
      <c r="V1212" t="str">
        <f t="shared" si="110"/>
        <v/>
      </c>
      <c r="W1212" t="str">
        <f t="shared" si="111"/>
        <v/>
      </c>
      <c r="X1212" t="str">
        <f t="shared" si="112"/>
        <v/>
      </c>
      <c r="Y1212" t="str">
        <f t="shared" si="113"/>
        <v/>
      </c>
    </row>
    <row r="1213" spans="1:25" ht="14.5" x14ac:dyDescent="0.35">
      <c r="A1213" s="3"/>
      <c r="B1213" s="2"/>
      <c r="C1213" s="2"/>
      <c r="D1213" s="4"/>
      <c r="E1213" s="2"/>
      <c r="F1213" s="2"/>
      <c r="G1213" s="3" t="str">
        <f t="shared" si="108"/>
        <v/>
      </c>
      <c r="H1213" s="3"/>
      <c r="I1213" s="3"/>
      <c r="J1213" s="2"/>
      <c r="K1213" s="2"/>
      <c r="L1213" s="2"/>
      <c r="M1213" s="4"/>
      <c r="N1213" s="2"/>
      <c r="O1213" s="5" t="str">
        <f t="shared" ca="1" si="109"/>
        <v/>
      </c>
      <c r="P1213" s="6"/>
      <c r="V1213" t="str">
        <f t="shared" si="110"/>
        <v/>
      </c>
      <c r="W1213" t="str">
        <f t="shared" si="111"/>
        <v/>
      </c>
      <c r="X1213" t="str">
        <f t="shared" si="112"/>
        <v/>
      </c>
      <c r="Y1213" t="str">
        <f t="shared" si="113"/>
        <v/>
      </c>
    </row>
    <row r="1214" spans="1:25" ht="14.5" x14ac:dyDescent="0.35">
      <c r="A1214" s="3"/>
      <c r="B1214" s="2"/>
      <c r="C1214" s="2"/>
      <c r="D1214" s="4"/>
      <c r="E1214" s="2"/>
      <c r="F1214" s="2"/>
      <c r="G1214" s="3" t="str">
        <f t="shared" si="108"/>
        <v/>
      </c>
      <c r="H1214" s="3"/>
      <c r="I1214" s="3"/>
      <c r="J1214" s="2"/>
      <c r="K1214" s="2"/>
      <c r="L1214" s="2"/>
      <c r="M1214" s="4"/>
      <c r="N1214" s="2"/>
      <c r="O1214" s="5" t="str">
        <f t="shared" ca="1" si="109"/>
        <v/>
      </c>
      <c r="P1214" s="6"/>
      <c r="V1214" t="str">
        <f t="shared" si="110"/>
        <v/>
      </c>
      <c r="W1214" t="str">
        <f t="shared" si="111"/>
        <v/>
      </c>
      <c r="X1214" t="str">
        <f t="shared" si="112"/>
        <v/>
      </c>
      <c r="Y1214" t="str">
        <f t="shared" si="113"/>
        <v/>
      </c>
    </row>
    <row r="1215" spans="1:25" ht="14.5" x14ac:dyDescent="0.35">
      <c r="A1215" s="3"/>
      <c r="B1215" s="2"/>
      <c r="C1215" s="2"/>
      <c r="D1215" s="4"/>
      <c r="E1215" s="2"/>
      <c r="F1215" s="2"/>
      <c r="G1215" s="3" t="str">
        <f t="shared" si="108"/>
        <v/>
      </c>
      <c r="H1215" s="3"/>
      <c r="I1215" s="3"/>
      <c r="J1215" s="2"/>
      <c r="K1215" s="2"/>
      <c r="L1215" s="2"/>
      <c r="M1215" s="4"/>
      <c r="N1215" s="2"/>
      <c r="O1215" s="5" t="str">
        <f t="shared" ca="1" si="109"/>
        <v/>
      </c>
      <c r="P1215" s="6"/>
      <c r="V1215" t="str">
        <f t="shared" si="110"/>
        <v/>
      </c>
      <c r="W1215" t="str">
        <f t="shared" si="111"/>
        <v/>
      </c>
      <c r="X1215" t="str">
        <f t="shared" si="112"/>
        <v/>
      </c>
      <c r="Y1215" t="str">
        <f t="shared" si="113"/>
        <v/>
      </c>
    </row>
    <row r="1216" spans="1:25" ht="14.5" x14ac:dyDescent="0.35">
      <c r="A1216" s="3"/>
      <c r="B1216" s="2"/>
      <c r="C1216" s="2"/>
      <c r="D1216" s="4"/>
      <c r="E1216" s="2"/>
      <c r="F1216" s="2"/>
      <c r="G1216" s="3" t="str">
        <f t="shared" si="108"/>
        <v/>
      </c>
      <c r="H1216" s="3"/>
      <c r="I1216" s="3"/>
      <c r="J1216" s="2"/>
      <c r="K1216" s="2"/>
      <c r="L1216" s="2"/>
      <c r="M1216" s="4"/>
      <c r="N1216" s="2"/>
      <c r="O1216" s="5" t="str">
        <f t="shared" ca="1" si="109"/>
        <v/>
      </c>
      <c r="P1216" s="6"/>
      <c r="V1216" t="str">
        <f t="shared" si="110"/>
        <v/>
      </c>
      <c r="W1216" t="str">
        <f t="shared" si="111"/>
        <v/>
      </c>
      <c r="X1216" t="str">
        <f t="shared" si="112"/>
        <v/>
      </c>
      <c r="Y1216" t="str">
        <f t="shared" si="113"/>
        <v/>
      </c>
    </row>
    <row r="1217" spans="1:25" ht="14.5" x14ac:dyDescent="0.35">
      <c r="A1217" s="3"/>
      <c r="B1217" s="2"/>
      <c r="C1217" s="2"/>
      <c r="D1217" s="4"/>
      <c r="E1217" s="2"/>
      <c r="F1217" s="2"/>
      <c r="G1217" s="3" t="str">
        <f t="shared" si="108"/>
        <v/>
      </c>
      <c r="H1217" s="3"/>
      <c r="I1217" s="3"/>
      <c r="J1217" s="2"/>
      <c r="K1217" s="2"/>
      <c r="L1217" s="2"/>
      <c r="M1217" s="4"/>
      <c r="N1217" s="2"/>
      <c r="O1217" s="5" t="str">
        <f t="shared" ca="1" si="109"/>
        <v/>
      </c>
      <c r="P1217" s="6"/>
      <c r="V1217" t="str">
        <f t="shared" si="110"/>
        <v/>
      </c>
      <c r="W1217" t="str">
        <f t="shared" si="111"/>
        <v/>
      </c>
      <c r="X1217" t="str">
        <f t="shared" si="112"/>
        <v/>
      </c>
      <c r="Y1217" t="str">
        <f t="shared" si="113"/>
        <v/>
      </c>
    </row>
    <row r="1218" spans="1:25" ht="14.5" x14ac:dyDescent="0.35">
      <c r="A1218" s="3"/>
      <c r="B1218" s="2"/>
      <c r="C1218" s="2"/>
      <c r="D1218" s="4"/>
      <c r="E1218" s="2"/>
      <c r="F1218" s="2"/>
      <c r="G1218" s="3" t="str">
        <f t="shared" ref="G1218:G1281" si="114">IF(COUNTIF($A$2:$A$1500,A1218&amp;".*")=0,"",COUNTIF($A$2:$A$1500,A1218&amp;".*"))</f>
        <v/>
      </c>
      <c r="H1218" s="3"/>
      <c r="I1218" s="3"/>
      <c r="J1218" s="2"/>
      <c r="K1218" s="2"/>
      <c r="L1218" s="2"/>
      <c r="M1218" s="4"/>
      <c r="N1218" s="2"/>
      <c r="O1218" s="5" t="str">
        <f t="shared" ref="O1218:O1281" ca="1" si="115">IF(M1218="","",INT(M1218)-TODAY())</f>
        <v/>
      </c>
      <c r="P1218" s="6"/>
      <c r="V1218" t="str">
        <f t="shared" ref="V1218:V1281" si="116">IF(M1218="","",M1218+Q1218/1000000)</f>
        <v/>
      </c>
      <c r="W1218" t="str">
        <f t="shared" ref="W1218:W1281" si="117">IF(U1218="","",IF(M1218="",9999999+Q1218/1000000,M1218+Q1218/1000000))</f>
        <v/>
      </c>
      <c r="X1218" t="str">
        <f t="shared" ref="X1218:X1281" si="118">IF(U1218="","",SUMPRODUCT(($U$2:$U$1500=U1218)*($W$2:$W$1500&lt;=W1218)))</f>
        <v/>
      </c>
      <c r="Y1218" t="str">
        <f t="shared" ref="Y1218:Y1281" si="119">IF(U1218="","",U1218&amp;"|"&amp;X1218)</f>
        <v/>
      </c>
    </row>
    <row r="1219" spans="1:25" ht="14.5" x14ac:dyDescent="0.35">
      <c r="A1219" s="3"/>
      <c r="B1219" s="2"/>
      <c r="C1219" s="2"/>
      <c r="D1219" s="4"/>
      <c r="E1219" s="2"/>
      <c r="F1219" s="2"/>
      <c r="G1219" s="3" t="str">
        <f t="shared" si="114"/>
        <v/>
      </c>
      <c r="H1219" s="3"/>
      <c r="I1219" s="3"/>
      <c r="J1219" s="2"/>
      <c r="K1219" s="2"/>
      <c r="L1219" s="2"/>
      <c r="M1219" s="4"/>
      <c r="N1219" s="2"/>
      <c r="O1219" s="5" t="str">
        <f t="shared" ca="1" si="115"/>
        <v/>
      </c>
      <c r="P1219" s="6"/>
      <c r="V1219" t="str">
        <f t="shared" si="116"/>
        <v/>
      </c>
      <c r="W1219" t="str">
        <f t="shared" si="117"/>
        <v/>
      </c>
      <c r="X1219" t="str">
        <f t="shared" si="118"/>
        <v/>
      </c>
      <c r="Y1219" t="str">
        <f t="shared" si="119"/>
        <v/>
      </c>
    </row>
    <row r="1220" spans="1:25" ht="14.5" x14ac:dyDescent="0.35">
      <c r="A1220" s="3"/>
      <c r="B1220" s="2"/>
      <c r="C1220" s="2"/>
      <c r="D1220" s="4"/>
      <c r="E1220" s="2"/>
      <c r="F1220" s="2"/>
      <c r="G1220" s="3" t="str">
        <f t="shared" si="114"/>
        <v/>
      </c>
      <c r="H1220" s="3"/>
      <c r="I1220" s="3"/>
      <c r="J1220" s="2"/>
      <c r="K1220" s="2"/>
      <c r="L1220" s="2"/>
      <c r="M1220" s="4"/>
      <c r="N1220" s="2"/>
      <c r="O1220" s="5" t="str">
        <f t="shared" ca="1" si="115"/>
        <v/>
      </c>
      <c r="P1220" s="6"/>
      <c r="V1220" t="str">
        <f t="shared" si="116"/>
        <v/>
      </c>
      <c r="W1220" t="str">
        <f t="shared" si="117"/>
        <v/>
      </c>
      <c r="X1220" t="str">
        <f t="shared" si="118"/>
        <v/>
      </c>
      <c r="Y1220" t="str">
        <f t="shared" si="119"/>
        <v/>
      </c>
    </row>
    <row r="1221" spans="1:25" ht="14.5" x14ac:dyDescent="0.35">
      <c r="A1221" s="3"/>
      <c r="B1221" s="2"/>
      <c r="C1221" s="2"/>
      <c r="D1221" s="4"/>
      <c r="E1221" s="2"/>
      <c r="F1221" s="2"/>
      <c r="G1221" s="3" t="str">
        <f t="shared" si="114"/>
        <v/>
      </c>
      <c r="H1221" s="3"/>
      <c r="I1221" s="3"/>
      <c r="J1221" s="2"/>
      <c r="K1221" s="2"/>
      <c r="L1221" s="2"/>
      <c r="M1221" s="4"/>
      <c r="N1221" s="2"/>
      <c r="O1221" s="5" t="str">
        <f t="shared" ca="1" si="115"/>
        <v/>
      </c>
      <c r="P1221" s="6"/>
      <c r="V1221" t="str">
        <f t="shared" si="116"/>
        <v/>
      </c>
      <c r="W1221" t="str">
        <f t="shared" si="117"/>
        <v/>
      </c>
      <c r="X1221" t="str">
        <f t="shared" si="118"/>
        <v/>
      </c>
      <c r="Y1221" t="str">
        <f t="shared" si="119"/>
        <v/>
      </c>
    </row>
    <row r="1222" spans="1:25" ht="14.5" x14ac:dyDescent="0.35">
      <c r="A1222" s="3"/>
      <c r="B1222" s="2"/>
      <c r="C1222" s="2"/>
      <c r="D1222" s="4"/>
      <c r="E1222" s="2"/>
      <c r="F1222" s="2"/>
      <c r="G1222" s="3" t="str">
        <f t="shared" si="114"/>
        <v/>
      </c>
      <c r="H1222" s="3"/>
      <c r="I1222" s="3"/>
      <c r="J1222" s="2"/>
      <c r="K1222" s="2"/>
      <c r="L1222" s="2"/>
      <c r="M1222" s="4"/>
      <c r="N1222" s="2"/>
      <c r="O1222" s="5" t="str">
        <f t="shared" ca="1" si="115"/>
        <v/>
      </c>
      <c r="P1222" s="6"/>
      <c r="V1222" t="str">
        <f t="shared" si="116"/>
        <v/>
      </c>
      <c r="W1222" t="str">
        <f t="shared" si="117"/>
        <v/>
      </c>
      <c r="X1222" t="str">
        <f t="shared" si="118"/>
        <v/>
      </c>
      <c r="Y1222" t="str">
        <f t="shared" si="119"/>
        <v/>
      </c>
    </row>
    <row r="1223" spans="1:25" ht="14.5" x14ac:dyDescent="0.35">
      <c r="A1223" s="3"/>
      <c r="B1223" s="2"/>
      <c r="C1223" s="2"/>
      <c r="D1223" s="4"/>
      <c r="E1223" s="2"/>
      <c r="F1223" s="2"/>
      <c r="G1223" s="3" t="str">
        <f t="shared" si="114"/>
        <v/>
      </c>
      <c r="H1223" s="3"/>
      <c r="I1223" s="3"/>
      <c r="J1223" s="2"/>
      <c r="K1223" s="2"/>
      <c r="L1223" s="2"/>
      <c r="M1223" s="4"/>
      <c r="N1223" s="2"/>
      <c r="O1223" s="5" t="str">
        <f t="shared" ca="1" si="115"/>
        <v/>
      </c>
      <c r="P1223" s="6"/>
      <c r="V1223" t="str">
        <f t="shared" si="116"/>
        <v/>
      </c>
      <c r="W1223" t="str">
        <f t="shared" si="117"/>
        <v/>
      </c>
      <c r="X1223" t="str">
        <f t="shared" si="118"/>
        <v/>
      </c>
      <c r="Y1223" t="str">
        <f t="shared" si="119"/>
        <v/>
      </c>
    </row>
    <row r="1224" spans="1:25" ht="14.5" x14ac:dyDescent="0.35">
      <c r="A1224" s="3"/>
      <c r="B1224" s="2"/>
      <c r="C1224" s="2"/>
      <c r="D1224" s="4"/>
      <c r="E1224" s="2"/>
      <c r="F1224" s="2"/>
      <c r="G1224" s="3" t="str">
        <f t="shared" si="114"/>
        <v/>
      </c>
      <c r="H1224" s="3"/>
      <c r="I1224" s="3"/>
      <c r="J1224" s="2"/>
      <c r="K1224" s="2"/>
      <c r="L1224" s="2"/>
      <c r="M1224" s="4"/>
      <c r="N1224" s="2"/>
      <c r="O1224" s="5" t="str">
        <f t="shared" ca="1" si="115"/>
        <v/>
      </c>
      <c r="P1224" s="6"/>
      <c r="V1224" t="str">
        <f t="shared" si="116"/>
        <v/>
      </c>
      <c r="W1224" t="str">
        <f t="shared" si="117"/>
        <v/>
      </c>
      <c r="X1224" t="str">
        <f t="shared" si="118"/>
        <v/>
      </c>
      <c r="Y1224" t="str">
        <f t="shared" si="119"/>
        <v/>
      </c>
    </row>
    <row r="1225" spans="1:25" ht="14.5" x14ac:dyDescent="0.35">
      <c r="A1225" s="3"/>
      <c r="B1225" s="2"/>
      <c r="C1225" s="2"/>
      <c r="D1225" s="4"/>
      <c r="E1225" s="2"/>
      <c r="F1225" s="2"/>
      <c r="G1225" s="3" t="str">
        <f t="shared" si="114"/>
        <v/>
      </c>
      <c r="H1225" s="3"/>
      <c r="I1225" s="3"/>
      <c r="J1225" s="2"/>
      <c r="K1225" s="2"/>
      <c r="L1225" s="2"/>
      <c r="M1225" s="4"/>
      <c r="N1225" s="2"/>
      <c r="O1225" s="5" t="str">
        <f t="shared" ca="1" si="115"/>
        <v/>
      </c>
      <c r="P1225" s="6"/>
      <c r="V1225" t="str">
        <f t="shared" si="116"/>
        <v/>
      </c>
      <c r="W1225" t="str">
        <f t="shared" si="117"/>
        <v/>
      </c>
      <c r="X1225" t="str">
        <f t="shared" si="118"/>
        <v/>
      </c>
      <c r="Y1225" t="str">
        <f t="shared" si="119"/>
        <v/>
      </c>
    </row>
    <row r="1226" spans="1:25" ht="14.5" x14ac:dyDescent="0.35">
      <c r="A1226" s="3"/>
      <c r="B1226" s="2"/>
      <c r="C1226" s="2"/>
      <c r="D1226" s="4"/>
      <c r="E1226" s="2"/>
      <c r="F1226" s="2"/>
      <c r="G1226" s="3" t="str">
        <f t="shared" si="114"/>
        <v/>
      </c>
      <c r="H1226" s="3"/>
      <c r="I1226" s="3"/>
      <c r="J1226" s="2"/>
      <c r="K1226" s="2"/>
      <c r="L1226" s="2"/>
      <c r="M1226" s="4"/>
      <c r="N1226" s="2"/>
      <c r="O1226" s="5" t="str">
        <f t="shared" ca="1" si="115"/>
        <v/>
      </c>
      <c r="P1226" s="6"/>
      <c r="V1226" t="str">
        <f t="shared" si="116"/>
        <v/>
      </c>
      <c r="W1226" t="str">
        <f t="shared" si="117"/>
        <v/>
      </c>
      <c r="X1226" t="str">
        <f t="shared" si="118"/>
        <v/>
      </c>
      <c r="Y1226" t="str">
        <f t="shared" si="119"/>
        <v/>
      </c>
    </row>
    <row r="1227" spans="1:25" ht="14.5" x14ac:dyDescent="0.35">
      <c r="A1227" s="3"/>
      <c r="B1227" s="2"/>
      <c r="C1227" s="2"/>
      <c r="D1227" s="4"/>
      <c r="E1227" s="2"/>
      <c r="F1227" s="2"/>
      <c r="G1227" s="3" t="str">
        <f t="shared" si="114"/>
        <v/>
      </c>
      <c r="H1227" s="3"/>
      <c r="I1227" s="3"/>
      <c r="J1227" s="2"/>
      <c r="K1227" s="2"/>
      <c r="L1227" s="2"/>
      <c r="M1227" s="4"/>
      <c r="N1227" s="2"/>
      <c r="O1227" s="5" t="str">
        <f t="shared" ca="1" si="115"/>
        <v/>
      </c>
      <c r="P1227" s="6"/>
      <c r="V1227" t="str">
        <f t="shared" si="116"/>
        <v/>
      </c>
      <c r="W1227" t="str">
        <f t="shared" si="117"/>
        <v/>
      </c>
      <c r="X1227" t="str">
        <f t="shared" si="118"/>
        <v/>
      </c>
      <c r="Y1227" t="str">
        <f t="shared" si="119"/>
        <v/>
      </c>
    </row>
    <row r="1228" spans="1:25" ht="14.5" x14ac:dyDescent="0.35">
      <c r="A1228" s="3"/>
      <c r="B1228" s="2"/>
      <c r="C1228" s="2"/>
      <c r="D1228" s="4"/>
      <c r="E1228" s="2"/>
      <c r="F1228" s="2"/>
      <c r="G1228" s="3" t="str">
        <f t="shared" si="114"/>
        <v/>
      </c>
      <c r="H1228" s="3"/>
      <c r="I1228" s="3"/>
      <c r="J1228" s="2"/>
      <c r="K1228" s="2"/>
      <c r="L1228" s="2"/>
      <c r="M1228" s="4"/>
      <c r="N1228" s="2"/>
      <c r="O1228" s="5" t="str">
        <f t="shared" ca="1" si="115"/>
        <v/>
      </c>
      <c r="P1228" s="6"/>
      <c r="V1228" t="str">
        <f t="shared" si="116"/>
        <v/>
      </c>
      <c r="W1228" t="str">
        <f t="shared" si="117"/>
        <v/>
      </c>
      <c r="X1228" t="str">
        <f t="shared" si="118"/>
        <v/>
      </c>
      <c r="Y1228" t="str">
        <f t="shared" si="119"/>
        <v/>
      </c>
    </row>
    <row r="1229" spans="1:25" ht="14.5" x14ac:dyDescent="0.35">
      <c r="A1229" s="3"/>
      <c r="B1229" s="2"/>
      <c r="C1229" s="2"/>
      <c r="D1229" s="4"/>
      <c r="E1229" s="2"/>
      <c r="F1229" s="2"/>
      <c r="G1229" s="3" t="str">
        <f t="shared" si="114"/>
        <v/>
      </c>
      <c r="H1229" s="3"/>
      <c r="I1229" s="3"/>
      <c r="J1229" s="2"/>
      <c r="K1229" s="2"/>
      <c r="L1229" s="2"/>
      <c r="M1229" s="4"/>
      <c r="N1229" s="2"/>
      <c r="O1229" s="5" t="str">
        <f t="shared" ca="1" si="115"/>
        <v/>
      </c>
      <c r="P1229" s="6"/>
      <c r="V1229" t="str">
        <f t="shared" si="116"/>
        <v/>
      </c>
      <c r="W1229" t="str">
        <f t="shared" si="117"/>
        <v/>
      </c>
      <c r="X1229" t="str">
        <f t="shared" si="118"/>
        <v/>
      </c>
      <c r="Y1229" t="str">
        <f t="shared" si="119"/>
        <v/>
      </c>
    </row>
    <row r="1230" spans="1:25" ht="14.5" x14ac:dyDescent="0.35">
      <c r="A1230" s="3"/>
      <c r="B1230" s="2"/>
      <c r="C1230" s="2"/>
      <c r="D1230" s="4"/>
      <c r="E1230" s="2"/>
      <c r="F1230" s="2"/>
      <c r="G1230" s="3" t="str">
        <f t="shared" si="114"/>
        <v/>
      </c>
      <c r="H1230" s="3"/>
      <c r="I1230" s="3"/>
      <c r="J1230" s="2"/>
      <c r="K1230" s="2"/>
      <c r="L1230" s="2"/>
      <c r="M1230" s="4"/>
      <c r="N1230" s="2"/>
      <c r="O1230" s="5" t="str">
        <f t="shared" ca="1" si="115"/>
        <v/>
      </c>
      <c r="P1230" s="6"/>
      <c r="V1230" t="str">
        <f t="shared" si="116"/>
        <v/>
      </c>
      <c r="W1230" t="str">
        <f t="shared" si="117"/>
        <v/>
      </c>
      <c r="X1230" t="str">
        <f t="shared" si="118"/>
        <v/>
      </c>
      <c r="Y1230" t="str">
        <f t="shared" si="119"/>
        <v/>
      </c>
    </row>
    <row r="1231" spans="1:25" ht="14.5" x14ac:dyDescent="0.35">
      <c r="A1231" s="3"/>
      <c r="B1231" s="2"/>
      <c r="C1231" s="2"/>
      <c r="D1231" s="4"/>
      <c r="E1231" s="2"/>
      <c r="F1231" s="2"/>
      <c r="G1231" s="3" t="str">
        <f t="shared" si="114"/>
        <v/>
      </c>
      <c r="H1231" s="3"/>
      <c r="I1231" s="3"/>
      <c r="J1231" s="2"/>
      <c r="K1231" s="2"/>
      <c r="L1231" s="2"/>
      <c r="M1231" s="4"/>
      <c r="N1231" s="2"/>
      <c r="O1231" s="5" t="str">
        <f t="shared" ca="1" si="115"/>
        <v/>
      </c>
      <c r="P1231" s="6"/>
      <c r="V1231" t="str">
        <f t="shared" si="116"/>
        <v/>
      </c>
      <c r="W1231" t="str">
        <f t="shared" si="117"/>
        <v/>
      </c>
      <c r="X1231" t="str">
        <f t="shared" si="118"/>
        <v/>
      </c>
      <c r="Y1231" t="str">
        <f t="shared" si="119"/>
        <v/>
      </c>
    </row>
    <row r="1232" spans="1:25" ht="14.5" x14ac:dyDescent="0.35">
      <c r="A1232" s="3"/>
      <c r="B1232" s="2"/>
      <c r="C1232" s="2"/>
      <c r="D1232" s="4"/>
      <c r="E1232" s="2"/>
      <c r="F1232" s="2"/>
      <c r="G1232" s="3" t="str">
        <f t="shared" si="114"/>
        <v/>
      </c>
      <c r="H1232" s="3"/>
      <c r="I1232" s="3"/>
      <c r="J1232" s="2"/>
      <c r="K1232" s="2"/>
      <c r="L1232" s="2"/>
      <c r="M1232" s="4"/>
      <c r="N1232" s="2"/>
      <c r="O1232" s="5" t="str">
        <f t="shared" ca="1" si="115"/>
        <v/>
      </c>
      <c r="P1232" s="6"/>
      <c r="V1232" t="str">
        <f t="shared" si="116"/>
        <v/>
      </c>
      <c r="W1232" t="str">
        <f t="shared" si="117"/>
        <v/>
      </c>
      <c r="X1232" t="str">
        <f t="shared" si="118"/>
        <v/>
      </c>
      <c r="Y1232" t="str">
        <f t="shared" si="119"/>
        <v/>
      </c>
    </row>
    <row r="1233" spans="1:25" ht="14.5" x14ac:dyDescent="0.35">
      <c r="A1233" s="3"/>
      <c r="B1233" s="2"/>
      <c r="C1233" s="2"/>
      <c r="D1233" s="4"/>
      <c r="E1233" s="2"/>
      <c r="F1233" s="2"/>
      <c r="G1233" s="3" t="str">
        <f t="shared" si="114"/>
        <v/>
      </c>
      <c r="H1233" s="3"/>
      <c r="I1233" s="3"/>
      <c r="J1233" s="2"/>
      <c r="K1233" s="2"/>
      <c r="L1233" s="2"/>
      <c r="M1233" s="4"/>
      <c r="N1233" s="2"/>
      <c r="O1233" s="5" t="str">
        <f t="shared" ca="1" si="115"/>
        <v/>
      </c>
      <c r="P1233" s="6"/>
      <c r="V1233" t="str">
        <f t="shared" si="116"/>
        <v/>
      </c>
      <c r="W1233" t="str">
        <f t="shared" si="117"/>
        <v/>
      </c>
      <c r="X1233" t="str">
        <f t="shared" si="118"/>
        <v/>
      </c>
      <c r="Y1233" t="str">
        <f t="shared" si="119"/>
        <v/>
      </c>
    </row>
    <row r="1234" spans="1:25" ht="14.5" x14ac:dyDescent="0.35">
      <c r="A1234" s="3"/>
      <c r="B1234" s="2"/>
      <c r="C1234" s="2"/>
      <c r="D1234" s="4"/>
      <c r="E1234" s="2"/>
      <c r="F1234" s="2"/>
      <c r="G1234" s="3" t="str">
        <f t="shared" si="114"/>
        <v/>
      </c>
      <c r="H1234" s="3"/>
      <c r="I1234" s="3"/>
      <c r="J1234" s="2"/>
      <c r="K1234" s="2"/>
      <c r="L1234" s="2"/>
      <c r="M1234" s="4"/>
      <c r="N1234" s="2"/>
      <c r="O1234" s="5" t="str">
        <f t="shared" ca="1" si="115"/>
        <v/>
      </c>
      <c r="P1234" s="6"/>
      <c r="V1234" t="str">
        <f t="shared" si="116"/>
        <v/>
      </c>
      <c r="W1234" t="str">
        <f t="shared" si="117"/>
        <v/>
      </c>
      <c r="X1234" t="str">
        <f t="shared" si="118"/>
        <v/>
      </c>
      <c r="Y1234" t="str">
        <f t="shared" si="119"/>
        <v/>
      </c>
    </row>
    <row r="1235" spans="1:25" ht="14.5" x14ac:dyDescent="0.35">
      <c r="A1235" s="3"/>
      <c r="B1235" s="2"/>
      <c r="C1235" s="2"/>
      <c r="D1235" s="4"/>
      <c r="E1235" s="2"/>
      <c r="F1235" s="2"/>
      <c r="G1235" s="3" t="str">
        <f t="shared" si="114"/>
        <v/>
      </c>
      <c r="H1235" s="3"/>
      <c r="I1235" s="3"/>
      <c r="J1235" s="2"/>
      <c r="K1235" s="2"/>
      <c r="L1235" s="2"/>
      <c r="M1235" s="4"/>
      <c r="N1235" s="2"/>
      <c r="O1235" s="5" t="str">
        <f t="shared" ca="1" si="115"/>
        <v/>
      </c>
      <c r="P1235" s="6"/>
      <c r="V1235" t="str">
        <f t="shared" si="116"/>
        <v/>
      </c>
      <c r="W1235" t="str">
        <f t="shared" si="117"/>
        <v/>
      </c>
      <c r="X1235" t="str">
        <f t="shared" si="118"/>
        <v/>
      </c>
      <c r="Y1235" t="str">
        <f t="shared" si="119"/>
        <v/>
      </c>
    </row>
    <row r="1236" spans="1:25" ht="14.5" x14ac:dyDescent="0.35">
      <c r="A1236" s="3"/>
      <c r="B1236" s="2"/>
      <c r="C1236" s="2"/>
      <c r="D1236" s="4"/>
      <c r="E1236" s="2"/>
      <c r="F1236" s="2"/>
      <c r="G1236" s="3" t="str">
        <f t="shared" si="114"/>
        <v/>
      </c>
      <c r="H1236" s="3"/>
      <c r="I1236" s="3"/>
      <c r="J1236" s="2"/>
      <c r="K1236" s="2"/>
      <c r="L1236" s="2"/>
      <c r="M1236" s="4"/>
      <c r="N1236" s="2"/>
      <c r="O1236" s="5" t="str">
        <f t="shared" ca="1" si="115"/>
        <v/>
      </c>
      <c r="P1236" s="6"/>
      <c r="V1236" t="str">
        <f t="shared" si="116"/>
        <v/>
      </c>
      <c r="W1236" t="str">
        <f t="shared" si="117"/>
        <v/>
      </c>
      <c r="X1236" t="str">
        <f t="shared" si="118"/>
        <v/>
      </c>
      <c r="Y1236" t="str">
        <f t="shared" si="119"/>
        <v/>
      </c>
    </row>
    <row r="1237" spans="1:25" ht="14.5" x14ac:dyDescent="0.35">
      <c r="A1237" s="3"/>
      <c r="B1237" s="2"/>
      <c r="C1237" s="2"/>
      <c r="D1237" s="4"/>
      <c r="E1237" s="2"/>
      <c r="F1237" s="2"/>
      <c r="G1237" s="3" t="str">
        <f t="shared" si="114"/>
        <v/>
      </c>
      <c r="H1237" s="3"/>
      <c r="I1237" s="3"/>
      <c r="J1237" s="2"/>
      <c r="K1237" s="2"/>
      <c r="L1237" s="2"/>
      <c r="M1237" s="4"/>
      <c r="N1237" s="2"/>
      <c r="O1237" s="5" t="str">
        <f t="shared" ca="1" si="115"/>
        <v/>
      </c>
      <c r="P1237" s="6"/>
      <c r="V1237" t="str">
        <f t="shared" si="116"/>
        <v/>
      </c>
      <c r="W1237" t="str">
        <f t="shared" si="117"/>
        <v/>
      </c>
      <c r="X1237" t="str">
        <f t="shared" si="118"/>
        <v/>
      </c>
      <c r="Y1237" t="str">
        <f t="shared" si="119"/>
        <v/>
      </c>
    </row>
    <row r="1238" spans="1:25" ht="14.5" x14ac:dyDescent="0.35">
      <c r="A1238" s="3"/>
      <c r="B1238" s="2"/>
      <c r="C1238" s="2"/>
      <c r="D1238" s="4"/>
      <c r="E1238" s="2"/>
      <c r="F1238" s="2"/>
      <c r="G1238" s="3" t="str">
        <f t="shared" si="114"/>
        <v/>
      </c>
      <c r="H1238" s="3"/>
      <c r="I1238" s="3"/>
      <c r="J1238" s="2"/>
      <c r="K1238" s="2"/>
      <c r="L1238" s="2"/>
      <c r="M1238" s="4"/>
      <c r="N1238" s="2"/>
      <c r="O1238" s="5" t="str">
        <f t="shared" ca="1" si="115"/>
        <v/>
      </c>
      <c r="P1238" s="6"/>
      <c r="V1238" t="str">
        <f t="shared" si="116"/>
        <v/>
      </c>
      <c r="W1238" t="str">
        <f t="shared" si="117"/>
        <v/>
      </c>
      <c r="X1238" t="str">
        <f t="shared" si="118"/>
        <v/>
      </c>
      <c r="Y1238" t="str">
        <f t="shared" si="119"/>
        <v/>
      </c>
    </row>
    <row r="1239" spans="1:25" ht="14.5" x14ac:dyDescent="0.35">
      <c r="A1239" s="3"/>
      <c r="B1239" s="2"/>
      <c r="C1239" s="2"/>
      <c r="D1239" s="4"/>
      <c r="E1239" s="2"/>
      <c r="F1239" s="2"/>
      <c r="G1239" s="3" t="str">
        <f t="shared" si="114"/>
        <v/>
      </c>
      <c r="H1239" s="3"/>
      <c r="I1239" s="3"/>
      <c r="J1239" s="2"/>
      <c r="K1239" s="2"/>
      <c r="L1239" s="2"/>
      <c r="M1239" s="4"/>
      <c r="N1239" s="2"/>
      <c r="O1239" s="5" t="str">
        <f t="shared" ca="1" si="115"/>
        <v/>
      </c>
      <c r="P1239" s="6"/>
      <c r="V1239" t="str">
        <f t="shared" si="116"/>
        <v/>
      </c>
      <c r="W1239" t="str">
        <f t="shared" si="117"/>
        <v/>
      </c>
      <c r="X1239" t="str">
        <f t="shared" si="118"/>
        <v/>
      </c>
      <c r="Y1239" t="str">
        <f t="shared" si="119"/>
        <v/>
      </c>
    </row>
    <row r="1240" spans="1:25" ht="14.5" x14ac:dyDescent="0.35">
      <c r="A1240" s="3"/>
      <c r="B1240" s="2"/>
      <c r="C1240" s="2"/>
      <c r="D1240" s="4"/>
      <c r="E1240" s="2"/>
      <c r="F1240" s="2"/>
      <c r="G1240" s="3" t="str">
        <f t="shared" si="114"/>
        <v/>
      </c>
      <c r="H1240" s="3"/>
      <c r="I1240" s="3"/>
      <c r="J1240" s="2"/>
      <c r="K1240" s="2"/>
      <c r="L1240" s="2"/>
      <c r="M1240" s="4"/>
      <c r="N1240" s="2"/>
      <c r="O1240" s="5" t="str">
        <f t="shared" ca="1" si="115"/>
        <v/>
      </c>
      <c r="P1240" s="6"/>
      <c r="V1240" t="str">
        <f t="shared" si="116"/>
        <v/>
      </c>
      <c r="W1240" t="str">
        <f t="shared" si="117"/>
        <v/>
      </c>
      <c r="X1240" t="str">
        <f t="shared" si="118"/>
        <v/>
      </c>
      <c r="Y1240" t="str">
        <f t="shared" si="119"/>
        <v/>
      </c>
    </row>
    <row r="1241" spans="1:25" ht="14.5" x14ac:dyDescent="0.35">
      <c r="A1241" s="3"/>
      <c r="B1241" s="2"/>
      <c r="C1241" s="2"/>
      <c r="D1241" s="4"/>
      <c r="E1241" s="2"/>
      <c r="F1241" s="2"/>
      <c r="G1241" s="3" t="str">
        <f t="shared" si="114"/>
        <v/>
      </c>
      <c r="H1241" s="3"/>
      <c r="I1241" s="3"/>
      <c r="J1241" s="2"/>
      <c r="K1241" s="2"/>
      <c r="L1241" s="2"/>
      <c r="M1241" s="4"/>
      <c r="N1241" s="2"/>
      <c r="O1241" s="5" t="str">
        <f t="shared" ca="1" si="115"/>
        <v/>
      </c>
      <c r="P1241" s="6"/>
      <c r="V1241" t="str">
        <f t="shared" si="116"/>
        <v/>
      </c>
      <c r="W1241" t="str">
        <f t="shared" si="117"/>
        <v/>
      </c>
      <c r="X1241" t="str">
        <f t="shared" si="118"/>
        <v/>
      </c>
      <c r="Y1241" t="str">
        <f t="shared" si="119"/>
        <v/>
      </c>
    </row>
    <row r="1242" spans="1:25" ht="14.5" x14ac:dyDescent="0.35">
      <c r="A1242" s="3"/>
      <c r="B1242" s="2"/>
      <c r="C1242" s="2"/>
      <c r="D1242" s="4"/>
      <c r="E1242" s="2"/>
      <c r="F1242" s="2"/>
      <c r="G1242" s="3" t="str">
        <f t="shared" si="114"/>
        <v/>
      </c>
      <c r="H1242" s="3"/>
      <c r="I1242" s="3"/>
      <c r="J1242" s="2"/>
      <c r="K1242" s="2"/>
      <c r="L1242" s="2"/>
      <c r="M1242" s="4"/>
      <c r="N1242" s="2"/>
      <c r="O1242" s="5" t="str">
        <f t="shared" ca="1" si="115"/>
        <v/>
      </c>
      <c r="P1242" s="6"/>
      <c r="V1242" t="str">
        <f t="shared" si="116"/>
        <v/>
      </c>
      <c r="W1242" t="str">
        <f t="shared" si="117"/>
        <v/>
      </c>
      <c r="X1242" t="str">
        <f t="shared" si="118"/>
        <v/>
      </c>
      <c r="Y1242" t="str">
        <f t="shared" si="119"/>
        <v/>
      </c>
    </row>
    <row r="1243" spans="1:25" ht="14.5" x14ac:dyDescent="0.35">
      <c r="A1243" s="3"/>
      <c r="B1243" s="2"/>
      <c r="C1243" s="2"/>
      <c r="D1243" s="4"/>
      <c r="E1243" s="2"/>
      <c r="F1243" s="2"/>
      <c r="G1243" s="3" t="str">
        <f t="shared" si="114"/>
        <v/>
      </c>
      <c r="H1243" s="3"/>
      <c r="I1243" s="3"/>
      <c r="J1243" s="2"/>
      <c r="K1243" s="2"/>
      <c r="L1243" s="2"/>
      <c r="M1243" s="4"/>
      <c r="N1243" s="2"/>
      <c r="O1243" s="5" t="str">
        <f t="shared" ca="1" si="115"/>
        <v/>
      </c>
      <c r="P1243" s="6"/>
      <c r="V1243" t="str">
        <f t="shared" si="116"/>
        <v/>
      </c>
      <c r="W1243" t="str">
        <f t="shared" si="117"/>
        <v/>
      </c>
      <c r="X1243" t="str">
        <f t="shared" si="118"/>
        <v/>
      </c>
      <c r="Y1243" t="str">
        <f t="shared" si="119"/>
        <v/>
      </c>
    </row>
    <row r="1244" spans="1:25" ht="14.5" x14ac:dyDescent="0.35">
      <c r="A1244" s="3"/>
      <c r="B1244" s="2"/>
      <c r="C1244" s="2"/>
      <c r="D1244" s="4"/>
      <c r="E1244" s="2"/>
      <c r="F1244" s="2"/>
      <c r="G1244" s="3" t="str">
        <f t="shared" si="114"/>
        <v/>
      </c>
      <c r="H1244" s="3"/>
      <c r="I1244" s="3"/>
      <c r="J1244" s="2"/>
      <c r="K1244" s="2"/>
      <c r="L1244" s="2"/>
      <c r="M1244" s="4"/>
      <c r="N1244" s="2"/>
      <c r="O1244" s="5" t="str">
        <f t="shared" ca="1" si="115"/>
        <v/>
      </c>
      <c r="P1244" s="6"/>
      <c r="V1244" t="str">
        <f t="shared" si="116"/>
        <v/>
      </c>
      <c r="W1244" t="str">
        <f t="shared" si="117"/>
        <v/>
      </c>
      <c r="X1244" t="str">
        <f t="shared" si="118"/>
        <v/>
      </c>
      <c r="Y1244" t="str">
        <f t="shared" si="119"/>
        <v/>
      </c>
    </row>
    <row r="1245" spans="1:25" ht="14.5" x14ac:dyDescent="0.35">
      <c r="A1245" s="3"/>
      <c r="B1245" s="2"/>
      <c r="C1245" s="2"/>
      <c r="D1245" s="4"/>
      <c r="E1245" s="2"/>
      <c r="F1245" s="2"/>
      <c r="G1245" s="3" t="str">
        <f t="shared" si="114"/>
        <v/>
      </c>
      <c r="H1245" s="3"/>
      <c r="I1245" s="3"/>
      <c r="J1245" s="2"/>
      <c r="K1245" s="2"/>
      <c r="L1245" s="2"/>
      <c r="M1245" s="4"/>
      <c r="N1245" s="2"/>
      <c r="O1245" s="5" t="str">
        <f t="shared" ca="1" si="115"/>
        <v/>
      </c>
      <c r="P1245" s="6"/>
      <c r="V1245" t="str">
        <f t="shared" si="116"/>
        <v/>
      </c>
      <c r="W1245" t="str">
        <f t="shared" si="117"/>
        <v/>
      </c>
      <c r="X1245" t="str">
        <f t="shared" si="118"/>
        <v/>
      </c>
      <c r="Y1245" t="str">
        <f t="shared" si="119"/>
        <v/>
      </c>
    </row>
    <row r="1246" spans="1:25" ht="14.5" x14ac:dyDescent="0.35">
      <c r="A1246" s="3"/>
      <c r="B1246" s="2"/>
      <c r="C1246" s="2"/>
      <c r="D1246" s="4"/>
      <c r="E1246" s="2"/>
      <c r="F1246" s="2"/>
      <c r="G1246" s="3" t="str">
        <f t="shared" si="114"/>
        <v/>
      </c>
      <c r="H1246" s="3"/>
      <c r="I1246" s="3"/>
      <c r="J1246" s="2"/>
      <c r="K1246" s="2"/>
      <c r="L1246" s="2"/>
      <c r="M1246" s="4"/>
      <c r="N1246" s="2"/>
      <c r="O1246" s="5" t="str">
        <f t="shared" ca="1" si="115"/>
        <v/>
      </c>
      <c r="P1246" s="6"/>
      <c r="V1246" t="str">
        <f t="shared" si="116"/>
        <v/>
      </c>
      <c r="W1246" t="str">
        <f t="shared" si="117"/>
        <v/>
      </c>
      <c r="X1246" t="str">
        <f t="shared" si="118"/>
        <v/>
      </c>
      <c r="Y1246" t="str">
        <f t="shared" si="119"/>
        <v/>
      </c>
    </row>
    <row r="1247" spans="1:25" ht="14.5" x14ac:dyDescent="0.35">
      <c r="A1247" s="3"/>
      <c r="B1247" s="2"/>
      <c r="C1247" s="2"/>
      <c r="D1247" s="4"/>
      <c r="E1247" s="2"/>
      <c r="F1247" s="2"/>
      <c r="G1247" s="3" t="str">
        <f t="shared" si="114"/>
        <v/>
      </c>
      <c r="H1247" s="3"/>
      <c r="I1247" s="3"/>
      <c r="J1247" s="2"/>
      <c r="K1247" s="2"/>
      <c r="L1247" s="2"/>
      <c r="M1247" s="4"/>
      <c r="N1247" s="2"/>
      <c r="O1247" s="5" t="str">
        <f t="shared" ca="1" si="115"/>
        <v/>
      </c>
      <c r="P1247" s="6"/>
      <c r="V1247" t="str">
        <f t="shared" si="116"/>
        <v/>
      </c>
      <c r="W1247" t="str">
        <f t="shared" si="117"/>
        <v/>
      </c>
      <c r="X1247" t="str">
        <f t="shared" si="118"/>
        <v/>
      </c>
      <c r="Y1247" t="str">
        <f t="shared" si="119"/>
        <v/>
      </c>
    </row>
    <row r="1248" spans="1:25" ht="14.5" x14ac:dyDescent="0.35">
      <c r="A1248" s="3"/>
      <c r="B1248" s="2"/>
      <c r="C1248" s="2"/>
      <c r="D1248" s="4"/>
      <c r="E1248" s="2"/>
      <c r="F1248" s="2"/>
      <c r="G1248" s="3" t="str">
        <f t="shared" si="114"/>
        <v/>
      </c>
      <c r="H1248" s="3"/>
      <c r="I1248" s="3"/>
      <c r="J1248" s="2"/>
      <c r="K1248" s="2"/>
      <c r="L1248" s="2"/>
      <c r="M1248" s="4"/>
      <c r="N1248" s="2"/>
      <c r="O1248" s="5" t="str">
        <f t="shared" ca="1" si="115"/>
        <v/>
      </c>
      <c r="P1248" s="6"/>
      <c r="V1248" t="str">
        <f t="shared" si="116"/>
        <v/>
      </c>
      <c r="W1248" t="str">
        <f t="shared" si="117"/>
        <v/>
      </c>
      <c r="X1248" t="str">
        <f t="shared" si="118"/>
        <v/>
      </c>
      <c r="Y1248" t="str">
        <f t="shared" si="119"/>
        <v/>
      </c>
    </row>
    <row r="1249" spans="1:25" ht="14.5" x14ac:dyDescent="0.35">
      <c r="A1249" s="3"/>
      <c r="B1249" s="2"/>
      <c r="C1249" s="2"/>
      <c r="D1249" s="4"/>
      <c r="E1249" s="2"/>
      <c r="F1249" s="2"/>
      <c r="G1249" s="3" t="str">
        <f t="shared" si="114"/>
        <v/>
      </c>
      <c r="H1249" s="3"/>
      <c r="I1249" s="3"/>
      <c r="J1249" s="2"/>
      <c r="K1249" s="2"/>
      <c r="L1249" s="2"/>
      <c r="M1249" s="4"/>
      <c r="N1249" s="2"/>
      <c r="O1249" s="5" t="str">
        <f t="shared" ca="1" si="115"/>
        <v/>
      </c>
      <c r="P1249" s="6"/>
      <c r="V1249" t="str">
        <f t="shared" si="116"/>
        <v/>
      </c>
      <c r="W1249" t="str">
        <f t="shared" si="117"/>
        <v/>
      </c>
      <c r="X1249" t="str">
        <f t="shared" si="118"/>
        <v/>
      </c>
      <c r="Y1249" t="str">
        <f t="shared" si="119"/>
        <v/>
      </c>
    </row>
    <row r="1250" spans="1:25" ht="14.5" x14ac:dyDescent="0.35">
      <c r="A1250" s="3"/>
      <c r="B1250" s="2"/>
      <c r="C1250" s="2"/>
      <c r="D1250" s="4"/>
      <c r="E1250" s="2"/>
      <c r="F1250" s="2"/>
      <c r="G1250" s="3" t="str">
        <f t="shared" si="114"/>
        <v/>
      </c>
      <c r="H1250" s="3"/>
      <c r="I1250" s="3"/>
      <c r="J1250" s="2"/>
      <c r="K1250" s="2"/>
      <c r="L1250" s="2"/>
      <c r="M1250" s="4"/>
      <c r="N1250" s="2"/>
      <c r="O1250" s="5" t="str">
        <f t="shared" ca="1" si="115"/>
        <v/>
      </c>
      <c r="P1250" s="6"/>
      <c r="V1250" t="str">
        <f t="shared" si="116"/>
        <v/>
      </c>
      <c r="W1250" t="str">
        <f t="shared" si="117"/>
        <v/>
      </c>
      <c r="X1250" t="str">
        <f t="shared" si="118"/>
        <v/>
      </c>
      <c r="Y1250" t="str">
        <f t="shared" si="119"/>
        <v/>
      </c>
    </row>
    <row r="1251" spans="1:25" ht="14.5" x14ac:dyDescent="0.35">
      <c r="A1251" s="3"/>
      <c r="B1251" s="2"/>
      <c r="C1251" s="2"/>
      <c r="D1251" s="4"/>
      <c r="E1251" s="2"/>
      <c r="F1251" s="2"/>
      <c r="G1251" s="3" t="str">
        <f t="shared" si="114"/>
        <v/>
      </c>
      <c r="H1251" s="3"/>
      <c r="I1251" s="3"/>
      <c r="J1251" s="2"/>
      <c r="K1251" s="2"/>
      <c r="L1251" s="2"/>
      <c r="M1251" s="4"/>
      <c r="N1251" s="2"/>
      <c r="O1251" s="5" t="str">
        <f t="shared" ca="1" si="115"/>
        <v/>
      </c>
      <c r="P1251" s="6"/>
      <c r="V1251" t="str">
        <f t="shared" si="116"/>
        <v/>
      </c>
      <c r="W1251" t="str">
        <f t="shared" si="117"/>
        <v/>
      </c>
      <c r="X1251" t="str">
        <f t="shared" si="118"/>
        <v/>
      </c>
      <c r="Y1251" t="str">
        <f t="shared" si="119"/>
        <v/>
      </c>
    </row>
    <row r="1252" spans="1:25" ht="14.5" x14ac:dyDescent="0.35">
      <c r="A1252" s="3"/>
      <c r="B1252" s="2"/>
      <c r="C1252" s="2"/>
      <c r="D1252" s="4"/>
      <c r="E1252" s="2"/>
      <c r="F1252" s="2"/>
      <c r="G1252" s="3" t="str">
        <f t="shared" si="114"/>
        <v/>
      </c>
      <c r="H1252" s="3"/>
      <c r="I1252" s="3"/>
      <c r="J1252" s="2"/>
      <c r="K1252" s="2"/>
      <c r="L1252" s="2"/>
      <c r="M1252" s="4"/>
      <c r="N1252" s="2"/>
      <c r="O1252" s="5" t="str">
        <f t="shared" ca="1" si="115"/>
        <v/>
      </c>
      <c r="P1252" s="6"/>
      <c r="V1252" t="str">
        <f t="shared" si="116"/>
        <v/>
      </c>
      <c r="W1252" t="str">
        <f t="shared" si="117"/>
        <v/>
      </c>
      <c r="X1252" t="str">
        <f t="shared" si="118"/>
        <v/>
      </c>
      <c r="Y1252" t="str">
        <f t="shared" si="119"/>
        <v/>
      </c>
    </row>
    <row r="1253" spans="1:25" ht="14.5" x14ac:dyDescent="0.35">
      <c r="A1253" s="3"/>
      <c r="B1253" s="2"/>
      <c r="C1253" s="2"/>
      <c r="D1253" s="4"/>
      <c r="E1253" s="2"/>
      <c r="F1253" s="2"/>
      <c r="G1253" s="3" t="str">
        <f t="shared" si="114"/>
        <v/>
      </c>
      <c r="H1253" s="3"/>
      <c r="I1253" s="3"/>
      <c r="J1253" s="2"/>
      <c r="K1253" s="2"/>
      <c r="L1253" s="2"/>
      <c r="M1253" s="4"/>
      <c r="N1253" s="2"/>
      <c r="O1253" s="5" t="str">
        <f t="shared" ca="1" si="115"/>
        <v/>
      </c>
      <c r="P1253" s="6"/>
      <c r="V1253" t="str">
        <f t="shared" si="116"/>
        <v/>
      </c>
      <c r="W1253" t="str">
        <f t="shared" si="117"/>
        <v/>
      </c>
      <c r="X1253" t="str">
        <f t="shared" si="118"/>
        <v/>
      </c>
      <c r="Y1253" t="str">
        <f t="shared" si="119"/>
        <v/>
      </c>
    </row>
    <row r="1254" spans="1:25" ht="14.5" x14ac:dyDescent="0.35">
      <c r="A1254" s="3"/>
      <c r="B1254" s="2"/>
      <c r="C1254" s="2"/>
      <c r="D1254" s="4"/>
      <c r="E1254" s="2"/>
      <c r="F1254" s="2"/>
      <c r="G1254" s="3" t="str">
        <f t="shared" si="114"/>
        <v/>
      </c>
      <c r="H1254" s="3"/>
      <c r="I1254" s="3"/>
      <c r="J1254" s="2"/>
      <c r="K1254" s="2"/>
      <c r="L1254" s="2"/>
      <c r="M1254" s="4"/>
      <c r="N1254" s="2"/>
      <c r="O1254" s="5" t="str">
        <f t="shared" ca="1" si="115"/>
        <v/>
      </c>
      <c r="P1254" s="6"/>
      <c r="V1254" t="str">
        <f t="shared" si="116"/>
        <v/>
      </c>
      <c r="W1254" t="str">
        <f t="shared" si="117"/>
        <v/>
      </c>
      <c r="X1254" t="str">
        <f t="shared" si="118"/>
        <v/>
      </c>
      <c r="Y1254" t="str">
        <f t="shared" si="119"/>
        <v/>
      </c>
    </row>
    <row r="1255" spans="1:25" ht="14.5" x14ac:dyDescent="0.35">
      <c r="A1255" s="3"/>
      <c r="B1255" s="2"/>
      <c r="C1255" s="2"/>
      <c r="D1255" s="4"/>
      <c r="E1255" s="2"/>
      <c r="F1255" s="2"/>
      <c r="G1255" s="3" t="str">
        <f t="shared" si="114"/>
        <v/>
      </c>
      <c r="H1255" s="3"/>
      <c r="I1255" s="3"/>
      <c r="J1255" s="2"/>
      <c r="K1255" s="2"/>
      <c r="L1255" s="2"/>
      <c r="M1255" s="4"/>
      <c r="N1255" s="2"/>
      <c r="O1255" s="5" t="str">
        <f t="shared" ca="1" si="115"/>
        <v/>
      </c>
      <c r="P1255" s="6"/>
      <c r="V1255" t="str">
        <f t="shared" si="116"/>
        <v/>
      </c>
      <c r="W1255" t="str">
        <f t="shared" si="117"/>
        <v/>
      </c>
      <c r="X1255" t="str">
        <f t="shared" si="118"/>
        <v/>
      </c>
      <c r="Y1255" t="str">
        <f t="shared" si="119"/>
        <v/>
      </c>
    </row>
    <row r="1256" spans="1:25" ht="14.5" x14ac:dyDescent="0.35">
      <c r="A1256" s="3"/>
      <c r="B1256" s="2"/>
      <c r="C1256" s="2"/>
      <c r="D1256" s="4"/>
      <c r="E1256" s="2"/>
      <c r="F1256" s="2"/>
      <c r="G1256" s="3" t="str">
        <f t="shared" si="114"/>
        <v/>
      </c>
      <c r="H1256" s="3"/>
      <c r="I1256" s="3"/>
      <c r="J1256" s="2"/>
      <c r="K1256" s="2"/>
      <c r="L1256" s="2"/>
      <c r="M1256" s="4"/>
      <c r="N1256" s="2"/>
      <c r="O1256" s="5" t="str">
        <f t="shared" ca="1" si="115"/>
        <v/>
      </c>
      <c r="P1256" s="6"/>
      <c r="V1256" t="str">
        <f t="shared" si="116"/>
        <v/>
      </c>
      <c r="W1256" t="str">
        <f t="shared" si="117"/>
        <v/>
      </c>
      <c r="X1256" t="str">
        <f t="shared" si="118"/>
        <v/>
      </c>
      <c r="Y1256" t="str">
        <f t="shared" si="119"/>
        <v/>
      </c>
    </row>
    <row r="1257" spans="1:25" ht="14.5" x14ac:dyDescent="0.35">
      <c r="A1257" s="3"/>
      <c r="B1257" s="2"/>
      <c r="C1257" s="2"/>
      <c r="D1257" s="4"/>
      <c r="E1257" s="2"/>
      <c r="F1257" s="2"/>
      <c r="G1257" s="3" t="str">
        <f t="shared" si="114"/>
        <v/>
      </c>
      <c r="H1257" s="3"/>
      <c r="I1257" s="3"/>
      <c r="J1257" s="2"/>
      <c r="K1257" s="2"/>
      <c r="L1257" s="2"/>
      <c r="M1257" s="4"/>
      <c r="N1257" s="2"/>
      <c r="O1257" s="5" t="str">
        <f t="shared" ca="1" si="115"/>
        <v/>
      </c>
      <c r="P1257" s="6"/>
      <c r="V1257" t="str">
        <f t="shared" si="116"/>
        <v/>
      </c>
      <c r="W1257" t="str">
        <f t="shared" si="117"/>
        <v/>
      </c>
      <c r="X1257" t="str">
        <f t="shared" si="118"/>
        <v/>
      </c>
      <c r="Y1257" t="str">
        <f t="shared" si="119"/>
        <v/>
      </c>
    </row>
    <row r="1258" spans="1:25" ht="14.5" x14ac:dyDescent="0.35">
      <c r="A1258" s="3"/>
      <c r="B1258" s="2"/>
      <c r="C1258" s="2"/>
      <c r="D1258" s="4"/>
      <c r="E1258" s="2"/>
      <c r="F1258" s="2"/>
      <c r="G1258" s="3" t="str">
        <f t="shared" si="114"/>
        <v/>
      </c>
      <c r="H1258" s="3"/>
      <c r="I1258" s="3"/>
      <c r="J1258" s="2"/>
      <c r="K1258" s="2"/>
      <c r="L1258" s="2"/>
      <c r="M1258" s="4"/>
      <c r="N1258" s="2"/>
      <c r="O1258" s="5" t="str">
        <f t="shared" ca="1" si="115"/>
        <v/>
      </c>
      <c r="P1258" s="6"/>
      <c r="V1258" t="str">
        <f t="shared" si="116"/>
        <v/>
      </c>
      <c r="W1258" t="str">
        <f t="shared" si="117"/>
        <v/>
      </c>
      <c r="X1258" t="str">
        <f t="shared" si="118"/>
        <v/>
      </c>
      <c r="Y1258" t="str">
        <f t="shared" si="119"/>
        <v/>
      </c>
    </row>
    <row r="1259" spans="1:25" ht="14.5" x14ac:dyDescent="0.35">
      <c r="A1259" s="3"/>
      <c r="B1259" s="2"/>
      <c r="C1259" s="2"/>
      <c r="D1259" s="4"/>
      <c r="E1259" s="2"/>
      <c r="F1259" s="2"/>
      <c r="G1259" s="3" t="str">
        <f t="shared" si="114"/>
        <v/>
      </c>
      <c r="H1259" s="3"/>
      <c r="I1259" s="3"/>
      <c r="J1259" s="2"/>
      <c r="K1259" s="2"/>
      <c r="L1259" s="2"/>
      <c r="M1259" s="4"/>
      <c r="N1259" s="2"/>
      <c r="O1259" s="5" t="str">
        <f t="shared" ca="1" si="115"/>
        <v/>
      </c>
      <c r="P1259" s="6"/>
      <c r="V1259" t="str">
        <f t="shared" si="116"/>
        <v/>
      </c>
      <c r="W1259" t="str">
        <f t="shared" si="117"/>
        <v/>
      </c>
      <c r="X1259" t="str">
        <f t="shared" si="118"/>
        <v/>
      </c>
      <c r="Y1259" t="str">
        <f t="shared" si="119"/>
        <v/>
      </c>
    </row>
    <row r="1260" spans="1:25" ht="14.5" x14ac:dyDescent="0.35">
      <c r="A1260" s="3"/>
      <c r="B1260" s="2"/>
      <c r="C1260" s="2"/>
      <c r="D1260" s="4"/>
      <c r="E1260" s="2"/>
      <c r="F1260" s="2"/>
      <c r="G1260" s="3" t="str">
        <f t="shared" si="114"/>
        <v/>
      </c>
      <c r="H1260" s="3"/>
      <c r="I1260" s="3"/>
      <c r="J1260" s="2"/>
      <c r="K1260" s="2"/>
      <c r="L1260" s="2"/>
      <c r="M1260" s="4"/>
      <c r="N1260" s="2"/>
      <c r="O1260" s="5" t="str">
        <f t="shared" ca="1" si="115"/>
        <v/>
      </c>
      <c r="P1260" s="6"/>
      <c r="V1260" t="str">
        <f t="shared" si="116"/>
        <v/>
      </c>
      <c r="W1260" t="str">
        <f t="shared" si="117"/>
        <v/>
      </c>
      <c r="X1260" t="str">
        <f t="shared" si="118"/>
        <v/>
      </c>
      <c r="Y1260" t="str">
        <f t="shared" si="119"/>
        <v/>
      </c>
    </row>
    <row r="1261" spans="1:25" ht="14.5" x14ac:dyDescent="0.35">
      <c r="A1261" s="3"/>
      <c r="B1261" s="2"/>
      <c r="C1261" s="2"/>
      <c r="D1261" s="4"/>
      <c r="E1261" s="2"/>
      <c r="F1261" s="2"/>
      <c r="G1261" s="3" t="str">
        <f t="shared" si="114"/>
        <v/>
      </c>
      <c r="H1261" s="3"/>
      <c r="I1261" s="3"/>
      <c r="J1261" s="2"/>
      <c r="K1261" s="2"/>
      <c r="L1261" s="2"/>
      <c r="M1261" s="4"/>
      <c r="N1261" s="2"/>
      <c r="O1261" s="5" t="str">
        <f t="shared" ca="1" si="115"/>
        <v/>
      </c>
      <c r="P1261" s="6"/>
      <c r="V1261" t="str">
        <f t="shared" si="116"/>
        <v/>
      </c>
      <c r="W1261" t="str">
        <f t="shared" si="117"/>
        <v/>
      </c>
      <c r="X1261" t="str">
        <f t="shared" si="118"/>
        <v/>
      </c>
      <c r="Y1261" t="str">
        <f t="shared" si="119"/>
        <v/>
      </c>
    </row>
    <row r="1262" spans="1:25" ht="14.5" x14ac:dyDescent="0.35">
      <c r="A1262" s="3"/>
      <c r="B1262" s="2"/>
      <c r="C1262" s="2"/>
      <c r="D1262" s="4"/>
      <c r="E1262" s="2"/>
      <c r="F1262" s="2"/>
      <c r="G1262" s="3" t="str">
        <f t="shared" si="114"/>
        <v/>
      </c>
      <c r="H1262" s="3"/>
      <c r="I1262" s="3"/>
      <c r="J1262" s="2"/>
      <c r="K1262" s="2"/>
      <c r="L1262" s="2"/>
      <c r="M1262" s="4"/>
      <c r="N1262" s="2"/>
      <c r="O1262" s="5" t="str">
        <f t="shared" ca="1" si="115"/>
        <v/>
      </c>
      <c r="P1262" s="6"/>
      <c r="V1262" t="str">
        <f t="shared" si="116"/>
        <v/>
      </c>
      <c r="W1262" t="str">
        <f t="shared" si="117"/>
        <v/>
      </c>
      <c r="X1262" t="str">
        <f t="shared" si="118"/>
        <v/>
      </c>
      <c r="Y1262" t="str">
        <f t="shared" si="119"/>
        <v/>
      </c>
    </row>
    <row r="1263" spans="1:25" ht="14.5" x14ac:dyDescent="0.35">
      <c r="A1263" s="3"/>
      <c r="B1263" s="2"/>
      <c r="C1263" s="2"/>
      <c r="D1263" s="4"/>
      <c r="E1263" s="2"/>
      <c r="F1263" s="2"/>
      <c r="G1263" s="3" t="str">
        <f t="shared" si="114"/>
        <v/>
      </c>
      <c r="H1263" s="3"/>
      <c r="I1263" s="3"/>
      <c r="J1263" s="2"/>
      <c r="K1263" s="2"/>
      <c r="L1263" s="2"/>
      <c r="M1263" s="4"/>
      <c r="N1263" s="2"/>
      <c r="O1263" s="5" t="str">
        <f t="shared" ca="1" si="115"/>
        <v/>
      </c>
      <c r="P1263" s="6"/>
      <c r="V1263" t="str">
        <f t="shared" si="116"/>
        <v/>
      </c>
      <c r="W1263" t="str">
        <f t="shared" si="117"/>
        <v/>
      </c>
      <c r="X1263" t="str">
        <f t="shared" si="118"/>
        <v/>
      </c>
      <c r="Y1263" t="str">
        <f t="shared" si="119"/>
        <v/>
      </c>
    </row>
    <row r="1264" spans="1:25" ht="14.5" x14ac:dyDescent="0.35">
      <c r="A1264" s="3"/>
      <c r="B1264" s="2"/>
      <c r="C1264" s="2"/>
      <c r="D1264" s="4"/>
      <c r="E1264" s="2"/>
      <c r="F1264" s="2"/>
      <c r="G1264" s="3" t="str">
        <f t="shared" si="114"/>
        <v/>
      </c>
      <c r="H1264" s="3"/>
      <c r="I1264" s="3"/>
      <c r="J1264" s="2"/>
      <c r="K1264" s="2"/>
      <c r="L1264" s="2"/>
      <c r="M1264" s="4"/>
      <c r="N1264" s="2"/>
      <c r="O1264" s="5" t="str">
        <f t="shared" ca="1" si="115"/>
        <v/>
      </c>
      <c r="P1264" s="6"/>
      <c r="V1264" t="str">
        <f t="shared" si="116"/>
        <v/>
      </c>
      <c r="W1264" t="str">
        <f t="shared" si="117"/>
        <v/>
      </c>
      <c r="X1264" t="str">
        <f t="shared" si="118"/>
        <v/>
      </c>
      <c r="Y1264" t="str">
        <f t="shared" si="119"/>
        <v/>
      </c>
    </row>
    <row r="1265" spans="1:25" ht="14.5" x14ac:dyDescent="0.35">
      <c r="A1265" s="3"/>
      <c r="B1265" s="2"/>
      <c r="C1265" s="2"/>
      <c r="D1265" s="4"/>
      <c r="E1265" s="2"/>
      <c r="F1265" s="2"/>
      <c r="G1265" s="3" t="str">
        <f t="shared" si="114"/>
        <v/>
      </c>
      <c r="H1265" s="3"/>
      <c r="I1265" s="3"/>
      <c r="J1265" s="2"/>
      <c r="K1265" s="2"/>
      <c r="L1265" s="2"/>
      <c r="M1265" s="4"/>
      <c r="N1265" s="2"/>
      <c r="O1265" s="5" t="str">
        <f t="shared" ca="1" si="115"/>
        <v/>
      </c>
      <c r="P1265" s="6"/>
      <c r="V1265" t="str">
        <f t="shared" si="116"/>
        <v/>
      </c>
      <c r="W1265" t="str">
        <f t="shared" si="117"/>
        <v/>
      </c>
      <c r="X1265" t="str">
        <f t="shared" si="118"/>
        <v/>
      </c>
      <c r="Y1265" t="str">
        <f t="shared" si="119"/>
        <v/>
      </c>
    </row>
    <row r="1266" spans="1:25" ht="14.5" x14ac:dyDescent="0.35">
      <c r="A1266" s="3"/>
      <c r="B1266" s="2"/>
      <c r="C1266" s="2"/>
      <c r="D1266" s="4"/>
      <c r="E1266" s="2"/>
      <c r="F1266" s="2"/>
      <c r="G1266" s="3" t="str">
        <f t="shared" si="114"/>
        <v/>
      </c>
      <c r="H1266" s="3"/>
      <c r="I1266" s="3"/>
      <c r="J1266" s="2"/>
      <c r="K1266" s="2"/>
      <c r="L1266" s="2"/>
      <c r="M1266" s="4"/>
      <c r="N1266" s="2"/>
      <c r="O1266" s="5" t="str">
        <f t="shared" ca="1" si="115"/>
        <v/>
      </c>
      <c r="P1266" s="6"/>
      <c r="V1266" t="str">
        <f t="shared" si="116"/>
        <v/>
      </c>
      <c r="W1266" t="str">
        <f t="shared" si="117"/>
        <v/>
      </c>
      <c r="X1266" t="str">
        <f t="shared" si="118"/>
        <v/>
      </c>
      <c r="Y1266" t="str">
        <f t="shared" si="119"/>
        <v/>
      </c>
    </row>
    <row r="1267" spans="1:25" ht="14.5" x14ac:dyDescent="0.35">
      <c r="A1267" s="3"/>
      <c r="B1267" s="2"/>
      <c r="C1267" s="2"/>
      <c r="D1267" s="4"/>
      <c r="E1267" s="2"/>
      <c r="F1267" s="2"/>
      <c r="G1267" s="3" t="str">
        <f t="shared" si="114"/>
        <v/>
      </c>
      <c r="H1267" s="3"/>
      <c r="I1267" s="3"/>
      <c r="J1267" s="2"/>
      <c r="K1267" s="2"/>
      <c r="L1267" s="2"/>
      <c r="M1267" s="4"/>
      <c r="N1267" s="2"/>
      <c r="O1267" s="5" t="str">
        <f t="shared" ca="1" si="115"/>
        <v/>
      </c>
      <c r="P1267" s="6"/>
      <c r="V1267" t="str">
        <f t="shared" si="116"/>
        <v/>
      </c>
      <c r="W1267" t="str">
        <f t="shared" si="117"/>
        <v/>
      </c>
      <c r="X1267" t="str">
        <f t="shared" si="118"/>
        <v/>
      </c>
      <c r="Y1267" t="str">
        <f t="shared" si="119"/>
        <v/>
      </c>
    </row>
    <row r="1268" spans="1:25" ht="14.5" x14ac:dyDescent="0.35">
      <c r="A1268" s="3"/>
      <c r="B1268" s="2"/>
      <c r="C1268" s="2"/>
      <c r="D1268" s="4"/>
      <c r="E1268" s="2"/>
      <c r="F1268" s="2"/>
      <c r="G1268" s="3" t="str">
        <f t="shared" si="114"/>
        <v/>
      </c>
      <c r="H1268" s="3"/>
      <c r="I1268" s="3"/>
      <c r="J1268" s="2"/>
      <c r="K1268" s="2"/>
      <c r="L1268" s="2"/>
      <c r="M1268" s="4"/>
      <c r="N1268" s="2"/>
      <c r="O1268" s="5" t="str">
        <f t="shared" ca="1" si="115"/>
        <v/>
      </c>
      <c r="P1268" s="6"/>
      <c r="V1268" t="str">
        <f t="shared" si="116"/>
        <v/>
      </c>
      <c r="W1268" t="str">
        <f t="shared" si="117"/>
        <v/>
      </c>
      <c r="X1268" t="str">
        <f t="shared" si="118"/>
        <v/>
      </c>
      <c r="Y1268" t="str">
        <f t="shared" si="119"/>
        <v/>
      </c>
    </row>
    <row r="1269" spans="1:25" ht="14.5" x14ac:dyDescent="0.35">
      <c r="A1269" s="3"/>
      <c r="B1269" s="2"/>
      <c r="C1269" s="2"/>
      <c r="D1269" s="4"/>
      <c r="E1269" s="2"/>
      <c r="F1269" s="2"/>
      <c r="G1269" s="3" t="str">
        <f t="shared" si="114"/>
        <v/>
      </c>
      <c r="H1269" s="3"/>
      <c r="I1269" s="3"/>
      <c r="J1269" s="2"/>
      <c r="K1269" s="2"/>
      <c r="L1269" s="2"/>
      <c r="M1269" s="4"/>
      <c r="N1269" s="2"/>
      <c r="O1269" s="5" t="str">
        <f t="shared" ca="1" si="115"/>
        <v/>
      </c>
      <c r="P1269" s="6"/>
      <c r="V1269" t="str">
        <f t="shared" si="116"/>
        <v/>
      </c>
      <c r="W1269" t="str">
        <f t="shared" si="117"/>
        <v/>
      </c>
      <c r="X1269" t="str">
        <f t="shared" si="118"/>
        <v/>
      </c>
      <c r="Y1269" t="str">
        <f t="shared" si="119"/>
        <v/>
      </c>
    </row>
    <row r="1270" spans="1:25" ht="14.5" x14ac:dyDescent="0.35">
      <c r="A1270" s="3"/>
      <c r="B1270" s="2"/>
      <c r="C1270" s="2"/>
      <c r="D1270" s="4"/>
      <c r="E1270" s="2"/>
      <c r="F1270" s="2"/>
      <c r="G1270" s="3" t="str">
        <f t="shared" si="114"/>
        <v/>
      </c>
      <c r="H1270" s="3"/>
      <c r="I1270" s="3"/>
      <c r="J1270" s="2"/>
      <c r="K1270" s="2"/>
      <c r="L1270" s="2"/>
      <c r="M1270" s="4"/>
      <c r="N1270" s="2"/>
      <c r="O1270" s="5" t="str">
        <f t="shared" ca="1" si="115"/>
        <v/>
      </c>
      <c r="P1270" s="6"/>
      <c r="V1270" t="str">
        <f t="shared" si="116"/>
        <v/>
      </c>
      <c r="W1270" t="str">
        <f t="shared" si="117"/>
        <v/>
      </c>
      <c r="X1270" t="str">
        <f t="shared" si="118"/>
        <v/>
      </c>
      <c r="Y1270" t="str">
        <f t="shared" si="119"/>
        <v/>
      </c>
    </row>
    <row r="1271" spans="1:25" ht="14.5" x14ac:dyDescent="0.35">
      <c r="A1271" s="3"/>
      <c r="B1271" s="2"/>
      <c r="C1271" s="2"/>
      <c r="D1271" s="4"/>
      <c r="E1271" s="2"/>
      <c r="F1271" s="2"/>
      <c r="G1271" s="3" t="str">
        <f t="shared" si="114"/>
        <v/>
      </c>
      <c r="H1271" s="3"/>
      <c r="I1271" s="3"/>
      <c r="J1271" s="2"/>
      <c r="K1271" s="2"/>
      <c r="L1271" s="2"/>
      <c r="M1271" s="4"/>
      <c r="N1271" s="2"/>
      <c r="O1271" s="5" t="str">
        <f t="shared" ca="1" si="115"/>
        <v/>
      </c>
      <c r="P1271" s="6"/>
      <c r="V1271" t="str">
        <f t="shared" si="116"/>
        <v/>
      </c>
      <c r="W1271" t="str">
        <f t="shared" si="117"/>
        <v/>
      </c>
      <c r="X1271" t="str">
        <f t="shared" si="118"/>
        <v/>
      </c>
      <c r="Y1271" t="str">
        <f t="shared" si="119"/>
        <v/>
      </c>
    </row>
    <row r="1272" spans="1:25" ht="14.5" x14ac:dyDescent="0.35">
      <c r="A1272" s="3"/>
      <c r="B1272" s="2"/>
      <c r="C1272" s="2"/>
      <c r="D1272" s="4"/>
      <c r="E1272" s="2"/>
      <c r="F1272" s="2"/>
      <c r="G1272" s="3" t="str">
        <f t="shared" si="114"/>
        <v/>
      </c>
      <c r="H1272" s="3"/>
      <c r="I1272" s="3"/>
      <c r="J1272" s="2"/>
      <c r="K1272" s="2"/>
      <c r="L1272" s="2"/>
      <c r="M1272" s="4"/>
      <c r="N1272" s="2"/>
      <c r="O1272" s="5" t="str">
        <f t="shared" ca="1" si="115"/>
        <v/>
      </c>
      <c r="P1272" s="6"/>
      <c r="V1272" t="str">
        <f t="shared" si="116"/>
        <v/>
      </c>
      <c r="W1272" t="str">
        <f t="shared" si="117"/>
        <v/>
      </c>
      <c r="X1272" t="str">
        <f t="shared" si="118"/>
        <v/>
      </c>
      <c r="Y1272" t="str">
        <f t="shared" si="119"/>
        <v/>
      </c>
    </row>
    <row r="1273" spans="1:25" ht="14.5" x14ac:dyDescent="0.35">
      <c r="A1273" s="3"/>
      <c r="B1273" s="2"/>
      <c r="C1273" s="2"/>
      <c r="D1273" s="4"/>
      <c r="E1273" s="2"/>
      <c r="F1273" s="2"/>
      <c r="G1273" s="3" t="str">
        <f t="shared" si="114"/>
        <v/>
      </c>
      <c r="H1273" s="3"/>
      <c r="I1273" s="3"/>
      <c r="J1273" s="2"/>
      <c r="K1273" s="2"/>
      <c r="L1273" s="2"/>
      <c r="M1273" s="4"/>
      <c r="N1273" s="2"/>
      <c r="O1273" s="5" t="str">
        <f t="shared" ca="1" si="115"/>
        <v/>
      </c>
      <c r="P1273" s="6"/>
      <c r="V1273" t="str">
        <f t="shared" si="116"/>
        <v/>
      </c>
      <c r="W1273" t="str">
        <f t="shared" si="117"/>
        <v/>
      </c>
      <c r="X1273" t="str">
        <f t="shared" si="118"/>
        <v/>
      </c>
      <c r="Y1273" t="str">
        <f t="shared" si="119"/>
        <v/>
      </c>
    </row>
    <row r="1274" spans="1:25" ht="14.5" x14ac:dyDescent="0.35">
      <c r="A1274" s="3"/>
      <c r="B1274" s="2"/>
      <c r="C1274" s="2"/>
      <c r="D1274" s="4"/>
      <c r="E1274" s="2"/>
      <c r="F1274" s="2"/>
      <c r="G1274" s="3" t="str">
        <f t="shared" si="114"/>
        <v/>
      </c>
      <c r="H1274" s="3"/>
      <c r="I1274" s="3"/>
      <c r="J1274" s="2"/>
      <c r="K1274" s="2"/>
      <c r="L1274" s="2"/>
      <c r="M1274" s="4"/>
      <c r="N1274" s="2"/>
      <c r="O1274" s="5" t="str">
        <f t="shared" ca="1" si="115"/>
        <v/>
      </c>
      <c r="P1274" s="6"/>
      <c r="V1274" t="str">
        <f t="shared" si="116"/>
        <v/>
      </c>
      <c r="W1274" t="str">
        <f t="shared" si="117"/>
        <v/>
      </c>
      <c r="X1274" t="str">
        <f t="shared" si="118"/>
        <v/>
      </c>
      <c r="Y1274" t="str">
        <f t="shared" si="119"/>
        <v/>
      </c>
    </row>
    <row r="1275" spans="1:25" ht="14.5" x14ac:dyDescent="0.35">
      <c r="A1275" s="3"/>
      <c r="B1275" s="2"/>
      <c r="C1275" s="2"/>
      <c r="D1275" s="4"/>
      <c r="E1275" s="2"/>
      <c r="F1275" s="2"/>
      <c r="G1275" s="3" t="str">
        <f t="shared" si="114"/>
        <v/>
      </c>
      <c r="H1275" s="3"/>
      <c r="I1275" s="3"/>
      <c r="J1275" s="2"/>
      <c r="K1275" s="2"/>
      <c r="L1275" s="2"/>
      <c r="M1275" s="4"/>
      <c r="N1275" s="2"/>
      <c r="O1275" s="5" t="str">
        <f t="shared" ca="1" si="115"/>
        <v/>
      </c>
      <c r="P1275" s="6"/>
      <c r="V1275" t="str">
        <f t="shared" si="116"/>
        <v/>
      </c>
      <c r="W1275" t="str">
        <f t="shared" si="117"/>
        <v/>
      </c>
      <c r="X1275" t="str">
        <f t="shared" si="118"/>
        <v/>
      </c>
      <c r="Y1275" t="str">
        <f t="shared" si="119"/>
        <v/>
      </c>
    </row>
    <row r="1276" spans="1:25" ht="14.5" x14ac:dyDescent="0.35">
      <c r="A1276" s="3"/>
      <c r="B1276" s="2"/>
      <c r="C1276" s="2"/>
      <c r="D1276" s="4"/>
      <c r="E1276" s="2"/>
      <c r="F1276" s="2"/>
      <c r="G1276" s="3" t="str">
        <f t="shared" si="114"/>
        <v/>
      </c>
      <c r="H1276" s="3"/>
      <c r="I1276" s="3"/>
      <c r="J1276" s="2"/>
      <c r="K1276" s="2"/>
      <c r="L1276" s="2"/>
      <c r="M1276" s="4"/>
      <c r="N1276" s="2"/>
      <c r="O1276" s="5" t="str">
        <f t="shared" ca="1" si="115"/>
        <v/>
      </c>
      <c r="P1276" s="6"/>
      <c r="V1276" t="str">
        <f t="shared" si="116"/>
        <v/>
      </c>
      <c r="W1276" t="str">
        <f t="shared" si="117"/>
        <v/>
      </c>
      <c r="X1276" t="str">
        <f t="shared" si="118"/>
        <v/>
      </c>
      <c r="Y1276" t="str">
        <f t="shared" si="119"/>
        <v/>
      </c>
    </row>
    <row r="1277" spans="1:25" ht="14.5" x14ac:dyDescent="0.35">
      <c r="A1277" s="3"/>
      <c r="B1277" s="2"/>
      <c r="C1277" s="2"/>
      <c r="D1277" s="4"/>
      <c r="E1277" s="2"/>
      <c r="F1277" s="2"/>
      <c r="G1277" s="3" t="str">
        <f t="shared" si="114"/>
        <v/>
      </c>
      <c r="H1277" s="3"/>
      <c r="I1277" s="3"/>
      <c r="J1277" s="2"/>
      <c r="K1277" s="2"/>
      <c r="L1277" s="2"/>
      <c r="M1277" s="4"/>
      <c r="N1277" s="2"/>
      <c r="O1277" s="5" t="str">
        <f t="shared" ca="1" si="115"/>
        <v/>
      </c>
      <c r="P1277" s="6"/>
      <c r="V1277" t="str">
        <f t="shared" si="116"/>
        <v/>
      </c>
      <c r="W1277" t="str">
        <f t="shared" si="117"/>
        <v/>
      </c>
      <c r="X1277" t="str">
        <f t="shared" si="118"/>
        <v/>
      </c>
      <c r="Y1277" t="str">
        <f t="shared" si="119"/>
        <v/>
      </c>
    </row>
    <row r="1278" spans="1:25" ht="14.5" x14ac:dyDescent="0.35">
      <c r="A1278" s="3"/>
      <c r="B1278" s="2"/>
      <c r="C1278" s="2"/>
      <c r="D1278" s="4"/>
      <c r="E1278" s="2"/>
      <c r="F1278" s="2"/>
      <c r="G1278" s="3" t="str">
        <f t="shared" si="114"/>
        <v/>
      </c>
      <c r="H1278" s="3"/>
      <c r="I1278" s="3"/>
      <c r="J1278" s="2"/>
      <c r="K1278" s="2"/>
      <c r="L1278" s="2"/>
      <c r="M1278" s="4"/>
      <c r="N1278" s="2"/>
      <c r="O1278" s="5" t="str">
        <f t="shared" ca="1" si="115"/>
        <v/>
      </c>
      <c r="P1278" s="6"/>
      <c r="V1278" t="str">
        <f t="shared" si="116"/>
        <v/>
      </c>
      <c r="W1278" t="str">
        <f t="shared" si="117"/>
        <v/>
      </c>
      <c r="X1278" t="str">
        <f t="shared" si="118"/>
        <v/>
      </c>
      <c r="Y1278" t="str">
        <f t="shared" si="119"/>
        <v/>
      </c>
    </row>
    <row r="1279" spans="1:25" ht="14.5" x14ac:dyDescent="0.35">
      <c r="A1279" s="3"/>
      <c r="B1279" s="2"/>
      <c r="C1279" s="2"/>
      <c r="D1279" s="4"/>
      <c r="E1279" s="2"/>
      <c r="F1279" s="2"/>
      <c r="G1279" s="3" t="str">
        <f t="shared" si="114"/>
        <v/>
      </c>
      <c r="H1279" s="3"/>
      <c r="I1279" s="3"/>
      <c r="J1279" s="2"/>
      <c r="K1279" s="2"/>
      <c r="L1279" s="2"/>
      <c r="M1279" s="4"/>
      <c r="N1279" s="2"/>
      <c r="O1279" s="5" t="str">
        <f t="shared" ca="1" si="115"/>
        <v/>
      </c>
      <c r="P1279" s="6"/>
      <c r="V1279" t="str">
        <f t="shared" si="116"/>
        <v/>
      </c>
      <c r="W1279" t="str">
        <f t="shared" si="117"/>
        <v/>
      </c>
      <c r="X1279" t="str">
        <f t="shared" si="118"/>
        <v/>
      </c>
      <c r="Y1279" t="str">
        <f t="shared" si="119"/>
        <v/>
      </c>
    </row>
    <row r="1280" spans="1:25" ht="14.5" x14ac:dyDescent="0.35">
      <c r="A1280" s="3"/>
      <c r="B1280" s="2"/>
      <c r="C1280" s="2"/>
      <c r="D1280" s="4"/>
      <c r="E1280" s="2"/>
      <c r="F1280" s="2"/>
      <c r="G1280" s="3" t="str">
        <f t="shared" si="114"/>
        <v/>
      </c>
      <c r="H1280" s="3"/>
      <c r="I1280" s="3"/>
      <c r="J1280" s="2"/>
      <c r="K1280" s="2"/>
      <c r="L1280" s="2"/>
      <c r="M1280" s="4"/>
      <c r="N1280" s="2"/>
      <c r="O1280" s="5" t="str">
        <f t="shared" ca="1" si="115"/>
        <v/>
      </c>
      <c r="P1280" s="6"/>
      <c r="V1280" t="str">
        <f t="shared" si="116"/>
        <v/>
      </c>
      <c r="W1280" t="str">
        <f t="shared" si="117"/>
        <v/>
      </c>
      <c r="X1280" t="str">
        <f t="shared" si="118"/>
        <v/>
      </c>
      <c r="Y1280" t="str">
        <f t="shared" si="119"/>
        <v/>
      </c>
    </row>
    <row r="1281" spans="1:25" ht="14.5" x14ac:dyDescent="0.35">
      <c r="A1281" s="3"/>
      <c r="B1281" s="2"/>
      <c r="C1281" s="2"/>
      <c r="D1281" s="4"/>
      <c r="E1281" s="2"/>
      <c r="F1281" s="2"/>
      <c r="G1281" s="3" t="str">
        <f t="shared" si="114"/>
        <v/>
      </c>
      <c r="H1281" s="3"/>
      <c r="I1281" s="3"/>
      <c r="J1281" s="2"/>
      <c r="K1281" s="2"/>
      <c r="L1281" s="2"/>
      <c r="M1281" s="4"/>
      <c r="N1281" s="2"/>
      <c r="O1281" s="5" t="str">
        <f t="shared" ca="1" si="115"/>
        <v/>
      </c>
      <c r="P1281" s="6"/>
      <c r="V1281" t="str">
        <f t="shared" si="116"/>
        <v/>
      </c>
      <c r="W1281" t="str">
        <f t="shared" si="117"/>
        <v/>
      </c>
      <c r="X1281" t="str">
        <f t="shared" si="118"/>
        <v/>
      </c>
      <c r="Y1281" t="str">
        <f t="shared" si="119"/>
        <v/>
      </c>
    </row>
    <row r="1282" spans="1:25" ht="14.5" x14ac:dyDescent="0.35">
      <c r="A1282" s="3"/>
      <c r="B1282" s="2"/>
      <c r="C1282" s="2"/>
      <c r="D1282" s="4"/>
      <c r="E1282" s="2"/>
      <c r="F1282" s="2"/>
      <c r="G1282" s="3" t="str">
        <f t="shared" ref="G1282:G1345" si="120">IF(COUNTIF($A$2:$A$1500,A1282&amp;".*")=0,"",COUNTIF($A$2:$A$1500,A1282&amp;".*"))</f>
        <v/>
      </c>
      <c r="H1282" s="3"/>
      <c r="I1282" s="3"/>
      <c r="J1282" s="2"/>
      <c r="K1282" s="2"/>
      <c r="L1282" s="2"/>
      <c r="M1282" s="4"/>
      <c r="N1282" s="2"/>
      <c r="O1282" s="5" t="str">
        <f t="shared" ref="O1282:O1345" ca="1" si="121">IF(M1282="","",INT(M1282)-TODAY())</f>
        <v/>
      </c>
      <c r="P1282" s="6"/>
      <c r="V1282" t="str">
        <f t="shared" ref="V1282:V1345" si="122">IF(M1282="","",M1282+Q1282/1000000)</f>
        <v/>
      </c>
      <c r="W1282" t="str">
        <f t="shared" ref="W1282:W1345" si="123">IF(U1282="","",IF(M1282="",9999999+Q1282/1000000,M1282+Q1282/1000000))</f>
        <v/>
      </c>
      <c r="X1282" t="str">
        <f t="shared" ref="X1282:X1345" si="124">IF(U1282="","",SUMPRODUCT(($U$2:$U$1500=U1282)*($W$2:$W$1500&lt;=W1282)))</f>
        <v/>
      </c>
      <c r="Y1282" t="str">
        <f t="shared" ref="Y1282:Y1345" si="125">IF(U1282="","",U1282&amp;"|"&amp;X1282)</f>
        <v/>
      </c>
    </row>
    <row r="1283" spans="1:25" ht="14.5" x14ac:dyDescent="0.35">
      <c r="A1283" s="3"/>
      <c r="B1283" s="2"/>
      <c r="C1283" s="2"/>
      <c r="D1283" s="4"/>
      <c r="E1283" s="2"/>
      <c r="F1283" s="2"/>
      <c r="G1283" s="3" t="str">
        <f t="shared" si="120"/>
        <v/>
      </c>
      <c r="H1283" s="3"/>
      <c r="I1283" s="3"/>
      <c r="J1283" s="2"/>
      <c r="K1283" s="2"/>
      <c r="L1283" s="2"/>
      <c r="M1283" s="4"/>
      <c r="N1283" s="2"/>
      <c r="O1283" s="5" t="str">
        <f t="shared" ca="1" si="121"/>
        <v/>
      </c>
      <c r="P1283" s="6"/>
      <c r="V1283" t="str">
        <f t="shared" si="122"/>
        <v/>
      </c>
      <c r="W1283" t="str">
        <f t="shared" si="123"/>
        <v/>
      </c>
      <c r="X1283" t="str">
        <f t="shared" si="124"/>
        <v/>
      </c>
      <c r="Y1283" t="str">
        <f t="shared" si="125"/>
        <v/>
      </c>
    </row>
    <row r="1284" spans="1:25" ht="14.5" x14ac:dyDescent="0.35">
      <c r="A1284" s="3"/>
      <c r="B1284" s="2"/>
      <c r="C1284" s="2"/>
      <c r="D1284" s="4"/>
      <c r="E1284" s="2"/>
      <c r="F1284" s="2"/>
      <c r="G1284" s="3" t="str">
        <f t="shared" si="120"/>
        <v/>
      </c>
      <c r="H1284" s="3"/>
      <c r="I1284" s="3"/>
      <c r="J1284" s="2"/>
      <c r="K1284" s="2"/>
      <c r="L1284" s="2"/>
      <c r="M1284" s="4"/>
      <c r="N1284" s="2"/>
      <c r="O1284" s="5" t="str">
        <f t="shared" ca="1" si="121"/>
        <v/>
      </c>
      <c r="P1284" s="6"/>
      <c r="V1284" t="str">
        <f t="shared" si="122"/>
        <v/>
      </c>
      <c r="W1284" t="str">
        <f t="shared" si="123"/>
        <v/>
      </c>
      <c r="X1284" t="str">
        <f t="shared" si="124"/>
        <v/>
      </c>
      <c r="Y1284" t="str">
        <f t="shared" si="125"/>
        <v/>
      </c>
    </row>
    <row r="1285" spans="1:25" ht="14.5" x14ac:dyDescent="0.35">
      <c r="A1285" s="3"/>
      <c r="B1285" s="2"/>
      <c r="C1285" s="2"/>
      <c r="D1285" s="4"/>
      <c r="E1285" s="2"/>
      <c r="F1285" s="2"/>
      <c r="G1285" s="3" t="str">
        <f t="shared" si="120"/>
        <v/>
      </c>
      <c r="H1285" s="3"/>
      <c r="I1285" s="3"/>
      <c r="J1285" s="2"/>
      <c r="K1285" s="2"/>
      <c r="L1285" s="2"/>
      <c r="M1285" s="4"/>
      <c r="N1285" s="2"/>
      <c r="O1285" s="5" t="str">
        <f t="shared" ca="1" si="121"/>
        <v/>
      </c>
      <c r="P1285" s="6"/>
      <c r="V1285" t="str">
        <f t="shared" si="122"/>
        <v/>
      </c>
      <c r="W1285" t="str">
        <f t="shared" si="123"/>
        <v/>
      </c>
      <c r="X1285" t="str">
        <f t="shared" si="124"/>
        <v/>
      </c>
      <c r="Y1285" t="str">
        <f t="shared" si="125"/>
        <v/>
      </c>
    </row>
    <row r="1286" spans="1:25" ht="14.5" x14ac:dyDescent="0.35">
      <c r="A1286" s="3"/>
      <c r="B1286" s="2"/>
      <c r="C1286" s="2"/>
      <c r="D1286" s="4"/>
      <c r="E1286" s="2"/>
      <c r="F1286" s="2"/>
      <c r="G1286" s="3" t="str">
        <f t="shared" si="120"/>
        <v/>
      </c>
      <c r="H1286" s="3"/>
      <c r="I1286" s="3"/>
      <c r="J1286" s="2"/>
      <c r="K1286" s="2"/>
      <c r="L1286" s="2"/>
      <c r="M1286" s="4"/>
      <c r="N1286" s="2"/>
      <c r="O1286" s="5" t="str">
        <f t="shared" ca="1" si="121"/>
        <v/>
      </c>
      <c r="P1286" s="6"/>
      <c r="V1286" t="str">
        <f t="shared" si="122"/>
        <v/>
      </c>
      <c r="W1286" t="str">
        <f t="shared" si="123"/>
        <v/>
      </c>
      <c r="X1286" t="str">
        <f t="shared" si="124"/>
        <v/>
      </c>
      <c r="Y1286" t="str">
        <f t="shared" si="125"/>
        <v/>
      </c>
    </row>
    <row r="1287" spans="1:25" ht="14.5" x14ac:dyDescent="0.35">
      <c r="A1287" s="3"/>
      <c r="B1287" s="2"/>
      <c r="C1287" s="2"/>
      <c r="D1287" s="4"/>
      <c r="E1287" s="2"/>
      <c r="F1287" s="2"/>
      <c r="G1287" s="3" t="str">
        <f t="shared" si="120"/>
        <v/>
      </c>
      <c r="H1287" s="3"/>
      <c r="I1287" s="3"/>
      <c r="J1287" s="2"/>
      <c r="K1287" s="2"/>
      <c r="L1287" s="2"/>
      <c r="M1287" s="4"/>
      <c r="N1287" s="2"/>
      <c r="O1287" s="5" t="str">
        <f t="shared" ca="1" si="121"/>
        <v/>
      </c>
      <c r="P1287" s="6"/>
      <c r="V1287" t="str">
        <f t="shared" si="122"/>
        <v/>
      </c>
      <c r="W1287" t="str">
        <f t="shared" si="123"/>
        <v/>
      </c>
      <c r="X1287" t="str">
        <f t="shared" si="124"/>
        <v/>
      </c>
      <c r="Y1287" t="str">
        <f t="shared" si="125"/>
        <v/>
      </c>
    </row>
    <row r="1288" spans="1:25" ht="14.5" x14ac:dyDescent="0.35">
      <c r="A1288" s="3"/>
      <c r="B1288" s="2"/>
      <c r="C1288" s="2"/>
      <c r="D1288" s="4"/>
      <c r="E1288" s="2"/>
      <c r="F1288" s="2"/>
      <c r="G1288" s="3" t="str">
        <f t="shared" si="120"/>
        <v/>
      </c>
      <c r="H1288" s="3"/>
      <c r="I1288" s="3"/>
      <c r="J1288" s="2"/>
      <c r="K1288" s="2"/>
      <c r="L1288" s="2"/>
      <c r="M1288" s="4"/>
      <c r="N1288" s="2"/>
      <c r="O1288" s="5" t="str">
        <f t="shared" ca="1" si="121"/>
        <v/>
      </c>
      <c r="P1288" s="6"/>
      <c r="V1288" t="str">
        <f t="shared" si="122"/>
        <v/>
      </c>
      <c r="W1288" t="str">
        <f t="shared" si="123"/>
        <v/>
      </c>
      <c r="X1288" t="str">
        <f t="shared" si="124"/>
        <v/>
      </c>
      <c r="Y1288" t="str">
        <f t="shared" si="125"/>
        <v/>
      </c>
    </row>
    <row r="1289" spans="1:25" ht="14.5" x14ac:dyDescent="0.35">
      <c r="A1289" s="3"/>
      <c r="B1289" s="2"/>
      <c r="C1289" s="2"/>
      <c r="D1289" s="4"/>
      <c r="E1289" s="2"/>
      <c r="F1289" s="2"/>
      <c r="G1289" s="3" t="str">
        <f t="shared" si="120"/>
        <v/>
      </c>
      <c r="H1289" s="3"/>
      <c r="I1289" s="3"/>
      <c r="J1289" s="2"/>
      <c r="K1289" s="2"/>
      <c r="L1289" s="2"/>
      <c r="M1289" s="4"/>
      <c r="N1289" s="2"/>
      <c r="O1289" s="5" t="str">
        <f t="shared" ca="1" si="121"/>
        <v/>
      </c>
      <c r="P1289" s="6"/>
      <c r="V1289" t="str">
        <f t="shared" si="122"/>
        <v/>
      </c>
      <c r="W1289" t="str">
        <f t="shared" si="123"/>
        <v/>
      </c>
      <c r="X1289" t="str">
        <f t="shared" si="124"/>
        <v/>
      </c>
      <c r="Y1289" t="str">
        <f t="shared" si="125"/>
        <v/>
      </c>
    </row>
    <row r="1290" spans="1:25" ht="14.5" x14ac:dyDescent="0.35">
      <c r="A1290" s="3"/>
      <c r="B1290" s="2"/>
      <c r="C1290" s="2"/>
      <c r="D1290" s="4"/>
      <c r="E1290" s="2"/>
      <c r="F1290" s="2"/>
      <c r="G1290" s="3" t="str">
        <f t="shared" si="120"/>
        <v/>
      </c>
      <c r="H1290" s="3"/>
      <c r="I1290" s="3"/>
      <c r="J1290" s="2"/>
      <c r="K1290" s="2"/>
      <c r="L1290" s="2"/>
      <c r="M1290" s="4"/>
      <c r="N1290" s="2"/>
      <c r="O1290" s="5" t="str">
        <f t="shared" ca="1" si="121"/>
        <v/>
      </c>
      <c r="P1290" s="6"/>
      <c r="V1290" t="str">
        <f t="shared" si="122"/>
        <v/>
      </c>
      <c r="W1290" t="str">
        <f t="shared" si="123"/>
        <v/>
      </c>
      <c r="X1290" t="str">
        <f t="shared" si="124"/>
        <v/>
      </c>
      <c r="Y1290" t="str">
        <f t="shared" si="125"/>
        <v/>
      </c>
    </row>
    <row r="1291" spans="1:25" ht="14.5" x14ac:dyDescent="0.35">
      <c r="A1291" s="3"/>
      <c r="B1291" s="2"/>
      <c r="C1291" s="2"/>
      <c r="D1291" s="4"/>
      <c r="E1291" s="2"/>
      <c r="F1291" s="2"/>
      <c r="G1291" s="3" t="str">
        <f t="shared" si="120"/>
        <v/>
      </c>
      <c r="H1291" s="3"/>
      <c r="I1291" s="3"/>
      <c r="J1291" s="2"/>
      <c r="K1291" s="2"/>
      <c r="L1291" s="2"/>
      <c r="M1291" s="4"/>
      <c r="N1291" s="2"/>
      <c r="O1291" s="5" t="str">
        <f t="shared" ca="1" si="121"/>
        <v/>
      </c>
      <c r="P1291" s="6"/>
      <c r="V1291" t="str">
        <f t="shared" si="122"/>
        <v/>
      </c>
      <c r="W1291" t="str">
        <f t="shared" si="123"/>
        <v/>
      </c>
      <c r="X1291" t="str">
        <f t="shared" si="124"/>
        <v/>
      </c>
      <c r="Y1291" t="str">
        <f t="shared" si="125"/>
        <v/>
      </c>
    </row>
    <row r="1292" spans="1:25" ht="14.5" x14ac:dyDescent="0.35">
      <c r="A1292" s="3"/>
      <c r="B1292" s="2"/>
      <c r="C1292" s="2"/>
      <c r="D1292" s="4"/>
      <c r="E1292" s="2"/>
      <c r="F1292" s="2"/>
      <c r="G1292" s="3" t="str">
        <f t="shared" si="120"/>
        <v/>
      </c>
      <c r="H1292" s="3"/>
      <c r="I1292" s="3"/>
      <c r="J1292" s="2"/>
      <c r="K1292" s="2"/>
      <c r="L1292" s="2"/>
      <c r="M1292" s="4"/>
      <c r="N1292" s="2"/>
      <c r="O1292" s="5" t="str">
        <f t="shared" ca="1" si="121"/>
        <v/>
      </c>
      <c r="P1292" s="6"/>
      <c r="V1292" t="str">
        <f t="shared" si="122"/>
        <v/>
      </c>
      <c r="W1292" t="str">
        <f t="shared" si="123"/>
        <v/>
      </c>
      <c r="X1292" t="str">
        <f t="shared" si="124"/>
        <v/>
      </c>
      <c r="Y1292" t="str">
        <f t="shared" si="125"/>
        <v/>
      </c>
    </row>
    <row r="1293" spans="1:25" ht="14.5" x14ac:dyDescent="0.35">
      <c r="A1293" s="3"/>
      <c r="B1293" s="2"/>
      <c r="C1293" s="2"/>
      <c r="D1293" s="4"/>
      <c r="E1293" s="2"/>
      <c r="F1293" s="2"/>
      <c r="G1293" s="3" t="str">
        <f t="shared" si="120"/>
        <v/>
      </c>
      <c r="H1293" s="3"/>
      <c r="I1293" s="3"/>
      <c r="J1293" s="2"/>
      <c r="K1293" s="2"/>
      <c r="L1293" s="2"/>
      <c r="M1293" s="4"/>
      <c r="N1293" s="2"/>
      <c r="O1293" s="5" t="str">
        <f t="shared" ca="1" si="121"/>
        <v/>
      </c>
      <c r="P1293" s="6"/>
      <c r="V1293" t="str">
        <f t="shared" si="122"/>
        <v/>
      </c>
      <c r="W1293" t="str">
        <f t="shared" si="123"/>
        <v/>
      </c>
      <c r="X1293" t="str">
        <f t="shared" si="124"/>
        <v/>
      </c>
      <c r="Y1293" t="str">
        <f t="shared" si="125"/>
        <v/>
      </c>
    </row>
    <row r="1294" spans="1:25" ht="14.5" x14ac:dyDescent="0.35">
      <c r="A1294" s="3"/>
      <c r="B1294" s="2"/>
      <c r="C1294" s="2"/>
      <c r="D1294" s="4"/>
      <c r="E1294" s="2"/>
      <c r="F1294" s="2"/>
      <c r="G1294" s="3" t="str">
        <f t="shared" si="120"/>
        <v/>
      </c>
      <c r="H1294" s="3"/>
      <c r="I1294" s="3"/>
      <c r="J1294" s="2"/>
      <c r="K1294" s="2"/>
      <c r="L1294" s="2"/>
      <c r="M1294" s="4"/>
      <c r="N1294" s="2"/>
      <c r="O1294" s="5" t="str">
        <f t="shared" ca="1" si="121"/>
        <v/>
      </c>
      <c r="P1294" s="6"/>
      <c r="V1294" t="str">
        <f t="shared" si="122"/>
        <v/>
      </c>
      <c r="W1294" t="str">
        <f t="shared" si="123"/>
        <v/>
      </c>
      <c r="X1294" t="str">
        <f t="shared" si="124"/>
        <v/>
      </c>
      <c r="Y1294" t="str">
        <f t="shared" si="125"/>
        <v/>
      </c>
    </row>
    <row r="1295" spans="1:25" ht="14.5" x14ac:dyDescent="0.35">
      <c r="A1295" s="3"/>
      <c r="B1295" s="2"/>
      <c r="C1295" s="2"/>
      <c r="D1295" s="4"/>
      <c r="E1295" s="2"/>
      <c r="F1295" s="2"/>
      <c r="G1295" s="3" t="str">
        <f t="shared" si="120"/>
        <v/>
      </c>
      <c r="H1295" s="3"/>
      <c r="I1295" s="3"/>
      <c r="J1295" s="2"/>
      <c r="K1295" s="2"/>
      <c r="L1295" s="2"/>
      <c r="M1295" s="4"/>
      <c r="N1295" s="2"/>
      <c r="O1295" s="5" t="str">
        <f t="shared" ca="1" si="121"/>
        <v/>
      </c>
      <c r="P1295" s="6"/>
      <c r="V1295" t="str">
        <f t="shared" si="122"/>
        <v/>
      </c>
      <c r="W1295" t="str">
        <f t="shared" si="123"/>
        <v/>
      </c>
      <c r="X1295" t="str">
        <f t="shared" si="124"/>
        <v/>
      </c>
      <c r="Y1295" t="str">
        <f t="shared" si="125"/>
        <v/>
      </c>
    </row>
    <row r="1296" spans="1:25" ht="14.5" x14ac:dyDescent="0.35">
      <c r="A1296" s="3"/>
      <c r="B1296" s="2"/>
      <c r="C1296" s="2"/>
      <c r="D1296" s="4"/>
      <c r="E1296" s="2"/>
      <c r="F1296" s="2"/>
      <c r="G1296" s="3" t="str">
        <f t="shared" si="120"/>
        <v/>
      </c>
      <c r="H1296" s="3"/>
      <c r="I1296" s="3"/>
      <c r="J1296" s="2"/>
      <c r="K1296" s="2"/>
      <c r="L1296" s="2"/>
      <c r="M1296" s="4"/>
      <c r="N1296" s="2"/>
      <c r="O1296" s="5" t="str">
        <f t="shared" ca="1" si="121"/>
        <v/>
      </c>
      <c r="P1296" s="6"/>
      <c r="V1296" t="str">
        <f t="shared" si="122"/>
        <v/>
      </c>
      <c r="W1296" t="str">
        <f t="shared" si="123"/>
        <v/>
      </c>
      <c r="X1296" t="str">
        <f t="shared" si="124"/>
        <v/>
      </c>
      <c r="Y1296" t="str">
        <f t="shared" si="125"/>
        <v/>
      </c>
    </row>
    <row r="1297" spans="1:25" ht="14.5" x14ac:dyDescent="0.35">
      <c r="A1297" s="3"/>
      <c r="B1297" s="2"/>
      <c r="C1297" s="2"/>
      <c r="D1297" s="4"/>
      <c r="E1297" s="2"/>
      <c r="F1297" s="2"/>
      <c r="G1297" s="3" t="str">
        <f t="shared" si="120"/>
        <v/>
      </c>
      <c r="H1297" s="3"/>
      <c r="I1297" s="3"/>
      <c r="J1297" s="2"/>
      <c r="K1297" s="2"/>
      <c r="L1297" s="2"/>
      <c r="M1297" s="4"/>
      <c r="N1297" s="2"/>
      <c r="O1297" s="5" t="str">
        <f t="shared" ca="1" si="121"/>
        <v/>
      </c>
      <c r="P1297" s="6"/>
      <c r="V1297" t="str">
        <f t="shared" si="122"/>
        <v/>
      </c>
      <c r="W1297" t="str">
        <f t="shared" si="123"/>
        <v/>
      </c>
      <c r="X1297" t="str">
        <f t="shared" si="124"/>
        <v/>
      </c>
      <c r="Y1297" t="str">
        <f t="shared" si="125"/>
        <v/>
      </c>
    </row>
    <row r="1298" spans="1:25" ht="14.5" x14ac:dyDescent="0.35">
      <c r="A1298" s="3"/>
      <c r="B1298" s="2"/>
      <c r="C1298" s="2"/>
      <c r="D1298" s="4"/>
      <c r="E1298" s="2"/>
      <c r="F1298" s="2"/>
      <c r="G1298" s="3" t="str">
        <f t="shared" si="120"/>
        <v/>
      </c>
      <c r="H1298" s="3"/>
      <c r="I1298" s="3"/>
      <c r="J1298" s="2"/>
      <c r="K1298" s="2"/>
      <c r="L1298" s="2"/>
      <c r="M1298" s="4"/>
      <c r="N1298" s="2"/>
      <c r="O1298" s="5" t="str">
        <f t="shared" ca="1" si="121"/>
        <v/>
      </c>
      <c r="P1298" s="6"/>
      <c r="V1298" t="str">
        <f t="shared" si="122"/>
        <v/>
      </c>
      <c r="W1298" t="str">
        <f t="shared" si="123"/>
        <v/>
      </c>
      <c r="X1298" t="str">
        <f t="shared" si="124"/>
        <v/>
      </c>
      <c r="Y1298" t="str">
        <f t="shared" si="125"/>
        <v/>
      </c>
    </row>
    <row r="1299" spans="1:25" ht="14.5" x14ac:dyDescent="0.35">
      <c r="A1299" s="3"/>
      <c r="B1299" s="2"/>
      <c r="C1299" s="2"/>
      <c r="D1299" s="4"/>
      <c r="E1299" s="2"/>
      <c r="F1299" s="2"/>
      <c r="G1299" s="3" t="str">
        <f t="shared" si="120"/>
        <v/>
      </c>
      <c r="H1299" s="3"/>
      <c r="I1299" s="3"/>
      <c r="J1299" s="2"/>
      <c r="K1299" s="2"/>
      <c r="L1299" s="2"/>
      <c r="M1299" s="4"/>
      <c r="N1299" s="2"/>
      <c r="O1299" s="5" t="str">
        <f t="shared" ca="1" si="121"/>
        <v/>
      </c>
      <c r="P1299" s="6"/>
      <c r="V1299" t="str">
        <f t="shared" si="122"/>
        <v/>
      </c>
      <c r="W1299" t="str">
        <f t="shared" si="123"/>
        <v/>
      </c>
      <c r="X1299" t="str">
        <f t="shared" si="124"/>
        <v/>
      </c>
      <c r="Y1299" t="str">
        <f t="shared" si="125"/>
        <v/>
      </c>
    </row>
    <row r="1300" spans="1:25" ht="14.5" x14ac:dyDescent="0.35">
      <c r="A1300" s="3"/>
      <c r="B1300" s="2"/>
      <c r="C1300" s="2"/>
      <c r="D1300" s="4"/>
      <c r="E1300" s="2"/>
      <c r="F1300" s="2"/>
      <c r="G1300" s="3" t="str">
        <f t="shared" si="120"/>
        <v/>
      </c>
      <c r="H1300" s="3"/>
      <c r="I1300" s="3"/>
      <c r="J1300" s="2"/>
      <c r="K1300" s="2"/>
      <c r="L1300" s="2"/>
      <c r="M1300" s="4"/>
      <c r="N1300" s="2"/>
      <c r="O1300" s="5" t="str">
        <f t="shared" ca="1" si="121"/>
        <v/>
      </c>
      <c r="P1300" s="6"/>
      <c r="V1300" t="str">
        <f t="shared" si="122"/>
        <v/>
      </c>
      <c r="W1300" t="str">
        <f t="shared" si="123"/>
        <v/>
      </c>
      <c r="X1300" t="str">
        <f t="shared" si="124"/>
        <v/>
      </c>
      <c r="Y1300" t="str">
        <f t="shared" si="125"/>
        <v/>
      </c>
    </row>
    <row r="1301" spans="1:25" ht="14.5" x14ac:dyDescent="0.35">
      <c r="A1301" s="3"/>
      <c r="B1301" s="2"/>
      <c r="C1301" s="2"/>
      <c r="D1301" s="4"/>
      <c r="E1301" s="2"/>
      <c r="F1301" s="2"/>
      <c r="G1301" s="3" t="str">
        <f t="shared" si="120"/>
        <v/>
      </c>
      <c r="H1301" s="3"/>
      <c r="I1301" s="3"/>
      <c r="J1301" s="2"/>
      <c r="K1301" s="2"/>
      <c r="L1301" s="2"/>
      <c r="M1301" s="4"/>
      <c r="N1301" s="2"/>
      <c r="O1301" s="5" t="str">
        <f t="shared" ca="1" si="121"/>
        <v/>
      </c>
      <c r="P1301" s="6"/>
      <c r="V1301" t="str">
        <f t="shared" si="122"/>
        <v/>
      </c>
      <c r="W1301" t="str">
        <f t="shared" si="123"/>
        <v/>
      </c>
      <c r="X1301" t="str">
        <f t="shared" si="124"/>
        <v/>
      </c>
      <c r="Y1301" t="str">
        <f t="shared" si="125"/>
        <v/>
      </c>
    </row>
    <row r="1302" spans="1:25" ht="14.5" x14ac:dyDescent="0.35">
      <c r="A1302" s="3"/>
      <c r="B1302" s="2"/>
      <c r="C1302" s="2"/>
      <c r="D1302" s="4"/>
      <c r="E1302" s="2"/>
      <c r="F1302" s="2"/>
      <c r="G1302" s="3" t="str">
        <f t="shared" si="120"/>
        <v/>
      </c>
      <c r="H1302" s="3"/>
      <c r="I1302" s="3"/>
      <c r="J1302" s="2"/>
      <c r="K1302" s="2"/>
      <c r="L1302" s="2"/>
      <c r="M1302" s="4"/>
      <c r="N1302" s="2"/>
      <c r="O1302" s="5" t="str">
        <f t="shared" ca="1" si="121"/>
        <v/>
      </c>
      <c r="P1302" s="6"/>
      <c r="V1302" t="str">
        <f t="shared" si="122"/>
        <v/>
      </c>
      <c r="W1302" t="str">
        <f t="shared" si="123"/>
        <v/>
      </c>
      <c r="X1302" t="str">
        <f t="shared" si="124"/>
        <v/>
      </c>
      <c r="Y1302" t="str">
        <f t="shared" si="125"/>
        <v/>
      </c>
    </row>
    <row r="1303" spans="1:25" ht="14.5" x14ac:dyDescent="0.35">
      <c r="A1303" s="3"/>
      <c r="B1303" s="2"/>
      <c r="C1303" s="2"/>
      <c r="D1303" s="4"/>
      <c r="E1303" s="2"/>
      <c r="F1303" s="2"/>
      <c r="G1303" s="3" t="str">
        <f t="shared" si="120"/>
        <v/>
      </c>
      <c r="H1303" s="3"/>
      <c r="I1303" s="3"/>
      <c r="J1303" s="2"/>
      <c r="K1303" s="2"/>
      <c r="L1303" s="2"/>
      <c r="M1303" s="4"/>
      <c r="N1303" s="2"/>
      <c r="O1303" s="5" t="str">
        <f t="shared" ca="1" si="121"/>
        <v/>
      </c>
      <c r="P1303" s="6"/>
      <c r="V1303" t="str">
        <f t="shared" si="122"/>
        <v/>
      </c>
      <c r="W1303" t="str">
        <f t="shared" si="123"/>
        <v/>
      </c>
      <c r="X1303" t="str">
        <f t="shared" si="124"/>
        <v/>
      </c>
      <c r="Y1303" t="str">
        <f t="shared" si="125"/>
        <v/>
      </c>
    </row>
    <row r="1304" spans="1:25" ht="14.5" x14ac:dyDescent="0.35">
      <c r="A1304" s="3"/>
      <c r="B1304" s="2"/>
      <c r="C1304" s="2"/>
      <c r="D1304" s="4"/>
      <c r="E1304" s="2"/>
      <c r="F1304" s="2"/>
      <c r="G1304" s="3" t="str">
        <f t="shared" si="120"/>
        <v/>
      </c>
      <c r="H1304" s="3"/>
      <c r="I1304" s="3"/>
      <c r="J1304" s="2"/>
      <c r="K1304" s="2"/>
      <c r="L1304" s="2"/>
      <c r="M1304" s="4"/>
      <c r="N1304" s="2"/>
      <c r="O1304" s="5" t="str">
        <f t="shared" ca="1" si="121"/>
        <v/>
      </c>
      <c r="P1304" s="6"/>
      <c r="V1304" t="str">
        <f t="shared" si="122"/>
        <v/>
      </c>
      <c r="W1304" t="str">
        <f t="shared" si="123"/>
        <v/>
      </c>
      <c r="X1304" t="str">
        <f t="shared" si="124"/>
        <v/>
      </c>
      <c r="Y1304" t="str">
        <f t="shared" si="125"/>
        <v/>
      </c>
    </row>
    <row r="1305" spans="1:25" ht="14.5" x14ac:dyDescent="0.35">
      <c r="A1305" s="3"/>
      <c r="B1305" s="2"/>
      <c r="C1305" s="2"/>
      <c r="D1305" s="4"/>
      <c r="E1305" s="2"/>
      <c r="F1305" s="2"/>
      <c r="G1305" s="3" t="str">
        <f t="shared" si="120"/>
        <v/>
      </c>
      <c r="H1305" s="3"/>
      <c r="I1305" s="3"/>
      <c r="J1305" s="2"/>
      <c r="K1305" s="2"/>
      <c r="L1305" s="2"/>
      <c r="M1305" s="4"/>
      <c r="N1305" s="2"/>
      <c r="O1305" s="5" t="str">
        <f t="shared" ca="1" si="121"/>
        <v/>
      </c>
      <c r="P1305" s="6"/>
      <c r="V1305" t="str">
        <f t="shared" si="122"/>
        <v/>
      </c>
      <c r="W1305" t="str">
        <f t="shared" si="123"/>
        <v/>
      </c>
      <c r="X1305" t="str">
        <f t="shared" si="124"/>
        <v/>
      </c>
      <c r="Y1305" t="str">
        <f t="shared" si="125"/>
        <v/>
      </c>
    </row>
    <row r="1306" spans="1:25" ht="14.5" x14ac:dyDescent="0.35">
      <c r="A1306" s="3"/>
      <c r="B1306" s="2"/>
      <c r="C1306" s="2"/>
      <c r="D1306" s="4"/>
      <c r="E1306" s="2"/>
      <c r="F1306" s="2"/>
      <c r="G1306" s="3" t="str">
        <f t="shared" si="120"/>
        <v/>
      </c>
      <c r="H1306" s="3"/>
      <c r="I1306" s="3"/>
      <c r="J1306" s="2"/>
      <c r="K1306" s="2"/>
      <c r="L1306" s="2"/>
      <c r="M1306" s="4"/>
      <c r="N1306" s="2"/>
      <c r="O1306" s="5" t="str">
        <f t="shared" ca="1" si="121"/>
        <v/>
      </c>
      <c r="P1306" s="6"/>
      <c r="V1306" t="str">
        <f t="shared" si="122"/>
        <v/>
      </c>
      <c r="W1306" t="str">
        <f t="shared" si="123"/>
        <v/>
      </c>
      <c r="X1306" t="str">
        <f t="shared" si="124"/>
        <v/>
      </c>
      <c r="Y1306" t="str">
        <f t="shared" si="125"/>
        <v/>
      </c>
    </row>
    <row r="1307" spans="1:25" ht="14.5" x14ac:dyDescent="0.35">
      <c r="A1307" s="3"/>
      <c r="B1307" s="2"/>
      <c r="C1307" s="2"/>
      <c r="D1307" s="4"/>
      <c r="E1307" s="2"/>
      <c r="F1307" s="2"/>
      <c r="G1307" s="3" t="str">
        <f t="shared" si="120"/>
        <v/>
      </c>
      <c r="H1307" s="3"/>
      <c r="I1307" s="3"/>
      <c r="J1307" s="2"/>
      <c r="K1307" s="2"/>
      <c r="L1307" s="2"/>
      <c r="M1307" s="4"/>
      <c r="N1307" s="2"/>
      <c r="O1307" s="5" t="str">
        <f t="shared" ca="1" si="121"/>
        <v/>
      </c>
      <c r="P1307" s="6"/>
      <c r="V1307" t="str">
        <f t="shared" si="122"/>
        <v/>
      </c>
      <c r="W1307" t="str">
        <f t="shared" si="123"/>
        <v/>
      </c>
      <c r="X1307" t="str">
        <f t="shared" si="124"/>
        <v/>
      </c>
      <c r="Y1307" t="str">
        <f t="shared" si="125"/>
        <v/>
      </c>
    </row>
    <row r="1308" spans="1:25" ht="14.5" x14ac:dyDescent="0.35">
      <c r="A1308" s="3"/>
      <c r="B1308" s="2"/>
      <c r="C1308" s="2"/>
      <c r="D1308" s="4"/>
      <c r="E1308" s="2"/>
      <c r="F1308" s="2"/>
      <c r="G1308" s="3" t="str">
        <f t="shared" si="120"/>
        <v/>
      </c>
      <c r="H1308" s="3"/>
      <c r="I1308" s="3"/>
      <c r="J1308" s="2"/>
      <c r="K1308" s="2"/>
      <c r="L1308" s="2"/>
      <c r="M1308" s="4"/>
      <c r="N1308" s="2"/>
      <c r="O1308" s="5" t="str">
        <f t="shared" ca="1" si="121"/>
        <v/>
      </c>
      <c r="P1308" s="6"/>
      <c r="V1308" t="str">
        <f t="shared" si="122"/>
        <v/>
      </c>
      <c r="W1308" t="str">
        <f t="shared" si="123"/>
        <v/>
      </c>
      <c r="X1308" t="str">
        <f t="shared" si="124"/>
        <v/>
      </c>
      <c r="Y1308" t="str">
        <f t="shared" si="125"/>
        <v/>
      </c>
    </row>
    <row r="1309" spans="1:25" ht="14.5" x14ac:dyDescent="0.35">
      <c r="A1309" s="3"/>
      <c r="B1309" s="2"/>
      <c r="C1309" s="2"/>
      <c r="D1309" s="4"/>
      <c r="E1309" s="2"/>
      <c r="F1309" s="2"/>
      <c r="G1309" s="3" t="str">
        <f t="shared" si="120"/>
        <v/>
      </c>
      <c r="H1309" s="3"/>
      <c r="I1309" s="3"/>
      <c r="J1309" s="2"/>
      <c r="K1309" s="2"/>
      <c r="L1309" s="2"/>
      <c r="M1309" s="4"/>
      <c r="N1309" s="2"/>
      <c r="O1309" s="5" t="str">
        <f t="shared" ca="1" si="121"/>
        <v/>
      </c>
      <c r="P1309" s="6"/>
      <c r="V1309" t="str">
        <f t="shared" si="122"/>
        <v/>
      </c>
      <c r="W1309" t="str">
        <f t="shared" si="123"/>
        <v/>
      </c>
      <c r="X1309" t="str">
        <f t="shared" si="124"/>
        <v/>
      </c>
      <c r="Y1309" t="str">
        <f t="shared" si="125"/>
        <v/>
      </c>
    </row>
    <row r="1310" spans="1:25" ht="14.5" x14ac:dyDescent="0.35">
      <c r="A1310" s="3"/>
      <c r="B1310" s="2"/>
      <c r="C1310" s="2"/>
      <c r="D1310" s="4"/>
      <c r="E1310" s="2"/>
      <c r="F1310" s="2"/>
      <c r="G1310" s="3" t="str">
        <f t="shared" si="120"/>
        <v/>
      </c>
      <c r="H1310" s="3"/>
      <c r="I1310" s="3"/>
      <c r="J1310" s="2"/>
      <c r="K1310" s="2"/>
      <c r="L1310" s="2"/>
      <c r="M1310" s="4"/>
      <c r="N1310" s="2"/>
      <c r="O1310" s="5" t="str">
        <f t="shared" ca="1" si="121"/>
        <v/>
      </c>
      <c r="P1310" s="6"/>
      <c r="V1310" t="str">
        <f t="shared" si="122"/>
        <v/>
      </c>
      <c r="W1310" t="str">
        <f t="shared" si="123"/>
        <v/>
      </c>
      <c r="X1310" t="str">
        <f t="shared" si="124"/>
        <v/>
      </c>
      <c r="Y1310" t="str">
        <f t="shared" si="125"/>
        <v/>
      </c>
    </row>
    <row r="1311" spans="1:25" ht="14.5" x14ac:dyDescent="0.35">
      <c r="A1311" s="3"/>
      <c r="B1311" s="2"/>
      <c r="C1311" s="2"/>
      <c r="D1311" s="4"/>
      <c r="E1311" s="2"/>
      <c r="F1311" s="2"/>
      <c r="G1311" s="3" t="str">
        <f t="shared" si="120"/>
        <v/>
      </c>
      <c r="H1311" s="3"/>
      <c r="I1311" s="3"/>
      <c r="J1311" s="2"/>
      <c r="K1311" s="2"/>
      <c r="L1311" s="2"/>
      <c r="M1311" s="4"/>
      <c r="N1311" s="2"/>
      <c r="O1311" s="5" t="str">
        <f t="shared" ca="1" si="121"/>
        <v/>
      </c>
      <c r="P1311" s="6"/>
      <c r="V1311" t="str">
        <f t="shared" si="122"/>
        <v/>
      </c>
      <c r="W1311" t="str">
        <f t="shared" si="123"/>
        <v/>
      </c>
      <c r="X1311" t="str">
        <f t="shared" si="124"/>
        <v/>
      </c>
      <c r="Y1311" t="str">
        <f t="shared" si="125"/>
        <v/>
      </c>
    </row>
    <row r="1312" spans="1:25" ht="14.5" x14ac:dyDescent="0.35">
      <c r="A1312" s="3"/>
      <c r="B1312" s="2"/>
      <c r="C1312" s="2"/>
      <c r="D1312" s="4"/>
      <c r="E1312" s="2"/>
      <c r="F1312" s="2"/>
      <c r="G1312" s="3" t="str">
        <f t="shared" si="120"/>
        <v/>
      </c>
      <c r="H1312" s="3"/>
      <c r="I1312" s="3"/>
      <c r="J1312" s="2"/>
      <c r="K1312" s="2"/>
      <c r="L1312" s="2"/>
      <c r="M1312" s="4"/>
      <c r="N1312" s="2"/>
      <c r="O1312" s="5" t="str">
        <f t="shared" ca="1" si="121"/>
        <v/>
      </c>
      <c r="P1312" s="6"/>
      <c r="V1312" t="str">
        <f t="shared" si="122"/>
        <v/>
      </c>
      <c r="W1312" t="str">
        <f t="shared" si="123"/>
        <v/>
      </c>
      <c r="X1312" t="str">
        <f t="shared" si="124"/>
        <v/>
      </c>
      <c r="Y1312" t="str">
        <f t="shared" si="125"/>
        <v/>
      </c>
    </row>
    <row r="1313" spans="1:25" ht="14.5" x14ac:dyDescent="0.35">
      <c r="A1313" s="3"/>
      <c r="B1313" s="2"/>
      <c r="C1313" s="2"/>
      <c r="D1313" s="4"/>
      <c r="E1313" s="2"/>
      <c r="F1313" s="2"/>
      <c r="G1313" s="3" t="str">
        <f t="shared" si="120"/>
        <v/>
      </c>
      <c r="H1313" s="3"/>
      <c r="I1313" s="3"/>
      <c r="J1313" s="2"/>
      <c r="K1313" s="2"/>
      <c r="L1313" s="2"/>
      <c r="M1313" s="4"/>
      <c r="N1313" s="2"/>
      <c r="O1313" s="5" t="str">
        <f t="shared" ca="1" si="121"/>
        <v/>
      </c>
      <c r="P1313" s="6"/>
      <c r="V1313" t="str">
        <f t="shared" si="122"/>
        <v/>
      </c>
      <c r="W1313" t="str">
        <f t="shared" si="123"/>
        <v/>
      </c>
      <c r="X1313" t="str">
        <f t="shared" si="124"/>
        <v/>
      </c>
      <c r="Y1313" t="str">
        <f t="shared" si="125"/>
        <v/>
      </c>
    </row>
    <row r="1314" spans="1:25" ht="14.5" x14ac:dyDescent="0.35">
      <c r="A1314" s="3"/>
      <c r="B1314" s="2"/>
      <c r="C1314" s="2"/>
      <c r="D1314" s="4"/>
      <c r="E1314" s="2"/>
      <c r="F1314" s="2"/>
      <c r="G1314" s="3" t="str">
        <f t="shared" si="120"/>
        <v/>
      </c>
      <c r="H1314" s="3"/>
      <c r="I1314" s="3"/>
      <c r="J1314" s="2"/>
      <c r="K1314" s="2"/>
      <c r="L1314" s="2"/>
      <c r="M1314" s="4"/>
      <c r="N1314" s="2"/>
      <c r="O1314" s="5" t="str">
        <f t="shared" ca="1" si="121"/>
        <v/>
      </c>
      <c r="P1314" s="6"/>
      <c r="V1314" t="str">
        <f t="shared" si="122"/>
        <v/>
      </c>
      <c r="W1314" t="str">
        <f t="shared" si="123"/>
        <v/>
      </c>
      <c r="X1314" t="str">
        <f t="shared" si="124"/>
        <v/>
      </c>
      <c r="Y1314" t="str">
        <f t="shared" si="125"/>
        <v/>
      </c>
    </row>
    <row r="1315" spans="1:25" ht="14.5" x14ac:dyDescent="0.35">
      <c r="A1315" s="3"/>
      <c r="B1315" s="2"/>
      <c r="C1315" s="2"/>
      <c r="D1315" s="4"/>
      <c r="E1315" s="2"/>
      <c r="F1315" s="2"/>
      <c r="G1315" s="3" t="str">
        <f t="shared" si="120"/>
        <v/>
      </c>
      <c r="H1315" s="3"/>
      <c r="I1315" s="3"/>
      <c r="J1315" s="2"/>
      <c r="K1315" s="2"/>
      <c r="L1315" s="2"/>
      <c r="M1315" s="4"/>
      <c r="N1315" s="2"/>
      <c r="O1315" s="5" t="str">
        <f t="shared" ca="1" si="121"/>
        <v/>
      </c>
      <c r="P1315" s="6"/>
      <c r="V1315" t="str">
        <f t="shared" si="122"/>
        <v/>
      </c>
      <c r="W1315" t="str">
        <f t="shared" si="123"/>
        <v/>
      </c>
      <c r="X1315" t="str">
        <f t="shared" si="124"/>
        <v/>
      </c>
      <c r="Y1315" t="str">
        <f t="shared" si="125"/>
        <v/>
      </c>
    </row>
    <row r="1316" spans="1:25" ht="14.5" x14ac:dyDescent="0.35">
      <c r="A1316" s="3"/>
      <c r="B1316" s="2"/>
      <c r="C1316" s="2"/>
      <c r="D1316" s="4"/>
      <c r="E1316" s="2"/>
      <c r="F1316" s="2"/>
      <c r="G1316" s="3" t="str">
        <f t="shared" si="120"/>
        <v/>
      </c>
      <c r="H1316" s="3"/>
      <c r="I1316" s="3"/>
      <c r="J1316" s="2"/>
      <c r="K1316" s="2"/>
      <c r="L1316" s="2"/>
      <c r="M1316" s="4"/>
      <c r="N1316" s="2"/>
      <c r="O1316" s="5" t="str">
        <f t="shared" ca="1" si="121"/>
        <v/>
      </c>
      <c r="P1316" s="6"/>
      <c r="V1316" t="str">
        <f t="shared" si="122"/>
        <v/>
      </c>
      <c r="W1316" t="str">
        <f t="shared" si="123"/>
        <v/>
      </c>
      <c r="X1316" t="str">
        <f t="shared" si="124"/>
        <v/>
      </c>
      <c r="Y1316" t="str">
        <f t="shared" si="125"/>
        <v/>
      </c>
    </row>
    <row r="1317" spans="1:25" ht="14.5" x14ac:dyDescent="0.35">
      <c r="A1317" s="3"/>
      <c r="B1317" s="2"/>
      <c r="C1317" s="2"/>
      <c r="D1317" s="4"/>
      <c r="E1317" s="2"/>
      <c r="F1317" s="2"/>
      <c r="G1317" s="3" t="str">
        <f t="shared" si="120"/>
        <v/>
      </c>
      <c r="H1317" s="3"/>
      <c r="I1317" s="3"/>
      <c r="J1317" s="2"/>
      <c r="K1317" s="2"/>
      <c r="L1317" s="2"/>
      <c r="M1317" s="4"/>
      <c r="N1317" s="2"/>
      <c r="O1317" s="5" t="str">
        <f t="shared" ca="1" si="121"/>
        <v/>
      </c>
      <c r="P1317" s="6"/>
      <c r="V1317" t="str">
        <f t="shared" si="122"/>
        <v/>
      </c>
      <c r="W1317" t="str">
        <f t="shared" si="123"/>
        <v/>
      </c>
      <c r="X1317" t="str">
        <f t="shared" si="124"/>
        <v/>
      </c>
      <c r="Y1317" t="str">
        <f t="shared" si="125"/>
        <v/>
      </c>
    </row>
    <row r="1318" spans="1:25" ht="14.5" x14ac:dyDescent="0.35">
      <c r="A1318" s="3"/>
      <c r="B1318" s="2"/>
      <c r="C1318" s="2"/>
      <c r="D1318" s="4"/>
      <c r="E1318" s="2"/>
      <c r="F1318" s="2"/>
      <c r="G1318" s="3" t="str">
        <f t="shared" si="120"/>
        <v/>
      </c>
      <c r="H1318" s="3"/>
      <c r="I1318" s="3"/>
      <c r="J1318" s="2"/>
      <c r="K1318" s="2"/>
      <c r="L1318" s="2"/>
      <c r="M1318" s="4"/>
      <c r="N1318" s="2"/>
      <c r="O1318" s="5" t="str">
        <f t="shared" ca="1" si="121"/>
        <v/>
      </c>
      <c r="P1318" s="6"/>
      <c r="V1318" t="str">
        <f t="shared" si="122"/>
        <v/>
      </c>
      <c r="W1318" t="str">
        <f t="shared" si="123"/>
        <v/>
      </c>
      <c r="X1318" t="str">
        <f t="shared" si="124"/>
        <v/>
      </c>
      <c r="Y1318" t="str">
        <f t="shared" si="125"/>
        <v/>
      </c>
    </row>
    <row r="1319" spans="1:25" ht="14.5" x14ac:dyDescent="0.35">
      <c r="A1319" s="3"/>
      <c r="B1319" s="2"/>
      <c r="C1319" s="2"/>
      <c r="D1319" s="4"/>
      <c r="E1319" s="2"/>
      <c r="F1319" s="2"/>
      <c r="G1319" s="3" t="str">
        <f t="shared" si="120"/>
        <v/>
      </c>
      <c r="H1319" s="3"/>
      <c r="I1319" s="3"/>
      <c r="J1319" s="2"/>
      <c r="K1319" s="2"/>
      <c r="L1319" s="2"/>
      <c r="M1319" s="4"/>
      <c r="N1319" s="2"/>
      <c r="O1319" s="5" t="str">
        <f t="shared" ca="1" si="121"/>
        <v/>
      </c>
      <c r="P1319" s="6"/>
      <c r="V1319" t="str">
        <f t="shared" si="122"/>
        <v/>
      </c>
      <c r="W1319" t="str">
        <f t="shared" si="123"/>
        <v/>
      </c>
      <c r="X1319" t="str">
        <f t="shared" si="124"/>
        <v/>
      </c>
      <c r="Y1319" t="str">
        <f t="shared" si="125"/>
        <v/>
      </c>
    </row>
    <row r="1320" spans="1:25" ht="14.5" x14ac:dyDescent="0.35">
      <c r="A1320" s="3"/>
      <c r="B1320" s="2"/>
      <c r="C1320" s="2"/>
      <c r="D1320" s="4"/>
      <c r="E1320" s="2"/>
      <c r="F1320" s="2"/>
      <c r="G1320" s="3" t="str">
        <f t="shared" si="120"/>
        <v/>
      </c>
      <c r="H1320" s="3"/>
      <c r="I1320" s="3"/>
      <c r="J1320" s="2"/>
      <c r="K1320" s="2"/>
      <c r="L1320" s="2"/>
      <c r="M1320" s="4"/>
      <c r="N1320" s="2"/>
      <c r="O1320" s="5" t="str">
        <f t="shared" ca="1" si="121"/>
        <v/>
      </c>
      <c r="P1320" s="6"/>
      <c r="V1320" t="str">
        <f t="shared" si="122"/>
        <v/>
      </c>
      <c r="W1320" t="str">
        <f t="shared" si="123"/>
        <v/>
      </c>
      <c r="X1320" t="str">
        <f t="shared" si="124"/>
        <v/>
      </c>
      <c r="Y1320" t="str">
        <f t="shared" si="125"/>
        <v/>
      </c>
    </row>
    <row r="1321" spans="1:25" ht="14.5" x14ac:dyDescent="0.35">
      <c r="A1321" s="3"/>
      <c r="B1321" s="2"/>
      <c r="C1321" s="2"/>
      <c r="D1321" s="4"/>
      <c r="E1321" s="2"/>
      <c r="F1321" s="2"/>
      <c r="G1321" s="3" t="str">
        <f t="shared" si="120"/>
        <v/>
      </c>
      <c r="H1321" s="3"/>
      <c r="I1321" s="3"/>
      <c r="J1321" s="2"/>
      <c r="K1321" s="2"/>
      <c r="L1321" s="2"/>
      <c r="M1321" s="4"/>
      <c r="N1321" s="2"/>
      <c r="O1321" s="5" t="str">
        <f t="shared" ca="1" si="121"/>
        <v/>
      </c>
      <c r="P1321" s="6"/>
      <c r="V1321" t="str">
        <f t="shared" si="122"/>
        <v/>
      </c>
      <c r="W1321" t="str">
        <f t="shared" si="123"/>
        <v/>
      </c>
      <c r="X1321" t="str">
        <f t="shared" si="124"/>
        <v/>
      </c>
      <c r="Y1321" t="str">
        <f t="shared" si="125"/>
        <v/>
      </c>
    </row>
    <row r="1322" spans="1:25" ht="14.5" x14ac:dyDescent="0.35">
      <c r="A1322" s="3"/>
      <c r="B1322" s="2"/>
      <c r="C1322" s="2"/>
      <c r="D1322" s="4"/>
      <c r="E1322" s="2"/>
      <c r="F1322" s="2"/>
      <c r="G1322" s="3" t="str">
        <f t="shared" si="120"/>
        <v/>
      </c>
      <c r="H1322" s="3"/>
      <c r="I1322" s="3"/>
      <c r="J1322" s="2"/>
      <c r="K1322" s="2"/>
      <c r="L1322" s="2"/>
      <c r="M1322" s="4"/>
      <c r="N1322" s="2"/>
      <c r="O1322" s="5" t="str">
        <f t="shared" ca="1" si="121"/>
        <v/>
      </c>
      <c r="P1322" s="6"/>
      <c r="V1322" t="str">
        <f t="shared" si="122"/>
        <v/>
      </c>
      <c r="W1322" t="str">
        <f t="shared" si="123"/>
        <v/>
      </c>
      <c r="X1322" t="str">
        <f t="shared" si="124"/>
        <v/>
      </c>
      <c r="Y1322" t="str">
        <f t="shared" si="125"/>
        <v/>
      </c>
    </row>
    <row r="1323" spans="1:25" ht="14.5" x14ac:dyDescent="0.35">
      <c r="A1323" s="3"/>
      <c r="B1323" s="2"/>
      <c r="C1323" s="2"/>
      <c r="D1323" s="4"/>
      <c r="E1323" s="2"/>
      <c r="F1323" s="2"/>
      <c r="G1323" s="3" t="str">
        <f t="shared" si="120"/>
        <v/>
      </c>
      <c r="H1323" s="3"/>
      <c r="I1323" s="3"/>
      <c r="J1323" s="2"/>
      <c r="K1323" s="2"/>
      <c r="L1323" s="2"/>
      <c r="M1323" s="4"/>
      <c r="N1323" s="2"/>
      <c r="O1323" s="5" t="str">
        <f t="shared" ca="1" si="121"/>
        <v/>
      </c>
      <c r="P1323" s="6"/>
      <c r="V1323" t="str">
        <f t="shared" si="122"/>
        <v/>
      </c>
      <c r="W1323" t="str">
        <f t="shared" si="123"/>
        <v/>
      </c>
      <c r="X1323" t="str">
        <f t="shared" si="124"/>
        <v/>
      </c>
      <c r="Y1323" t="str">
        <f t="shared" si="125"/>
        <v/>
      </c>
    </row>
    <row r="1324" spans="1:25" ht="14.5" x14ac:dyDescent="0.35">
      <c r="A1324" s="3"/>
      <c r="B1324" s="2"/>
      <c r="C1324" s="2"/>
      <c r="D1324" s="4"/>
      <c r="E1324" s="2"/>
      <c r="F1324" s="2"/>
      <c r="G1324" s="3" t="str">
        <f t="shared" si="120"/>
        <v/>
      </c>
      <c r="H1324" s="3"/>
      <c r="I1324" s="3"/>
      <c r="J1324" s="2"/>
      <c r="K1324" s="2"/>
      <c r="L1324" s="2"/>
      <c r="M1324" s="4"/>
      <c r="N1324" s="2"/>
      <c r="O1324" s="5" t="str">
        <f t="shared" ca="1" si="121"/>
        <v/>
      </c>
      <c r="P1324" s="6"/>
      <c r="V1324" t="str">
        <f t="shared" si="122"/>
        <v/>
      </c>
      <c r="W1324" t="str">
        <f t="shared" si="123"/>
        <v/>
      </c>
      <c r="X1324" t="str">
        <f t="shared" si="124"/>
        <v/>
      </c>
      <c r="Y1324" t="str">
        <f t="shared" si="125"/>
        <v/>
      </c>
    </row>
    <row r="1325" spans="1:25" ht="14.5" x14ac:dyDescent="0.35">
      <c r="A1325" s="3"/>
      <c r="B1325" s="2"/>
      <c r="C1325" s="2"/>
      <c r="D1325" s="4"/>
      <c r="E1325" s="2"/>
      <c r="F1325" s="2"/>
      <c r="G1325" s="3" t="str">
        <f t="shared" si="120"/>
        <v/>
      </c>
      <c r="H1325" s="3"/>
      <c r="I1325" s="3"/>
      <c r="J1325" s="2"/>
      <c r="K1325" s="2"/>
      <c r="L1325" s="2"/>
      <c r="M1325" s="4"/>
      <c r="N1325" s="2"/>
      <c r="O1325" s="5" t="str">
        <f t="shared" ca="1" si="121"/>
        <v/>
      </c>
      <c r="P1325" s="6"/>
      <c r="V1325" t="str">
        <f t="shared" si="122"/>
        <v/>
      </c>
      <c r="W1325" t="str">
        <f t="shared" si="123"/>
        <v/>
      </c>
      <c r="X1325" t="str">
        <f t="shared" si="124"/>
        <v/>
      </c>
      <c r="Y1325" t="str">
        <f t="shared" si="125"/>
        <v/>
      </c>
    </row>
    <row r="1326" spans="1:25" ht="14.5" x14ac:dyDescent="0.35">
      <c r="A1326" s="3"/>
      <c r="B1326" s="2"/>
      <c r="C1326" s="2"/>
      <c r="D1326" s="4"/>
      <c r="E1326" s="2"/>
      <c r="F1326" s="2"/>
      <c r="G1326" s="3" t="str">
        <f t="shared" si="120"/>
        <v/>
      </c>
      <c r="H1326" s="3"/>
      <c r="I1326" s="3"/>
      <c r="J1326" s="2"/>
      <c r="K1326" s="2"/>
      <c r="L1326" s="2"/>
      <c r="M1326" s="4"/>
      <c r="N1326" s="2"/>
      <c r="O1326" s="5" t="str">
        <f t="shared" ca="1" si="121"/>
        <v/>
      </c>
      <c r="P1326" s="6"/>
      <c r="V1326" t="str">
        <f t="shared" si="122"/>
        <v/>
      </c>
      <c r="W1326" t="str">
        <f t="shared" si="123"/>
        <v/>
      </c>
      <c r="X1326" t="str">
        <f t="shared" si="124"/>
        <v/>
      </c>
      <c r="Y1326" t="str">
        <f t="shared" si="125"/>
        <v/>
      </c>
    </row>
    <row r="1327" spans="1:25" ht="14.5" x14ac:dyDescent="0.35">
      <c r="A1327" s="3"/>
      <c r="B1327" s="2"/>
      <c r="C1327" s="2"/>
      <c r="D1327" s="4"/>
      <c r="E1327" s="2"/>
      <c r="F1327" s="2"/>
      <c r="G1327" s="3" t="str">
        <f t="shared" si="120"/>
        <v/>
      </c>
      <c r="H1327" s="3"/>
      <c r="I1327" s="3"/>
      <c r="J1327" s="2"/>
      <c r="K1327" s="2"/>
      <c r="L1327" s="2"/>
      <c r="M1327" s="4"/>
      <c r="N1327" s="2"/>
      <c r="O1327" s="5" t="str">
        <f t="shared" ca="1" si="121"/>
        <v/>
      </c>
      <c r="P1327" s="6"/>
      <c r="V1327" t="str">
        <f t="shared" si="122"/>
        <v/>
      </c>
      <c r="W1327" t="str">
        <f t="shared" si="123"/>
        <v/>
      </c>
      <c r="X1327" t="str">
        <f t="shared" si="124"/>
        <v/>
      </c>
      <c r="Y1327" t="str">
        <f t="shared" si="125"/>
        <v/>
      </c>
    </row>
    <row r="1328" spans="1:25" ht="14.5" x14ac:dyDescent="0.35">
      <c r="A1328" s="3"/>
      <c r="B1328" s="2"/>
      <c r="C1328" s="2"/>
      <c r="D1328" s="4"/>
      <c r="E1328" s="2"/>
      <c r="F1328" s="2"/>
      <c r="G1328" s="3" t="str">
        <f t="shared" si="120"/>
        <v/>
      </c>
      <c r="H1328" s="3"/>
      <c r="I1328" s="3"/>
      <c r="J1328" s="2"/>
      <c r="K1328" s="2"/>
      <c r="L1328" s="2"/>
      <c r="M1328" s="4"/>
      <c r="N1328" s="2"/>
      <c r="O1328" s="5" t="str">
        <f t="shared" ca="1" si="121"/>
        <v/>
      </c>
      <c r="P1328" s="6"/>
      <c r="V1328" t="str">
        <f t="shared" si="122"/>
        <v/>
      </c>
      <c r="W1328" t="str">
        <f t="shared" si="123"/>
        <v/>
      </c>
      <c r="X1328" t="str">
        <f t="shared" si="124"/>
        <v/>
      </c>
      <c r="Y1328" t="str">
        <f t="shared" si="125"/>
        <v/>
      </c>
    </row>
    <row r="1329" spans="1:25" ht="14.5" x14ac:dyDescent="0.35">
      <c r="A1329" s="3"/>
      <c r="B1329" s="2"/>
      <c r="C1329" s="2"/>
      <c r="D1329" s="4"/>
      <c r="E1329" s="2"/>
      <c r="F1329" s="2"/>
      <c r="G1329" s="3" t="str">
        <f t="shared" si="120"/>
        <v/>
      </c>
      <c r="H1329" s="3"/>
      <c r="I1329" s="3"/>
      <c r="J1329" s="2"/>
      <c r="K1329" s="2"/>
      <c r="L1329" s="2"/>
      <c r="M1329" s="4"/>
      <c r="N1329" s="2"/>
      <c r="O1329" s="5" t="str">
        <f t="shared" ca="1" si="121"/>
        <v/>
      </c>
      <c r="P1329" s="6"/>
      <c r="V1329" t="str">
        <f t="shared" si="122"/>
        <v/>
      </c>
      <c r="W1329" t="str">
        <f t="shared" si="123"/>
        <v/>
      </c>
      <c r="X1329" t="str">
        <f t="shared" si="124"/>
        <v/>
      </c>
      <c r="Y1329" t="str">
        <f t="shared" si="125"/>
        <v/>
      </c>
    </row>
    <row r="1330" spans="1:25" ht="14.5" x14ac:dyDescent="0.35">
      <c r="A1330" s="3"/>
      <c r="B1330" s="2"/>
      <c r="C1330" s="2"/>
      <c r="D1330" s="4"/>
      <c r="E1330" s="2"/>
      <c r="F1330" s="2"/>
      <c r="G1330" s="3" t="str">
        <f t="shared" si="120"/>
        <v/>
      </c>
      <c r="H1330" s="3"/>
      <c r="I1330" s="3"/>
      <c r="J1330" s="2"/>
      <c r="K1330" s="2"/>
      <c r="L1330" s="2"/>
      <c r="M1330" s="4"/>
      <c r="N1330" s="2"/>
      <c r="O1330" s="5" t="str">
        <f t="shared" ca="1" si="121"/>
        <v/>
      </c>
      <c r="P1330" s="6"/>
      <c r="V1330" t="str">
        <f t="shared" si="122"/>
        <v/>
      </c>
      <c r="W1330" t="str">
        <f t="shared" si="123"/>
        <v/>
      </c>
      <c r="X1330" t="str">
        <f t="shared" si="124"/>
        <v/>
      </c>
      <c r="Y1330" t="str">
        <f t="shared" si="125"/>
        <v/>
      </c>
    </row>
    <row r="1331" spans="1:25" ht="14.5" x14ac:dyDescent="0.35">
      <c r="A1331" s="3"/>
      <c r="B1331" s="2"/>
      <c r="C1331" s="2"/>
      <c r="D1331" s="4"/>
      <c r="E1331" s="2"/>
      <c r="F1331" s="2"/>
      <c r="G1331" s="3" t="str">
        <f t="shared" si="120"/>
        <v/>
      </c>
      <c r="H1331" s="3"/>
      <c r="I1331" s="3"/>
      <c r="J1331" s="2"/>
      <c r="K1331" s="2"/>
      <c r="L1331" s="2"/>
      <c r="M1331" s="4"/>
      <c r="N1331" s="2"/>
      <c r="O1331" s="5" t="str">
        <f t="shared" ca="1" si="121"/>
        <v/>
      </c>
      <c r="P1331" s="6"/>
      <c r="V1331" t="str">
        <f t="shared" si="122"/>
        <v/>
      </c>
      <c r="W1331" t="str">
        <f t="shared" si="123"/>
        <v/>
      </c>
      <c r="X1331" t="str">
        <f t="shared" si="124"/>
        <v/>
      </c>
      <c r="Y1331" t="str">
        <f t="shared" si="125"/>
        <v/>
      </c>
    </row>
    <row r="1332" spans="1:25" ht="14.5" x14ac:dyDescent="0.35">
      <c r="A1332" s="3"/>
      <c r="B1332" s="2"/>
      <c r="C1332" s="2"/>
      <c r="D1332" s="4"/>
      <c r="E1332" s="2"/>
      <c r="F1332" s="2"/>
      <c r="G1332" s="3" t="str">
        <f t="shared" si="120"/>
        <v/>
      </c>
      <c r="H1332" s="3"/>
      <c r="I1332" s="3"/>
      <c r="J1332" s="2"/>
      <c r="K1332" s="2"/>
      <c r="L1332" s="2"/>
      <c r="M1332" s="4"/>
      <c r="N1332" s="2"/>
      <c r="O1332" s="5" t="str">
        <f t="shared" ca="1" si="121"/>
        <v/>
      </c>
      <c r="P1332" s="6"/>
      <c r="V1332" t="str">
        <f t="shared" si="122"/>
        <v/>
      </c>
      <c r="W1332" t="str">
        <f t="shared" si="123"/>
        <v/>
      </c>
      <c r="X1332" t="str">
        <f t="shared" si="124"/>
        <v/>
      </c>
      <c r="Y1332" t="str">
        <f t="shared" si="125"/>
        <v/>
      </c>
    </row>
    <row r="1333" spans="1:25" ht="14.5" x14ac:dyDescent="0.35">
      <c r="A1333" s="3"/>
      <c r="B1333" s="2"/>
      <c r="C1333" s="2"/>
      <c r="D1333" s="4"/>
      <c r="E1333" s="2"/>
      <c r="F1333" s="2"/>
      <c r="G1333" s="3" t="str">
        <f t="shared" si="120"/>
        <v/>
      </c>
      <c r="H1333" s="3"/>
      <c r="I1333" s="3"/>
      <c r="J1333" s="2"/>
      <c r="K1333" s="2"/>
      <c r="L1333" s="2"/>
      <c r="M1333" s="4"/>
      <c r="N1333" s="2"/>
      <c r="O1333" s="5" t="str">
        <f t="shared" ca="1" si="121"/>
        <v/>
      </c>
      <c r="P1333" s="6"/>
      <c r="V1333" t="str">
        <f t="shared" si="122"/>
        <v/>
      </c>
      <c r="W1333" t="str">
        <f t="shared" si="123"/>
        <v/>
      </c>
      <c r="X1333" t="str">
        <f t="shared" si="124"/>
        <v/>
      </c>
      <c r="Y1333" t="str">
        <f t="shared" si="125"/>
        <v/>
      </c>
    </row>
    <row r="1334" spans="1:25" ht="14.5" x14ac:dyDescent="0.35">
      <c r="A1334" s="3"/>
      <c r="B1334" s="2"/>
      <c r="C1334" s="2"/>
      <c r="D1334" s="4"/>
      <c r="E1334" s="2"/>
      <c r="F1334" s="2"/>
      <c r="G1334" s="3" t="str">
        <f t="shared" si="120"/>
        <v/>
      </c>
      <c r="H1334" s="3"/>
      <c r="I1334" s="3"/>
      <c r="J1334" s="2"/>
      <c r="K1334" s="2"/>
      <c r="L1334" s="2"/>
      <c r="M1334" s="4"/>
      <c r="N1334" s="2"/>
      <c r="O1334" s="5" t="str">
        <f t="shared" ca="1" si="121"/>
        <v/>
      </c>
      <c r="P1334" s="6"/>
      <c r="V1334" t="str">
        <f t="shared" si="122"/>
        <v/>
      </c>
      <c r="W1334" t="str">
        <f t="shared" si="123"/>
        <v/>
      </c>
      <c r="X1334" t="str">
        <f t="shared" si="124"/>
        <v/>
      </c>
      <c r="Y1334" t="str">
        <f t="shared" si="125"/>
        <v/>
      </c>
    </row>
    <row r="1335" spans="1:25" ht="14.5" x14ac:dyDescent="0.35">
      <c r="A1335" s="3"/>
      <c r="B1335" s="2"/>
      <c r="C1335" s="2"/>
      <c r="D1335" s="4"/>
      <c r="E1335" s="2"/>
      <c r="F1335" s="2"/>
      <c r="G1335" s="3" t="str">
        <f t="shared" si="120"/>
        <v/>
      </c>
      <c r="H1335" s="3"/>
      <c r="I1335" s="3"/>
      <c r="J1335" s="2"/>
      <c r="K1335" s="2"/>
      <c r="L1335" s="2"/>
      <c r="M1335" s="4"/>
      <c r="N1335" s="2"/>
      <c r="O1335" s="5" t="str">
        <f t="shared" ca="1" si="121"/>
        <v/>
      </c>
      <c r="P1335" s="6"/>
      <c r="V1335" t="str">
        <f t="shared" si="122"/>
        <v/>
      </c>
      <c r="W1335" t="str">
        <f t="shared" si="123"/>
        <v/>
      </c>
      <c r="X1335" t="str">
        <f t="shared" si="124"/>
        <v/>
      </c>
      <c r="Y1335" t="str">
        <f t="shared" si="125"/>
        <v/>
      </c>
    </row>
    <row r="1336" spans="1:25" ht="14.5" x14ac:dyDescent="0.35">
      <c r="A1336" s="3"/>
      <c r="B1336" s="2"/>
      <c r="C1336" s="2"/>
      <c r="D1336" s="4"/>
      <c r="E1336" s="2"/>
      <c r="F1336" s="2"/>
      <c r="G1336" s="3" t="str">
        <f t="shared" si="120"/>
        <v/>
      </c>
      <c r="H1336" s="3"/>
      <c r="I1336" s="3"/>
      <c r="J1336" s="2"/>
      <c r="K1336" s="2"/>
      <c r="L1336" s="2"/>
      <c r="M1336" s="4"/>
      <c r="N1336" s="2"/>
      <c r="O1336" s="5" t="str">
        <f t="shared" ca="1" si="121"/>
        <v/>
      </c>
      <c r="P1336" s="6"/>
      <c r="V1336" t="str">
        <f t="shared" si="122"/>
        <v/>
      </c>
      <c r="W1336" t="str">
        <f t="shared" si="123"/>
        <v/>
      </c>
      <c r="X1336" t="str">
        <f t="shared" si="124"/>
        <v/>
      </c>
      <c r="Y1336" t="str">
        <f t="shared" si="125"/>
        <v/>
      </c>
    </row>
    <row r="1337" spans="1:25" ht="14.5" x14ac:dyDescent="0.35">
      <c r="A1337" s="3"/>
      <c r="B1337" s="2"/>
      <c r="C1337" s="2"/>
      <c r="D1337" s="4"/>
      <c r="E1337" s="2"/>
      <c r="F1337" s="2"/>
      <c r="G1337" s="3" t="str">
        <f t="shared" si="120"/>
        <v/>
      </c>
      <c r="H1337" s="3"/>
      <c r="I1337" s="3"/>
      <c r="J1337" s="2"/>
      <c r="K1337" s="2"/>
      <c r="L1337" s="2"/>
      <c r="M1337" s="4"/>
      <c r="N1337" s="2"/>
      <c r="O1337" s="5" t="str">
        <f t="shared" ca="1" si="121"/>
        <v/>
      </c>
      <c r="P1337" s="6"/>
      <c r="V1337" t="str">
        <f t="shared" si="122"/>
        <v/>
      </c>
      <c r="W1337" t="str">
        <f t="shared" si="123"/>
        <v/>
      </c>
      <c r="X1337" t="str">
        <f t="shared" si="124"/>
        <v/>
      </c>
      <c r="Y1337" t="str">
        <f t="shared" si="125"/>
        <v/>
      </c>
    </row>
    <row r="1338" spans="1:25" ht="14.5" x14ac:dyDescent="0.35">
      <c r="A1338" s="3"/>
      <c r="B1338" s="2"/>
      <c r="C1338" s="2"/>
      <c r="D1338" s="4"/>
      <c r="E1338" s="2"/>
      <c r="F1338" s="2"/>
      <c r="G1338" s="3" t="str">
        <f t="shared" si="120"/>
        <v/>
      </c>
      <c r="H1338" s="3"/>
      <c r="I1338" s="3"/>
      <c r="J1338" s="2"/>
      <c r="K1338" s="2"/>
      <c r="L1338" s="2"/>
      <c r="M1338" s="4"/>
      <c r="N1338" s="2"/>
      <c r="O1338" s="5" t="str">
        <f t="shared" ca="1" si="121"/>
        <v/>
      </c>
      <c r="P1338" s="6"/>
      <c r="V1338" t="str">
        <f t="shared" si="122"/>
        <v/>
      </c>
      <c r="W1338" t="str">
        <f t="shared" si="123"/>
        <v/>
      </c>
      <c r="X1338" t="str">
        <f t="shared" si="124"/>
        <v/>
      </c>
      <c r="Y1338" t="str">
        <f t="shared" si="125"/>
        <v/>
      </c>
    </row>
    <row r="1339" spans="1:25" ht="14.5" x14ac:dyDescent="0.35">
      <c r="A1339" s="3"/>
      <c r="B1339" s="2"/>
      <c r="C1339" s="2"/>
      <c r="D1339" s="4"/>
      <c r="E1339" s="2"/>
      <c r="F1339" s="2"/>
      <c r="G1339" s="3" t="str">
        <f t="shared" si="120"/>
        <v/>
      </c>
      <c r="H1339" s="3"/>
      <c r="I1339" s="3"/>
      <c r="J1339" s="2"/>
      <c r="K1339" s="2"/>
      <c r="L1339" s="2"/>
      <c r="M1339" s="4"/>
      <c r="N1339" s="2"/>
      <c r="O1339" s="5" t="str">
        <f t="shared" ca="1" si="121"/>
        <v/>
      </c>
      <c r="P1339" s="6"/>
      <c r="V1339" t="str">
        <f t="shared" si="122"/>
        <v/>
      </c>
      <c r="W1339" t="str">
        <f t="shared" si="123"/>
        <v/>
      </c>
      <c r="X1339" t="str">
        <f t="shared" si="124"/>
        <v/>
      </c>
      <c r="Y1339" t="str">
        <f t="shared" si="125"/>
        <v/>
      </c>
    </row>
    <row r="1340" spans="1:25" ht="14.5" x14ac:dyDescent="0.35">
      <c r="A1340" s="3"/>
      <c r="B1340" s="2"/>
      <c r="C1340" s="2"/>
      <c r="D1340" s="4"/>
      <c r="E1340" s="2"/>
      <c r="F1340" s="2"/>
      <c r="G1340" s="3" t="str">
        <f t="shared" si="120"/>
        <v/>
      </c>
      <c r="H1340" s="3"/>
      <c r="I1340" s="3"/>
      <c r="J1340" s="2"/>
      <c r="K1340" s="2"/>
      <c r="L1340" s="2"/>
      <c r="M1340" s="4"/>
      <c r="N1340" s="2"/>
      <c r="O1340" s="5" t="str">
        <f t="shared" ca="1" si="121"/>
        <v/>
      </c>
      <c r="P1340" s="6"/>
      <c r="V1340" t="str">
        <f t="shared" si="122"/>
        <v/>
      </c>
      <c r="W1340" t="str">
        <f t="shared" si="123"/>
        <v/>
      </c>
      <c r="X1340" t="str">
        <f t="shared" si="124"/>
        <v/>
      </c>
      <c r="Y1340" t="str">
        <f t="shared" si="125"/>
        <v/>
      </c>
    </row>
    <row r="1341" spans="1:25" ht="14.5" x14ac:dyDescent="0.35">
      <c r="A1341" s="3"/>
      <c r="B1341" s="2"/>
      <c r="C1341" s="2"/>
      <c r="D1341" s="4"/>
      <c r="E1341" s="2"/>
      <c r="F1341" s="2"/>
      <c r="G1341" s="3" t="str">
        <f t="shared" si="120"/>
        <v/>
      </c>
      <c r="H1341" s="3"/>
      <c r="I1341" s="3"/>
      <c r="J1341" s="2"/>
      <c r="K1341" s="2"/>
      <c r="L1341" s="2"/>
      <c r="M1341" s="4"/>
      <c r="N1341" s="2"/>
      <c r="O1341" s="5" t="str">
        <f t="shared" ca="1" si="121"/>
        <v/>
      </c>
      <c r="P1341" s="6"/>
      <c r="V1341" t="str">
        <f t="shared" si="122"/>
        <v/>
      </c>
      <c r="W1341" t="str">
        <f t="shared" si="123"/>
        <v/>
      </c>
      <c r="X1341" t="str">
        <f t="shared" si="124"/>
        <v/>
      </c>
      <c r="Y1341" t="str">
        <f t="shared" si="125"/>
        <v/>
      </c>
    </row>
    <row r="1342" spans="1:25" ht="14.5" x14ac:dyDescent="0.35">
      <c r="A1342" s="3"/>
      <c r="B1342" s="2"/>
      <c r="C1342" s="2"/>
      <c r="D1342" s="4"/>
      <c r="E1342" s="2"/>
      <c r="F1342" s="2"/>
      <c r="G1342" s="3" t="str">
        <f t="shared" si="120"/>
        <v/>
      </c>
      <c r="H1342" s="3"/>
      <c r="I1342" s="3"/>
      <c r="J1342" s="2"/>
      <c r="K1342" s="2"/>
      <c r="L1342" s="2"/>
      <c r="M1342" s="4"/>
      <c r="N1342" s="2"/>
      <c r="O1342" s="5" t="str">
        <f t="shared" ca="1" si="121"/>
        <v/>
      </c>
      <c r="P1342" s="6"/>
      <c r="V1342" t="str">
        <f t="shared" si="122"/>
        <v/>
      </c>
      <c r="W1342" t="str">
        <f t="shared" si="123"/>
        <v/>
      </c>
      <c r="X1342" t="str">
        <f t="shared" si="124"/>
        <v/>
      </c>
      <c r="Y1342" t="str">
        <f t="shared" si="125"/>
        <v/>
      </c>
    </row>
    <row r="1343" spans="1:25" ht="14.5" x14ac:dyDescent="0.35">
      <c r="A1343" s="3"/>
      <c r="B1343" s="2"/>
      <c r="C1343" s="2"/>
      <c r="D1343" s="4"/>
      <c r="E1343" s="2"/>
      <c r="F1343" s="2"/>
      <c r="G1343" s="3" t="str">
        <f t="shared" si="120"/>
        <v/>
      </c>
      <c r="H1343" s="3"/>
      <c r="I1343" s="3"/>
      <c r="J1343" s="2"/>
      <c r="K1343" s="2"/>
      <c r="L1343" s="2"/>
      <c r="M1343" s="4"/>
      <c r="N1343" s="2"/>
      <c r="O1343" s="5" t="str">
        <f t="shared" ca="1" si="121"/>
        <v/>
      </c>
      <c r="P1343" s="6"/>
      <c r="V1343" t="str">
        <f t="shared" si="122"/>
        <v/>
      </c>
      <c r="W1343" t="str">
        <f t="shared" si="123"/>
        <v/>
      </c>
      <c r="X1343" t="str">
        <f t="shared" si="124"/>
        <v/>
      </c>
      <c r="Y1343" t="str">
        <f t="shared" si="125"/>
        <v/>
      </c>
    </row>
    <row r="1344" spans="1:25" ht="14.5" x14ac:dyDescent="0.35">
      <c r="A1344" s="3"/>
      <c r="B1344" s="2"/>
      <c r="C1344" s="2"/>
      <c r="D1344" s="4"/>
      <c r="E1344" s="2"/>
      <c r="F1344" s="2"/>
      <c r="G1344" s="3" t="str">
        <f t="shared" si="120"/>
        <v/>
      </c>
      <c r="H1344" s="3"/>
      <c r="I1344" s="3"/>
      <c r="J1344" s="2"/>
      <c r="K1344" s="2"/>
      <c r="L1344" s="2"/>
      <c r="M1344" s="4"/>
      <c r="N1344" s="2"/>
      <c r="O1344" s="5" t="str">
        <f t="shared" ca="1" si="121"/>
        <v/>
      </c>
      <c r="P1344" s="6"/>
      <c r="V1344" t="str">
        <f t="shared" si="122"/>
        <v/>
      </c>
      <c r="W1344" t="str">
        <f t="shared" si="123"/>
        <v/>
      </c>
      <c r="X1344" t="str">
        <f t="shared" si="124"/>
        <v/>
      </c>
      <c r="Y1344" t="str">
        <f t="shared" si="125"/>
        <v/>
      </c>
    </row>
    <row r="1345" spans="1:25" ht="14.5" x14ac:dyDescent="0.35">
      <c r="A1345" s="3"/>
      <c r="B1345" s="2"/>
      <c r="C1345" s="2"/>
      <c r="D1345" s="4"/>
      <c r="E1345" s="2"/>
      <c r="F1345" s="2"/>
      <c r="G1345" s="3" t="str">
        <f t="shared" si="120"/>
        <v/>
      </c>
      <c r="H1345" s="3"/>
      <c r="I1345" s="3"/>
      <c r="J1345" s="2"/>
      <c r="K1345" s="2"/>
      <c r="L1345" s="2"/>
      <c r="M1345" s="4"/>
      <c r="N1345" s="2"/>
      <c r="O1345" s="5" t="str">
        <f t="shared" ca="1" si="121"/>
        <v/>
      </c>
      <c r="P1345" s="6"/>
      <c r="V1345" t="str">
        <f t="shared" si="122"/>
        <v/>
      </c>
      <c r="W1345" t="str">
        <f t="shared" si="123"/>
        <v/>
      </c>
      <c r="X1345" t="str">
        <f t="shared" si="124"/>
        <v/>
      </c>
      <c r="Y1345" t="str">
        <f t="shared" si="125"/>
        <v/>
      </c>
    </row>
    <row r="1346" spans="1:25" ht="14.5" x14ac:dyDescent="0.35">
      <c r="A1346" s="3"/>
      <c r="B1346" s="2"/>
      <c r="C1346" s="2"/>
      <c r="D1346" s="4"/>
      <c r="E1346" s="2"/>
      <c r="F1346" s="2"/>
      <c r="G1346" s="3" t="str">
        <f t="shared" ref="G1346:G1409" si="126">IF(COUNTIF($A$2:$A$1500,A1346&amp;".*")=0,"",COUNTIF($A$2:$A$1500,A1346&amp;".*"))</f>
        <v/>
      </c>
      <c r="H1346" s="3"/>
      <c r="I1346" s="3"/>
      <c r="J1346" s="2"/>
      <c r="K1346" s="2"/>
      <c r="L1346" s="2"/>
      <c r="M1346" s="4"/>
      <c r="N1346" s="2"/>
      <c r="O1346" s="5" t="str">
        <f t="shared" ref="O1346:O1409" ca="1" si="127">IF(M1346="","",INT(M1346)-TODAY())</f>
        <v/>
      </c>
      <c r="P1346" s="6"/>
      <c r="V1346" t="str">
        <f t="shared" ref="V1346:V1409" si="128">IF(M1346="","",M1346+Q1346/1000000)</f>
        <v/>
      </c>
      <c r="W1346" t="str">
        <f t="shared" ref="W1346:W1409" si="129">IF(U1346="","",IF(M1346="",9999999+Q1346/1000000,M1346+Q1346/1000000))</f>
        <v/>
      </c>
      <c r="X1346" t="str">
        <f t="shared" ref="X1346:X1409" si="130">IF(U1346="","",SUMPRODUCT(($U$2:$U$1500=U1346)*($W$2:$W$1500&lt;=W1346)))</f>
        <v/>
      </c>
      <c r="Y1346" t="str">
        <f t="shared" ref="Y1346:Y1409" si="131">IF(U1346="","",U1346&amp;"|"&amp;X1346)</f>
        <v/>
      </c>
    </row>
    <row r="1347" spans="1:25" ht="14.5" x14ac:dyDescent="0.35">
      <c r="A1347" s="3"/>
      <c r="B1347" s="2"/>
      <c r="C1347" s="2"/>
      <c r="D1347" s="4"/>
      <c r="E1347" s="2"/>
      <c r="F1347" s="2"/>
      <c r="G1347" s="3" t="str">
        <f t="shared" si="126"/>
        <v/>
      </c>
      <c r="H1347" s="3"/>
      <c r="I1347" s="3"/>
      <c r="J1347" s="2"/>
      <c r="K1347" s="2"/>
      <c r="L1347" s="2"/>
      <c r="M1347" s="4"/>
      <c r="N1347" s="2"/>
      <c r="O1347" s="5" t="str">
        <f t="shared" ca="1" si="127"/>
        <v/>
      </c>
      <c r="P1347" s="6"/>
      <c r="V1347" t="str">
        <f t="shared" si="128"/>
        <v/>
      </c>
      <c r="W1347" t="str">
        <f t="shared" si="129"/>
        <v/>
      </c>
      <c r="X1347" t="str">
        <f t="shared" si="130"/>
        <v/>
      </c>
      <c r="Y1347" t="str">
        <f t="shared" si="131"/>
        <v/>
      </c>
    </row>
    <row r="1348" spans="1:25" ht="14.5" x14ac:dyDescent="0.35">
      <c r="A1348" s="3"/>
      <c r="B1348" s="2"/>
      <c r="C1348" s="2"/>
      <c r="D1348" s="4"/>
      <c r="E1348" s="2"/>
      <c r="F1348" s="2"/>
      <c r="G1348" s="3" t="str">
        <f t="shared" si="126"/>
        <v/>
      </c>
      <c r="H1348" s="3"/>
      <c r="I1348" s="3"/>
      <c r="J1348" s="2"/>
      <c r="K1348" s="2"/>
      <c r="L1348" s="2"/>
      <c r="M1348" s="4"/>
      <c r="N1348" s="2"/>
      <c r="O1348" s="5" t="str">
        <f t="shared" ca="1" si="127"/>
        <v/>
      </c>
      <c r="P1348" s="6"/>
      <c r="V1348" t="str">
        <f t="shared" si="128"/>
        <v/>
      </c>
      <c r="W1348" t="str">
        <f t="shared" si="129"/>
        <v/>
      </c>
      <c r="X1348" t="str">
        <f t="shared" si="130"/>
        <v/>
      </c>
      <c r="Y1348" t="str">
        <f t="shared" si="131"/>
        <v/>
      </c>
    </row>
    <row r="1349" spans="1:25" ht="14.5" x14ac:dyDescent="0.35">
      <c r="A1349" s="3"/>
      <c r="B1349" s="2"/>
      <c r="C1349" s="2"/>
      <c r="D1349" s="4"/>
      <c r="E1349" s="2"/>
      <c r="F1349" s="2"/>
      <c r="G1349" s="3" t="str">
        <f t="shared" si="126"/>
        <v/>
      </c>
      <c r="H1349" s="3"/>
      <c r="I1349" s="3"/>
      <c r="J1349" s="2"/>
      <c r="K1349" s="2"/>
      <c r="L1349" s="2"/>
      <c r="M1349" s="4"/>
      <c r="N1349" s="2"/>
      <c r="O1349" s="5" t="str">
        <f t="shared" ca="1" si="127"/>
        <v/>
      </c>
      <c r="P1349" s="6"/>
      <c r="V1349" t="str">
        <f t="shared" si="128"/>
        <v/>
      </c>
      <c r="W1349" t="str">
        <f t="shared" si="129"/>
        <v/>
      </c>
      <c r="X1349" t="str">
        <f t="shared" si="130"/>
        <v/>
      </c>
      <c r="Y1349" t="str">
        <f t="shared" si="131"/>
        <v/>
      </c>
    </row>
    <row r="1350" spans="1:25" ht="14.5" x14ac:dyDescent="0.35">
      <c r="A1350" s="3"/>
      <c r="B1350" s="2"/>
      <c r="C1350" s="2"/>
      <c r="D1350" s="4"/>
      <c r="E1350" s="2"/>
      <c r="F1350" s="2"/>
      <c r="G1350" s="3" t="str">
        <f t="shared" si="126"/>
        <v/>
      </c>
      <c r="H1350" s="3"/>
      <c r="I1350" s="3"/>
      <c r="J1350" s="2"/>
      <c r="K1350" s="2"/>
      <c r="L1350" s="2"/>
      <c r="M1350" s="4"/>
      <c r="N1350" s="2"/>
      <c r="O1350" s="5" t="str">
        <f t="shared" ca="1" si="127"/>
        <v/>
      </c>
      <c r="P1350" s="6"/>
      <c r="V1350" t="str">
        <f t="shared" si="128"/>
        <v/>
      </c>
      <c r="W1350" t="str">
        <f t="shared" si="129"/>
        <v/>
      </c>
      <c r="X1350" t="str">
        <f t="shared" si="130"/>
        <v/>
      </c>
      <c r="Y1350" t="str">
        <f t="shared" si="131"/>
        <v/>
      </c>
    </row>
    <row r="1351" spans="1:25" ht="14.5" x14ac:dyDescent="0.35">
      <c r="A1351" s="3"/>
      <c r="B1351" s="2"/>
      <c r="C1351" s="2"/>
      <c r="D1351" s="4"/>
      <c r="E1351" s="2"/>
      <c r="F1351" s="2"/>
      <c r="G1351" s="3" t="str">
        <f t="shared" si="126"/>
        <v/>
      </c>
      <c r="H1351" s="3"/>
      <c r="I1351" s="3"/>
      <c r="J1351" s="2"/>
      <c r="K1351" s="2"/>
      <c r="L1351" s="2"/>
      <c r="M1351" s="4"/>
      <c r="N1351" s="2"/>
      <c r="O1351" s="5" t="str">
        <f t="shared" ca="1" si="127"/>
        <v/>
      </c>
      <c r="P1351" s="6"/>
      <c r="V1351" t="str">
        <f t="shared" si="128"/>
        <v/>
      </c>
      <c r="W1351" t="str">
        <f t="shared" si="129"/>
        <v/>
      </c>
      <c r="X1351" t="str">
        <f t="shared" si="130"/>
        <v/>
      </c>
      <c r="Y1351" t="str">
        <f t="shared" si="131"/>
        <v/>
      </c>
    </row>
    <row r="1352" spans="1:25" ht="14.5" x14ac:dyDescent="0.35">
      <c r="A1352" s="3"/>
      <c r="B1352" s="2"/>
      <c r="C1352" s="2"/>
      <c r="D1352" s="4"/>
      <c r="E1352" s="2"/>
      <c r="F1352" s="2"/>
      <c r="G1352" s="3" t="str">
        <f t="shared" si="126"/>
        <v/>
      </c>
      <c r="H1352" s="3"/>
      <c r="I1352" s="3"/>
      <c r="J1352" s="2"/>
      <c r="K1352" s="2"/>
      <c r="L1352" s="2"/>
      <c r="M1352" s="4"/>
      <c r="N1352" s="2"/>
      <c r="O1352" s="5" t="str">
        <f t="shared" ca="1" si="127"/>
        <v/>
      </c>
      <c r="P1352" s="6"/>
      <c r="V1352" t="str">
        <f t="shared" si="128"/>
        <v/>
      </c>
      <c r="W1352" t="str">
        <f t="shared" si="129"/>
        <v/>
      </c>
      <c r="X1352" t="str">
        <f t="shared" si="130"/>
        <v/>
      </c>
      <c r="Y1352" t="str">
        <f t="shared" si="131"/>
        <v/>
      </c>
    </row>
    <row r="1353" spans="1:25" ht="14.5" x14ac:dyDescent="0.35">
      <c r="A1353" s="3"/>
      <c r="B1353" s="2"/>
      <c r="C1353" s="2"/>
      <c r="D1353" s="4"/>
      <c r="E1353" s="2"/>
      <c r="F1353" s="2"/>
      <c r="G1353" s="3" t="str">
        <f t="shared" si="126"/>
        <v/>
      </c>
      <c r="H1353" s="3"/>
      <c r="I1353" s="3"/>
      <c r="J1353" s="2"/>
      <c r="K1353" s="2"/>
      <c r="L1353" s="2"/>
      <c r="M1353" s="4"/>
      <c r="N1353" s="2"/>
      <c r="O1353" s="5" t="str">
        <f t="shared" ca="1" si="127"/>
        <v/>
      </c>
      <c r="P1353" s="6"/>
      <c r="V1353" t="str">
        <f t="shared" si="128"/>
        <v/>
      </c>
      <c r="W1353" t="str">
        <f t="shared" si="129"/>
        <v/>
      </c>
      <c r="X1353" t="str">
        <f t="shared" si="130"/>
        <v/>
      </c>
      <c r="Y1353" t="str">
        <f t="shared" si="131"/>
        <v/>
      </c>
    </row>
    <row r="1354" spans="1:25" ht="14.5" x14ac:dyDescent="0.35">
      <c r="A1354" s="3"/>
      <c r="B1354" s="2"/>
      <c r="C1354" s="2"/>
      <c r="D1354" s="4"/>
      <c r="E1354" s="2"/>
      <c r="F1354" s="2"/>
      <c r="G1354" s="3" t="str">
        <f t="shared" si="126"/>
        <v/>
      </c>
      <c r="H1354" s="3"/>
      <c r="I1354" s="3"/>
      <c r="J1354" s="2"/>
      <c r="K1354" s="2"/>
      <c r="L1354" s="2"/>
      <c r="M1354" s="4"/>
      <c r="N1354" s="2"/>
      <c r="O1354" s="5" t="str">
        <f t="shared" ca="1" si="127"/>
        <v/>
      </c>
      <c r="P1354" s="6"/>
      <c r="V1354" t="str">
        <f t="shared" si="128"/>
        <v/>
      </c>
      <c r="W1354" t="str">
        <f t="shared" si="129"/>
        <v/>
      </c>
      <c r="X1354" t="str">
        <f t="shared" si="130"/>
        <v/>
      </c>
      <c r="Y1354" t="str">
        <f t="shared" si="131"/>
        <v/>
      </c>
    </row>
    <row r="1355" spans="1:25" ht="14.5" x14ac:dyDescent="0.35">
      <c r="A1355" s="3"/>
      <c r="B1355" s="2"/>
      <c r="C1355" s="2"/>
      <c r="D1355" s="4"/>
      <c r="E1355" s="2"/>
      <c r="F1355" s="2"/>
      <c r="G1355" s="3" t="str">
        <f t="shared" si="126"/>
        <v/>
      </c>
      <c r="H1355" s="3"/>
      <c r="I1355" s="3"/>
      <c r="J1355" s="2"/>
      <c r="K1355" s="2"/>
      <c r="L1355" s="2"/>
      <c r="M1355" s="4"/>
      <c r="N1355" s="2"/>
      <c r="O1355" s="5" t="str">
        <f t="shared" ca="1" si="127"/>
        <v/>
      </c>
      <c r="P1355" s="6"/>
      <c r="V1355" t="str">
        <f t="shared" si="128"/>
        <v/>
      </c>
      <c r="W1355" t="str">
        <f t="shared" si="129"/>
        <v/>
      </c>
      <c r="X1355" t="str">
        <f t="shared" si="130"/>
        <v/>
      </c>
      <c r="Y1355" t="str">
        <f t="shared" si="131"/>
        <v/>
      </c>
    </row>
    <row r="1356" spans="1:25" ht="14.5" x14ac:dyDescent="0.35">
      <c r="A1356" s="3"/>
      <c r="B1356" s="2"/>
      <c r="C1356" s="2"/>
      <c r="D1356" s="4"/>
      <c r="E1356" s="2"/>
      <c r="F1356" s="2"/>
      <c r="G1356" s="3" t="str">
        <f t="shared" si="126"/>
        <v/>
      </c>
      <c r="H1356" s="3"/>
      <c r="I1356" s="3"/>
      <c r="J1356" s="2"/>
      <c r="K1356" s="2"/>
      <c r="L1356" s="2"/>
      <c r="M1356" s="4"/>
      <c r="N1356" s="2"/>
      <c r="O1356" s="5" t="str">
        <f t="shared" ca="1" si="127"/>
        <v/>
      </c>
      <c r="P1356" s="6"/>
      <c r="V1356" t="str">
        <f t="shared" si="128"/>
        <v/>
      </c>
      <c r="W1356" t="str">
        <f t="shared" si="129"/>
        <v/>
      </c>
      <c r="X1356" t="str">
        <f t="shared" si="130"/>
        <v/>
      </c>
      <c r="Y1356" t="str">
        <f t="shared" si="131"/>
        <v/>
      </c>
    </row>
    <row r="1357" spans="1:25" ht="14.5" x14ac:dyDescent="0.35">
      <c r="A1357" s="3"/>
      <c r="B1357" s="2"/>
      <c r="C1357" s="2"/>
      <c r="D1357" s="4"/>
      <c r="E1357" s="2"/>
      <c r="F1357" s="2"/>
      <c r="G1357" s="3" t="str">
        <f t="shared" si="126"/>
        <v/>
      </c>
      <c r="H1357" s="3"/>
      <c r="I1357" s="3"/>
      <c r="J1357" s="2"/>
      <c r="K1357" s="2"/>
      <c r="L1357" s="2"/>
      <c r="M1357" s="4"/>
      <c r="N1357" s="2"/>
      <c r="O1357" s="5" t="str">
        <f t="shared" ca="1" si="127"/>
        <v/>
      </c>
      <c r="P1357" s="6"/>
      <c r="V1357" t="str">
        <f t="shared" si="128"/>
        <v/>
      </c>
      <c r="W1357" t="str">
        <f t="shared" si="129"/>
        <v/>
      </c>
      <c r="X1357" t="str">
        <f t="shared" si="130"/>
        <v/>
      </c>
      <c r="Y1357" t="str">
        <f t="shared" si="131"/>
        <v/>
      </c>
    </row>
    <row r="1358" spans="1:25" ht="14.5" x14ac:dyDescent="0.35">
      <c r="A1358" s="3"/>
      <c r="B1358" s="2"/>
      <c r="C1358" s="2"/>
      <c r="D1358" s="4"/>
      <c r="E1358" s="2"/>
      <c r="F1358" s="2"/>
      <c r="G1358" s="3" t="str">
        <f t="shared" si="126"/>
        <v/>
      </c>
      <c r="H1358" s="3"/>
      <c r="I1358" s="3"/>
      <c r="J1358" s="2"/>
      <c r="K1358" s="2"/>
      <c r="L1358" s="2"/>
      <c r="M1358" s="4"/>
      <c r="N1358" s="2"/>
      <c r="O1358" s="5" t="str">
        <f t="shared" ca="1" si="127"/>
        <v/>
      </c>
      <c r="P1358" s="6"/>
      <c r="V1358" t="str">
        <f t="shared" si="128"/>
        <v/>
      </c>
      <c r="W1358" t="str">
        <f t="shared" si="129"/>
        <v/>
      </c>
      <c r="X1358" t="str">
        <f t="shared" si="130"/>
        <v/>
      </c>
      <c r="Y1358" t="str">
        <f t="shared" si="131"/>
        <v/>
      </c>
    </row>
    <row r="1359" spans="1:25" ht="14.5" x14ac:dyDescent="0.35">
      <c r="A1359" s="3"/>
      <c r="B1359" s="2"/>
      <c r="C1359" s="2"/>
      <c r="D1359" s="4"/>
      <c r="E1359" s="2"/>
      <c r="F1359" s="2"/>
      <c r="G1359" s="3" t="str">
        <f t="shared" si="126"/>
        <v/>
      </c>
      <c r="H1359" s="3"/>
      <c r="I1359" s="3"/>
      <c r="J1359" s="2"/>
      <c r="K1359" s="2"/>
      <c r="L1359" s="2"/>
      <c r="M1359" s="4"/>
      <c r="N1359" s="2"/>
      <c r="O1359" s="5" t="str">
        <f t="shared" ca="1" si="127"/>
        <v/>
      </c>
      <c r="P1359" s="6"/>
      <c r="V1359" t="str">
        <f t="shared" si="128"/>
        <v/>
      </c>
      <c r="W1359" t="str">
        <f t="shared" si="129"/>
        <v/>
      </c>
      <c r="X1359" t="str">
        <f t="shared" si="130"/>
        <v/>
      </c>
      <c r="Y1359" t="str">
        <f t="shared" si="131"/>
        <v/>
      </c>
    </row>
    <row r="1360" spans="1:25" ht="14.5" x14ac:dyDescent="0.35">
      <c r="A1360" s="3"/>
      <c r="B1360" s="2"/>
      <c r="C1360" s="2"/>
      <c r="D1360" s="4"/>
      <c r="E1360" s="2"/>
      <c r="F1360" s="2"/>
      <c r="G1360" s="3" t="str">
        <f t="shared" si="126"/>
        <v/>
      </c>
      <c r="H1360" s="3"/>
      <c r="I1360" s="3"/>
      <c r="J1360" s="2"/>
      <c r="K1360" s="2"/>
      <c r="L1360" s="2"/>
      <c r="M1360" s="4"/>
      <c r="N1360" s="2"/>
      <c r="O1360" s="5" t="str">
        <f t="shared" ca="1" si="127"/>
        <v/>
      </c>
      <c r="P1360" s="6"/>
      <c r="V1360" t="str">
        <f t="shared" si="128"/>
        <v/>
      </c>
      <c r="W1360" t="str">
        <f t="shared" si="129"/>
        <v/>
      </c>
      <c r="X1360" t="str">
        <f t="shared" si="130"/>
        <v/>
      </c>
      <c r="Y1360" t="str">
        <f t="shared" si="131"/>
        <v/>
      </c>
    </row>
    <row r="1361" spans="1:25" ht="14.5" x14ac:dyDescent="0.35">
      <c r="A1361" s="3"/>
      <c r="B1361" s="2"/>
      <c r="C1361" s="2"/>
      <c r="D1361" s="4"/>
      <c r="E1361" s="2"/>
      <c r="F1361" s="2"/>
      <c r="G1361" s="3" t="str">
        <f t="shared" si="126"/>
        <v/>
      </c>
      <c r="H1361" s="3"/>
      <c r="I1361" s="3"/>
      <c r="J1361" s="2"/>
      <c r="K1361" s="2"/>
      <c r="L1361" s="2"/>
      <c r="M1361" s="4"/>
      <c r="N1361" s="2"/>
      <c r="O1361" s="5" t="str">
        <f t="shared" ca="1" si="127"/>
        <v/>
      </c>
      <c r="P1361" s="6"/>
      <c r="V1361" t="str">
        <f t="shared" si="128"/>
        <v/>
      </c>
      <c r="W1361" t="str">
        <f t="shared" si="129"/>
        <v/>
      </c>
      <c r="X1361" t="str">
        <f t="shared" si="130"/>
        <v/>
      </c>
      <c r="Y1361" t="str">
        <f t="shared" si="131"/>
        <v/>
      </c>
    </row>
    <row r="1362" spans="1:25" ht="14.5" x14ac:dyDescent="0.35">
      <c r="A1362" s="3"/>
      <c r="B1362" s="2"/>
      <c r="C1362" s="2"/>
      <c r="D1362" s="4"/>
      <c r="E1362" s="2"/>
      <c r="F1362" s="2"/>
      <c r="G1362" s="3" t="str">
        <f t="shared" si="126"/>
        <v/>
      </c>
      <c r="H1362" s="3"/>
      <c r="I1362" s="3"/>
      <c r="J1362" s="2"/>
      <c r="K1362" s="2"/>
      <c r="L1362" s="2"/>
      <c r="M1362" s="4"/>
      <c r="N1362" s="2"/>
      <c r="O1362" s="5" t="str">
        <f t="shared" ca="1" si="127"/>
        <v/>
      </c>
      <c r="P1362" s="6"/>
      <c r="V1362" t="str">
        <f t="shared" si="128"/>
        <v/>
      </c>
      <c r="W1362" t="str">
        <f t="shared" si="129"/>
        <v/>
      </c>
      <c r="X1362" t="str">
        <f t="shared" si="130"/>
        <v/>
      </c>
      <c r="Y1362" t="str">
        <f t="shared" si="131"/>
        <v/>
      </c>
    </row>
    <row r="1363" spans="1:25" ht="14.5" x14ac:dyDescent="0.35">
      <c r="A1363" s="3"/>
      <c r="B1363" s="2"/>
      <c r="C1363" s="2"/>
      <c r="D1363" s="4"/>
      <c r="E1363" s="2"/>
      <c r="F1363" s="2"/>
      <c r="G1363" s="3" t="str">
        <f t="shared" si="126"/>
        <v/>
      </c>
      <c r="H1363" s="3"/>
      <c r="I1363" s="3"/>
      <c r="J1363" s="2"/>
      <c r="K1363" s="2"/>
      <c r="L1363" s="2"/>
      <c r="M1363" s="4"/>
      <c r="N1363" s="2"/>
      <c r="O1363" s="5" t="str">
        <f t="shared" ca="1" si="127"/>
        <v/>
      </c>
      <c r="P1363" s="6"/>
      <c r="V1363" t="str">
        <f t="shared" si="128"/>
        <v/>
      </c>
      <c r="W1363" t="str">
        <f t="shared" si="129"/>
        <v/>
      </c>
      <c r="X1363" t="str">
        <f t="shared" si="130"/>
        <v/>
      </c>
      <c r="Y1363" t="str">
        <f t="shared" si="131"/>
        <v/>
      </c>
    </row>
    <row r="1364" spans="1:25" ht="14.5" x14ac:dyDescent="0.35">
      <c r="A1364" s="3"/>
      <c r="B1364" s="2"/>
      <c r="C1364" s="2"/>
      <c r="D1364" s="4"/>
      <c r="E1364" s="2"/>
      <c r="F1364" s="2"/>
      <c r="G1364" s="3" t="str">
        <f t="shared" si="126"/>
        <v/>
      </c>
      <c r="H1364" s="3"/>
      <c r="I1364" s="3"/>
      <c r="J1364" s="2"/>
      <c r="K1364" s="2"/>
      <c r="L1364" s="2"/>
      <c r="M1364" s="4"/>
      <c r="N1364" s="2"/>
      <c r="O1364" s="5" t="str">
        <f t="shared" ca="1" si="127"/>
        <v/>
      </c>
      <c r="P1364" s="6"/>
      <c r="V1364" t="str">
        <f t="shared" si="128"/>
        <v/>
      </c>
      <c r="W1364" t="str">
        <f t="shared" si="129"/>
        <v/>
      </c>
      <c r="X1364" t="str">
        <f t="shared" si="130"/>
        <v/>
      </c>
      <c r="Y1364" t="str">
        <f t="shared" si="131"/>
        <v/>
      </c>
    </row>
    <row r="1365" spans="1:25" ht="14.5" x14ac:dyDescent="0.35">
      <c r="A1365" s="3"/>
      <c r="B1365" s="2"/>
      <c r="C1365" s="2"/>
      <c r="D1365" s="4"/>
      <c r="E1365" s="2"/>
      <c r="F1365" s="2"/>
      <c r="G1365" s="3" t="str">
        <f t="shared" si="126"/>
        <v/>
      </c>
      <c r="H1365" s="3"/>
      <c r="I1365" s="3"/>
      <c r="J1365" s="2"/>
      <c r="K1365" s="2"/>
      <c r="L1365" s="2"/>
      <c r="M1365" s="4"/>
      <c r="N1365" s="2"/>
      <c r="O1365" s="5" t="str">
        <f t="shared" ca="1" si="127"/>
        <v/>
      </c>
      <c r="P1365" s="6"/>
      <c r="V1365" t="str">
        <f t="shared" si="128"/>
        <v/>
      </c>
      <c r="W1365" t="str">
        <f t="shared" si="129"/>
        <v/>
      </c>
      <c r="X1365" t="str">
        <f t="shared" si="130"/>
        <v/>
      </c>
      <c r="Y1365" t="str">
        <f t="shared" si="131"/>
        <v/>
      </c>
    </row>
    <row r="1366" spans="1:25" ht="14.5" x14ac:dyDescent="0.35">
      <c r="A1366" s="3"/>
      <c r="B1366" s="2"/>
      <c r="C1366" s="2"/>
      <c r="D1366" s="4"/>
      <c r="E1366" s="2"/>
      <c r="F1366" s="2"/>
      <c r="G1366" s="3" t="str">
        <f t="shared" si="126"/>
        <v/>
      </c>
      <c r="H1366" s="3"/>
      <c r="I1366" s="3"/>
      <c r="J1366" s="2"/>
      <c r="K1366" s="2"/>
      <c r="L1366" s="2"/>
      <c r="M1366" s="4"/>
      <c r="N1366" s="2"/>
      <c r="O1366" s="5" t="str">
        <f t="shared" ca="1" si="127"/>
        <v/>
      </c>
      <c r="P1366" s="6"/>
      <c r="V1366" t="str">
        <f t="shared" si="128"/>
        <v/>
      </c>
      <c r="W1366" t="str">
        <f t="shared" si="129"/>
        <v/>
      </c>
      <c r="X1366" t="str">
        <f t="shared" si="130"/>
        <v/>
      </c>
      <c r="Y1366" t="str">
        <f t="shared" si="131"/>
        <v/>
      </c>
    </row>
    <row r="1367" spans="1:25" ht="14.5" x14ac:dyDescent="0.35">
      <c r="A1367" s="3"/>
      <c r="B1367" s="2"/>
      <c r="C1367" s="2"/>
      <c r="D1367" s="4"/>
      <c r="E1367" s="2"/>
      <c r="F1367" s="2"/>
      <c r="G1367" s="3" t="str">
        <f t="shared" si="126"/>
        <v/>
      </c>
      <c r="H1367" s="3"/>
      <c r="I1367" s="3"/>
      <c r="J1367" s="2"/>
      <c r="K1367" s="2"/>
      <c r="L1367" s="2"/>
      <c r="M1367" s="4"/>
      <c r="N1367" s="2"/>
      <c r="O1367" s="5" t="str">
        <f t="shared" ca="1" si="127"/>
        <v/>
      </c>
      <c r="P1367" s="6"/>
      <c r="V1367" t="str">
        <f t="shared" si="128"/>
        <v/>
      </c>
      <c r="W1367" t="str">
        <f t="shared" si="129"/>
        <v/>
      </c>
      <c r="X1367" t="str">
        <f t="shared" si="130"/>
        <v/>
      </c>
      <c r="Y1367" t="str">
        <f t="shared" si="131"/>
        <v/>
      </c>
    </row>
    <row r="1368" spans="1:25" ht="14.5" x14ac:dyDescent="0.35">
      <c r="A1368" s="3"/>
      <c r="B1368" s="2"/>
      <c r="C1368" s="2"/>
      <c r="D1368" s="4"/>
      <c r="E1368" s="2"/>
      <c r="F1368" s="2"/>
      <c r="G1368" s="3" t="str">
        <f t="shared" si="126"/>
        <v/>
      </c>
      <c r="H1368" s="3"/>
      <c r="I1368" s="3"/>
      <c r="J1368" s="2"/>
      <c r="K1368" s="2"/>
      <c r="L1368" s="2"/>
      <c r="M1368" s="4"/>
      <c r="N1368" s="2"/>
      <c r="O1368" s="5" t="str">
        <f t="shared" ca="1" si="127"/>
        <v/>
      </c>
      <c r="P1368" s="6"/>
      <c r="V1368" t="str">
        <f t="shared" si="128"/>
        <v/>
      </c>
      <c r="W1368" t="str">
        <f t="shared" si="129"/>
        <v/>
      </c>
      <c r="X1368" t="str">
        <f t="shared" si="130"/>
        <v/>
      </c>
      <c r="Y1368" t="str">
        <f t="shared" si="131"/>
        <v/>
      </c>
    </row>
    <row r="1369" spans="1:25" ht="14.5" x14ac:dyDescent="0.35">
      <c r="A1369" s="3"/>
      <c r="B1369" s="2"/>
      <c r="C1369" s="2"/>
      <c r="D1369" s="4"/>
      <c r="E1369" s="2"/>
      <c r="F1369" s="2"/>
      <c r="G1369" s="3" t="str">
        <f t="shared" si="126"/>
        <v/>
      </c>
      <c r="H1369" s="3"/>
      <c r="I1369" s="3"/>
      <c r="J1369" s="2"/>
      <c r="K1369" s="2"/>
      <c r="L1369" s="2"/>
      <c r="M1369" s="4"/>
      <c r="N1369" s="2"/>
      <c r="O1369" s="5" t="str">
        <f t="shared" ca="1" si="127"/>
        <v/>
      </c>
      <c r="P1369" s="6"/>
      <c r="V1369" t="str">
        <f t="shared" si="128"/>
        <v/>
      </c>
      <c r="W1369" t="str">
        <f t="shared" si="129"/>
        <v/>
      </c>
      <c r="X1369" t="str">
        <f t="shared" si="130"/>
        <v/>
      </c>
      <c r="Y1369" t="str">
        <f t="shared" si="131"/>
        <v/>
      </c>
    </row>
    <row r="1370" spans="1:25" ht="14.5" x14ac:dyDescent="0.35">
      <c r="A1370" s="3"/>
      <c r="B1370" s="2"/>
      <c r="C1370" s="2"/>
      <c r="D1370" s="4"/>
      <c r="E1370" s="2"/>
      <c r="F1370" s="2"/>
      <c r="G1370" s="3" t="str">
        <f t="shared" si="126"/>
        <v/>
      </c>
      <c r="H1370" s="3"/>
      <c r="I1370" s="3"/>
      <c r="J1370" s="2"/>
      <c r="K1370" s="2"/>
      <c r="L1370" s="2"/>
      <c r="M1370" s="4"/>
      <c r="N1370" s="2"/>
      <c r="O1370" s="5" t="str">
        <f t="shared" ca="1" si="127"/>
        <v/>
      </c>
      <c r="P1370" s="6"/>
      <c r="V1370" t="str">
        <f t="shared" si="128"/>
        <v/>
      </c>
      <c r="W1370" t="str">
        <f t="shared" si="129"/>
        <v/>
      </c>
      <c r="X1370" t="str">
        <f t="shared" si="130"/>
        <v/>
      </c>
      <c r="Y1370" t="str">
        <f t="shared" si="131"/>
        <v/>
      </c>
    </row>
    <row r="1371" spans="1:25" ht="14.5" x14ac:dyDescent="0.35">
      <c r="A1371" s="3"/>
      <c r="B1371" s="2"/>
      <c r="C1371" s="2"/>
      <c r="D1371" s="4"/>
      <c r="E1371" s="2"/>
      <c r="F1371" s="2"/>
      <c r="G1371" s="3" t="str">
        <f t="shared" si="126"/>
        <v/>
      </c>
      <c r="H1371" s="3"/>
      <c r="I1371" s="3"/>
      <c r="J1371" s="2"/>
      <c r="K1371" s="2"/>
      <c r="L1371" s="2"/>
      <c r="M1371" s="4"/>
      <c r="N1371" s="2"/>
      <c r="O1371" s="5" t="str">
        <f t="shared" ca="1" si="127"/>
        <v/>
      </c>
      <c r="P1371" s="6"/>
      <c r="V1371" t="str">
        <f t="shared" si="128"/>
        <v/>
      </c>
      <c r="W1371" t="str">
        <f t="shared" si="129"/>
        <v/>
      </c>
      <c r="X1371" t="str">
        <f t="shared" si="130"/>
        <v/>
      </c>
      <c r="Y1371" t="str">
        <f t="shared" si="131"/>
        <v/>
      </c>
    </row>
    <row r="1372" spans="1:25" ht="14.5" x14ac:dyDescent="0.35">
      <c r="A1372" s="3"/>
      <c r="B1372" s="2"/>
      <c r="C1372" s="2"/>
      <c r="D1372" s="4"/>
      <c r="E1372" s="2"/>
      <c r="F1372" s="2"/>
      <c r="G1372" s="3" t="str">
        <f t="shared" si="126"/>
        <v/>
      </c>
      <c r="H1372" s="3"/>
      <c r="I1372" s="3"/>
      <c r="J1372" s="2"/>
      <c r="K1372" s="2"/>
      <c r="L1372" s="2"/>
      <c r="M1372" s="4"/>
      <c r="N1372" s="2"/>
      <c r="O1372" s="5" t="str">
        <f t="shared" ca="1" si="127"/>
        <v/>
      </c>
      <c r="P1372" s="6"/>
      <c r="V1372" t="str">
        <f t="shared" si="128"/>
        <v/>
      </c>
      <c r="W1372" t="str">
        <f t="shared" si="129"/>
        <v/>
      </c>
      <c r="X1372" t="str">
        <f t="shared" si="130"/>
        <v/>
      </c>
      <c r="Y1372" t="str">
        <f t="shared" si="131"/>
        <v/>
      </c>
    </row>
    <row r="1373" spans="1:25" ht="14.5" x14ac:dyDescent="0.35">
      <c r="A1373" s="3"/>
      <c r="B1373" s="2"/>
      <c r="C1373" s="2"/>
      <c r="D1373" s="4"/>
      <c r="E1373" s="2"/>
      <c r="F1373" s="2"/>
      <c r="G1373" s="3" t="str">
        <f t="shared" si="126"/>
        <v/>
      </c>
      <c r="H1373" s="3"/>
      <c r="I1373" s="3"/>
      <c r="J1373" s="2"/>
      <c r="K1373" s="2"/>
      <c r="L1373" s="2"/>
      <c r="M1373" s="4"/>
      <c r="N1373" s="2"/>
      <c r="O1373" s="5" t="str">
        <f t="shared" ca="1" si="127"/>
        <v/>
      </c>
      <c r="P1373" s="6"/>
      <c r="V1373" t="str">
        <f t="shared" si="128"/>
        <v/>
      </c>
      <c r="W1373" t="str">
        <f t="shared" si="129"/>
        <v/>
      </c>
      <c r="X1373" t="str">
        <f t="shared" si="130"/>
        <v/>
      </c>
      <c r="Y1373" t="str">
        <f t="shared" si="131"/>
        <v/>
      </c>
    </row>
    <row r="1374" spans="1:25" ht="14.5" x14ac:dyDescent="0.35">
      <c r="A1374" s="3"/>
      <c r="B1374" s="2"/>
      <c r="C1374" s="2"/>
      <c r="D1374" s="4"/>
      <c r="E1374" s="2"/>
      <c r="F1374" s="2"/>
      <c r="G1374" s="3" t="str">
        <f t="shared" si="126"/>
        <v/>
      </c>
      <c r="H1374" s="3"/>
      <c r="I1374" s="3"/>
      <c r="J1374" s="2"/>
      <c r="K1374" s="2"/>
      <c r="L1374" s="2"/>
      <c r="M1374" s="4"/>
      <c r="N1374" s="2"/>
      <c r="O1374" s="5" t="str">
        <f t="shared" ca="1" si="127"/>
        <v/>
      </c>
      <c r="P1374" s="6"/>
      <c r="V1374" t="str">
        <f t="shared" si="128"/>
        <v/>
      </c>
      <c r="W1374" t="str">
        <f t="shared" si="129"/>
        <v/>
      </c>
      <c r="X1374" t="str">
        <f t="shared" si="130"/>
        <v/>
      </c>
      <c r="Y1374" t="str">
        <f t="shared" si="131"/>
        <v/>
      </c>
    </row>
    <row r="1375" spans="1:25" ht="14.5" x14ac:dyDescent="0.35">
      <c r="A1375" s="3"/>
      <c r="B1375" s="2"/>
      <c r="C1375" s="2"/>
      <c r="D1375" s="4"/>
      <c r="E1375" s="2"/>
      <c r="F1375" s="2"/>
      <c r="G1375" s="3" t="str">
        <f t="shared" si="126"/>
        <v/>
      </c>
      <c r="H1375" s="3"/>
      <c r="I1375" s="3"/>
      <c r="J1375" s="2"/>
      <c r="K1375" s="2"/>
      <c r="L1375" s="2"/>
      <c r="M1375" s="4"/>
      <c r="N1375" s="2"/>
      <c r="O1375" s="5" t="str">
        <f t="shared" ca="1" si="127"/>
        <v/>
      </c>
      <c r="P1375" s="6"/>
      <c r="V1375" t="str">
        <f t="shared" si="128"/>
        <v/>
      </c>
      <c r="W1375" t="str">
        <f t="shared" si="129"/>
        <v/>
      </c>
      <c r="X1375" t="str">
        <f t="shared" si="130"/>
        <v/>
      </c>
      <c r="Y1375" t="str">
        <f t="shared" si="131"/>
        <v/>
      </c>
    </row>
    <row r="1376" spans="1:25" ht="14.5" x14ac:dyDescent="0.35">
      <c r="A1376" s="3"/>
      <c r="B1376" s="2"/>
      <c r="C1376" s="2"/>
      <c r="D1376" s="4"/>
      <c r="E1376" s="2"/>
      <c r="F1376" s="2"/>
      <c r="G1376" s="3" t="str">
        <f t="shared" si="126"/>
        <v/>
      </c>
      <c r="H1376" s="3"/>
      <c r="I1376" s="3"/>
      <c r="J1376" s="2"/>
      <c r="K1376" s="2"/>
      <c r="L1376" s="2"/>
      <c r="M1376" s="4"/>
      <c r="N1376" s="2"/>
      <c r="O1376" s="5" t="str">
        <f t="shared" ca="1" si="127"/>
        <v/>
      </c>
      <c r="P1376" s="6"/>
      <c r="V1376" t="str">
        <f t="shared" si="128"/>
        <v/>
      </c>
      <c r="W1376" t="str">
        <f t="shared" si="129"/>
        <v/>
      </c>
      <c r="X1376" t="str">
        <f t="shared" si="130"/>
        <v/>
      </c>
      <c r="Y1376" t="str">
        <f t="shared" si="131"/>
        <v/>
      </c>
    </row>
    <row r="1377" spans="1:25" ht="14.5" x14ac:dyDescent="0.35">
      <c r="A1377" s="3"/>
      <c r="B1377" s="2"/>
      <c r="C1377" s="2"/>
      <c r="D1377" s="4"/>
      <c r="E1377" s="2"/>
      <c r="F1377" s="2"/>
      <c r="G1377" s="3" t="str">
        <f t="shared" si="126"/>
        <v/>
      </c>
      <c r="H1377" s="3"/>
      <c r="I1377" s="3"/>
      <c r="J1377" s="2"/>
      <c r="K1377" s="2"/>
      <c r="L1377" s="2"/>
      <c r="M1377" s="4"/>
      <c r="N1377" s="2"/>
      <c r="O1377" s="5" t="str">
        <f t="shared" ca="1" si="127"/>
        <v/>
      </c>
      <c r="P1377" s="6"/>
      <c r="V1377" t="str">
        <f t="shared" si="128"/>
        <v/>
      </c>
      <c r="W1377" t="str">
        <f t="shared" si="129"/>
        <v/>
      </c>
      <c r="X1377" t="str">
        <f t="shared" si="130"/>
        <v/>
      </c>
      <c r="Y1377" t="str">
        <f t="shared" si="131"/>
        <v/>
      </c>
    </row>
    <row r="1378" spans="1:25" ht="14.5" x14ac:dyDescent="0.35">
      <c r="A1378" s="3"/>
      <c r="B1378" s="2"/>
      <c r="C1378" s="2"/>
      <c r="D1378" s="4"/>
      <c r="E1378" s="2"/>
      <c r="F1378" s="2"/>
      <c r="G1378" s="3" t="str">
        <f t="shared" si="126"/>
        <v/>
      </c>
      <c r="H1378" s="3"/>
      <c r="I1378" s="3"/>
      <c r="J1378" s="2"/>
      <c r="K1378" s="2"/>
      <c r="L1378" s="2"/>
      <c r="M1378" s="4"/>
      <c r="N1378" s="2"/>
      <c r="O1378" s="5" t="str">
        <f t="shared" ca="1" si="127"/>
        <v/>
      </c>
      <c r="P1378" s="6"/>
      <c r="V1378" t="str">
        <f t="shared" si="128"/>
        <v/>
      </c>
      <c r="W1378" t="str">
        <f t="shared" si="129"/>
        <v/>
      </c>
      <c r="X1378" t="str">
        <f t="shared" si="130"/>
        <v/>
      </c>
      <c r="Y1378" t="str">
        <f t="shared" si="131"/>
        <v/>
      </c>
    </row>
    <row r="1379" spans="1:25" ht="14.5" x14ac:dyDescent="0.35">
      <c r="A1379" s="3"/>
      <c r="B1379" s="2"/>
      <c r="C1379" s="2"/>
      <c r="D1379" s="4"/>
      <c r="E1379" s="2"/>
      <c r="F1379" s="2"/>
      <c r="G1379" s="3" t="str">
        <f t="shared" si="126"/>
        <v/>
      </c>
      <c r="H1379" s="3"/>
      <c r="I1379" s="3"/>
      <c r="J1379" s="2"/>
      <c r="K1379" s="2"/>
      <c r="L1379" s="2"/>
      <c r="M1379" s="4"/>
      <c r="N1379" s="2"/>
      <c r="O1379" s="5" t="str">
        <f t="shared" ca="1" si="127"/>
        <v/>
      </c>
      <c r="P1379" s="6"/>
      <c r="V1379" t="str">
        <f t="shared" si="128"/>
        <v/>
      </c>
      <c r="W1379" t="str">
        <f t="shared" si="129"/>
        <v/>
      </c>
      <c r="X1379" t="str">
        <f t="shared" si="130"/>
        <v/>
      </c>
      <c r="Y1379" t="str">
        <f t="shared" si="131"/>
        <v/>
      </c>
    </row>
    <row r="1380" spans="1:25" ht="14.5" x14ac:dyDescent="0.35">
      <c r="A1380" s="3"/>
      <c r="B1380" s="2"/>
      <c r="C1380" s="2"/>
      <c r="D1380" s="4"/>
      <c r="E1380" s="2"/>
      <c r="F1380" s="2"/>
      <c r="G1380" s="3" t="str">
        <f t="shared" si="126"/>
        <v/>
      </c>
      <c r="H1380" s="3"/>
      <c r="I1380" s="3"/>
      <c r="J1380" s="2"/>
      <c r="K1380" s="2"/>
      <c r="L1380" s="2"/>
      <c r="M1380" s="4"/>
      <c r="N1380" s="2"/>
      <c r="O1380" s="5" t="str">
        <f t="shared" ca="1" si="127"/>
        <v/>
      </c>
      <c r="P1380" s="6"/>
      <c r="V1380" t="str">
        <f t="shared" si="128"/>
        <v/>
      </c>
      <c r="W1380" t="str">
        <f t="shared" si="129"/>
        <v/>
      </c>
      <c r="X1380" t="str">
        <f t="shared" si="130"/>
        <v/>
      </c>
      <c r="Y1380" t="str">
        <f t="shared" si="131"/>
        <v/>
      </c>
    </row>
    <row r="1381" spans="1:25" ht="14.5" x14ac:dyDescent="0.35">
      <c r="A1381" s="3"/>
      <c r="B1381" s="2"/>
      <c r="C1381" s="2"/>
      <c r="D1381" s="4"/>
      <c r="E1381" s="2"/>
      <c r="F1381" s="2"/>
      <c r="G1381" s="3" t="str">
        <f t="shared" si="126"/>
        <v/>
      </c>
      <c r="H1381" s="3"/>
      <c r="I1381" s="3"/>
      <c r="J1381" s="2"/>
      <c r="K1381" s="2"/>
      <c r="L1381" s="2"/>
      <c r="M1381" s="4"/>
      <c r="N1381" s="2"/>
      <c r="O1381" s="5" t="str">
        <f t="shared" ca="1" si="127"/>
        <v/>
      </c>
      <c r="P1381" s="6"/>
      <c r="V1381" t="str">
        <f t="shared" si="128"/>
        <v/>
      </c>
      <c r="W1381" t="str">
        <f t="shared" si="129"/>
        <v/>
      </c>
      <c r="X1381" t="str">
        <f t="shared" si="130"/>
        <v/>
      </c>
      <c r="Y1381" t="str">
        <f t="shared" si="131"/>
        <v/>
      </c>
    </row>
    <row r="1382" spans="1:25" ht="14.5" x14ac:dyDescent="0.35">
      <c r="A1382" s="3"/>
      <c r="B1382" s="2"/>
      <c r="C1382" s="2"/>
      <c r="D1382" s="4"/>
      <c r="E1382" s="2"/>
      <c r="F1382" s="2"/>
      <c r="G1382" s="3" t="str">
        <f t="shared" si="126"/>
        <v/>
      </c>
      <c r="H1382" s="3"/>
      <c r="I1382" s="3"/>
      <c r="J1382" s="2"/>
      <c r="K1382" s="2"/>
      <c r="L1382" s="2"/>
      <c r="M1382" s="4"/>
      <c r="N1382" s="2"/>
      <c r="O1382" s="5" t="str">
        <f t="shared" ca="1" si="127"/>
        <v/>
      </c>
      <c r="P1382" s="6"/>
      <c r="V1382" t="str">
        <f t="shared" si="128"/>
        <v/>
      </c>
      <c r="W1382" t="str">
        <f t="shared" si="129"/>
        <v/>
      </c>
      <c r="X1382" t="str">
        <f t="shared" si="130"/>
        <v/>
      </c>
      <c r="Y1382" t="str">
        <f t="shared" si="131"/>
        <v/>
      </c>
    </row>
    <row r="1383" spans="1:25" ht="14.5" x14ac:dyDescent="0.35">
      <c r="A1383" s="3"/>
      <c r="B1383" s="2"/>
      <c r="C1383" s="2"/>
      <c r="D1383" s="4"/>
      <c r="E1383" s="2"/>
      <c r="F1383" s="2"/>
      <c r="G1383" s="3" t="str">
        <f t="shared" si="126"/>
        <v/>
      </c>
      <c r="H1383" s="3"/>
      <c r="I1383" s="3"/>
      <c r="J1383" s="2"/>
      <c r="K1383" s="2"/>
      <c r="L1383" s="2"/>
      <c r="M1383" s="4"/>
      <c r="N1383" s="2"/>
      <c r="O1383" s="5" t="str">
        <f t="shared" ca="1" si="127"/>
        <v/>
      </c>
      <c r="P1383" s="6"/>
      <c r="V1383" t="str">
        <f t="shared" si="128"/>
        <v/>
      </c>
      <c r="W1383" t="str">
        <f t="shared" si="129"/>
        <v/>
      </c>
      <c r="X1383" t="str">
        <f t="shared" si="130"/>
        <v/>
      </c>
      <c r="Y1383" t="str">
        <f t="shared" si="131"/>
        <v/>
      </c>
    </row>
    <row r="1384" spans="1:25" ht="14.5" x14ac:dyDescent="0.35">
      <c r="A1384" s="3"/>
      <c r="B1384" s="2"/>
      <c r="C1384" s="2"/>
      <c r="D1384" s="4"/>
      <c r="E1384" s="2"/>
      <c r="F1384" s="2"/>
      <c r="G1384" s="3" t="str">
        <f t="shared" si="126"/>
        <v/>
      </c>
      <c r="H1384" s="3"/>
      <c r="I1384" s="3"/>
      <c r="J1384" s="2"/>
      <c r="K1384" s="2"/>
      <c r="L1384" s="2"/>
      <c r="M1384" s="4"/>
      <c r="N1384" s="2"/>
      <c r="O1384" s="5" t="str">
        <f t="shared" ca="1" si="127"/>
        <v/>
      </c>
      <c r="P1384" s="6"/>
      <c r="V1384" t="str">
        <f t="shared" si="128"/>
        <v/>
      </c>
      <c r="W1384" t="str">
        <f t="shared" si="129"/>
        <v/>
      </c>
      <c r="X1384" t="str">
        <f t="shared" si="130"/>
        <v/>
      </c>
      <c r="Y1384" t="str">
        <f t="shared" si="131"/>
        <v/>
      </c>
    </row>
    <row r="1385" spans="1:25" ht="14.5" x14ac:dyDescent="0.35">
      <c r="A1385" s="3"/>
      <c r="B1385" s="2"/>
      <c r="C1385" s="2"/>
      <c r="D1385" s="4"/>
      <c r="E1385" s="2"/>
      <c r="F1385" s="2"/>
      <c r="G1385" s="3" t="str">
        <f t="shared" si="126"/>
        <v/>
      </c>
      <c r="H1385" s="3"/>
      <c r="I1385" s="3"/>
      <c r="J1385" s="2"/>
      <c r="K1385" s="2"/>
      <c r="L1385" s="2"/>
      <c r="M1385" s="4"/>
      <c r="N1385" s="2"/>
      <c r="O1385" s="5" t="str">
        <f t="shared" ca="1" si="127"/>
        <v/>
      </c>
      <c r="P1385" s="6"/>
      <c r="V1385" t="str">
        <f t="shared" si="128"/>
        <v/>
      </c>
      <c r="W1385" t="str">
        <f t="shared" si="129"/>
        <v/>
      </c>
      <c r="X1385" t="str">
        <f t="shared" si="130"/>
        <v/>
      </c>
      <c r="Y1385" t="str">
        <f t="shared" si="131"/>
        <v/>
      </c>
    </row>
    <row r="1386" spans="1:25" ht="14.5" x14ac:dyDescent="0.35">
      <c r="A1386" s="3"/>
      <c r="B1386" s="2"/>
      <c r="C1386" s="2"/>
      <c r="D1386" s="4"/>
      <c r="E1386" s="2"/>
      <c r="F1386" s="2"/>
      <c r="G1386" s="3" t="str">
        <f t="shared" si="126"/>
        <v/>
      </c>
      <c r="H1386" s="3"/>
      <c r="I1386" s="3"/>
      <c r="J1386" s="2"/>
      <c r="K1386" s="2"/>
      <c r="L1386" s="2"/>
      <c r="M1386" s="4"/>
      <c r="N1386" s="2"/>
      <c r="O1386" s="5" t="str">
        <f t="shared" ca="1" si="127"/>
        <v/>
      </c>
      <c r="P1386" s="6"/>
      <c r="V1386" t="str">
        <f t="shared" si="128"/>
        <v/>
      </c>
      <c r="W1386" t="str">
        <f t="shared" si="129"/>
        <v/>
      </c>
      <c r="X1386" t="str">
        <f t="shared" si="130"/>
        <v/>
      </c>
      <c r="Y1386" t="str">
        <f t="shared" si="131"/>
        <v/>
      </c>
    </row>
    <row r="1387" spans="1:25" ht="14.5" x14ac:dyDescent="0.35">
      <c r="A1387" s="3"/>
      <c r="B1387" s="2"/>
      <c r="C1387" s="2"/>
      <c r="D1387" s="4"/>
      <c r="E1387" s="2"/>
      <c r="F1387" s="2"/>
      <c r="G1387" s="3" t="str">
        <f t="shared" si="126"/>
        <v/>
      </c>
      <c r="H1387" s="3"/>
      <c r="I1387" s="3"/>
      <c r="J1387" s="2"/>
      <c r="K1387" s="2"/>
      <c r="L1387" s="2"/>
      <c r="M1387" s="4"/>
      <c r="N1387" s="2"/>
      <c r="O1387" s="5" t="str">
        <f t="shared" ca="1" si="127"/>
        <v/>
      </c>
      <c r="P1387" s="6"/>
      <c r="V1387" t="str">
        <f t="shared" si="128"/>
        <v/>
      </c>
      <c r="W1387" t="str">
        <f t="shared" si="129"/>
        <v/>
      </c>
      <c r="X1387" t="str">
        <f t="shared" si="130"/>
        <v/>
      </c>
      <c r="Y1387" t="str">
        <f t="shared" si="131"/>
        <v/>
      </c>
    </row>
    <row r="1388" spans="1:25" ht="14.5" x14ac:dyDescent="0.35">
      <c r="A1388" s="3"/>
      <c r="B1388" s="2"/>
      <c r="C1388" s="2"/>
      <c r="D1388" s="4"/>
      <c r="E1388" s="2"/>
      <c r="F1388" s="2"/>
      <c r="G1388" s="3" t="str">
        <f t="shared" si="126"/>
        <v/>
      </c>
      <c r="H1388" s="3"/>
      <c r="I1388" s="3"/>
      <c r="J1388" s="2"/>
      <c r="K1388" s="2"/>
      <c r="L1388" s="2"/>
      <c r="M1388" s="4"/>
      <c r="N1388" s="2"/>
      <c r="O1388" s="5" t="str">
        <f t="shared" ca="1" si="127"/>
        <v/>
      </c>
      <c r="P1388" s="6"/>
      <c r="V1388" t="str">
        <f t="shared" si="128"/>
        <v/>
      </c>
      <c r="W1388" t="str">
        <f t="shared" si="129"/>
        <v/>
      </c>
      <c r="X1388" t="str">
        <f t="shared" si="130"/>
        <v/>
      </c>
      <c r="Y1388" t="str">
        <f t="shared" si="131"/>
        <v/>
      </c>
    </row>
    <row r="1389" spans="1:25" ht="14.5" x14ac:dyDescent="0.35">
      <c r="A1389" s="3"/>
      <c r="B1389" s="2"/>
      <c r="C1389" s="2"/>
      <c r="D1389" s="4"/>
      <c r="E1389" s="2"/>
      <c r="F1389" s="2"/>
      <c r="G1389" s="3" t="str">
        <f t="shared" si="126"/>
        <v/>
      </c>
      <c r="H1389" s="3"/>
      <c r="I1389" s="3"/>
      <c r="J1389" s="2"/>
      <c r="K1389" s="2"/>
      <c r="L1389" s="2"/>
      <c r="M1389" s="4"/>
      <c r="N1389" s="2"/>
      <c r="O1389" s="5" t="str">
        <f t="shared" ca="1" si="127"/>
        <v/>
      </c>
      <c r="P1389" s="6"/>
      <c r="V1389" t="str">
        <f t="shared" si="128"/>
        <v/>
      </c>
      <c r="W1389" t="str">
        <f t="shared" si="129"/>
        <v/>
      </c>
      <c r="X1389" t="str">
        <f t="shared" si="130"/>
        <v/>
      </c>
      <c r="Y1389" t="str">
        <f t="shared" si="131"/>
        <v/>
      </c>
    </row>
    <row r="1390" spans="1:25" ht="14.5" x14ac:dyDescent="0.35">
      <c r="A1390" s="3"/>
      <c r="B1390" s="2"/>
      <c r="C1390" s="2"/>
      <c r="D1390" s="4"/>
      <c r="E1390" s="2"/>
      <c r="F1390" s="2"/>
      <c r="G1390" s="3" t="str">
        <f t="shared" si="126"/>
        <v/>
      </c>
      <c r="H1390" s="3"/>
      <c r="I1390" s="3"/>
      <c r="J1390" s="2"/>
      <c r="K1390" s="2"/>
      <c r="L1390" s="2"/>
      <c r="M1390" s="4"/>
      <c r="N1390" s="2"/>
      <c r="O1390" s="5" t="str">
        <f t="shared" ca="1" si="127"/>
        <v/>
      </c>
      <c r="P1390" s="6"/>
      <c r="V1390" t="str">
        <f t="shared" si="128"/>
        <v/>
      </c>
      <c r="W1390" t="str">
        <f t="shared" si="129"/>
        <v/>
      </c>
      <c r="X1390" t="str">
        <f t="shared" si="130"/>
        <v/>
      </c>
      <c r="Y1390" t="str">
        <f t="shared" si="131"/>
        <v/>
      </c>
    </row>
    <row r="1391" spans="1:25" ht="14.5" x14ac:dyDescent="0.35">
      <c r="A1391" s="3"/>
      <c r="B1391" s="2"/>
      <c r="C1391" s="2"/>
      <c r="D1391" s="4"/>
      <c r="E1391" s="2"/>
      <c r="F1391" s="2"/>
      <c r="G1391" s="3" t="str">
        <f t="shared" si="126"/>
        <v/>
      </c>
      <c r="H1391" s="3"/>
      <c r="I1391" s="3"/>
      <c r="J1391" s="2"/>
      <c r="K1391" s="2"/>
      <c r="L1391" s="2"/>
      <c r="M1391" s="4"/>
      <c r="N1391" s="2"/>
      <c r="O1391" s="5" t="str">
        <f t="shared" ca="1" si="127"/>
        <v/>
      </c>
      <c r="P1391" s="6"/>
      <c r="V1391" t="str">
        <f t="shared" si="128"/>
        <v/>
      </c>
      <c r="W1391" t="str">
        <f t="shared" si="129"/>
        <v/>
      </c>
      <c r="X1391" t="str">
        <f t="shared" si="130"/>
        <v/>
      </c>
      <c r="Y1391" t="str">
        <f t="shared" si="131"/>
        <v/>
      </c>
    </row>
    <row r="1392" spans="1:25" ht="14.5" x14ac:dyDescent="0.35">
      <c r="A1392" s="3"/>
      <c r="B1392" s="2"/>
      <c r="C1392" s="2"/>
      <c r="D1392" s="4"/>
      <c r="E1392" s="2"/>
      <c r="F1392" s="2"/>
      <c r="G1392" s="3" t="str">
        <f t="shared" si="126"/>
        <v/>
      </c>
      <c r="H1392" s="3"/>
      <c r="I1392" s="3"/>
      <c r="J1392" s="2"/>
      <c r="K1392" s="2"/>
      <c r="L1392" s="2"/>
      <c r="M1392" s="4"/>
      <c r="N1392" s="2"/>
      <c r="O1392" s="5" t="str">
        <f t="shared" ca="1" si="127"/>
        <v/>
      </c>
      <c r="P1392" s="6"/>
      <c r="V1392" t="str">
        <f t="shared" si="128"/>
        <v/>
      </c>
      <c r="W1392" t="str">
        <f t="shared" si="129"/>
        <v/>
      </c>
      <c r="X1392" t="str">
        <f t="shared" si="130"/>
        <v/>
      </c>
      <c r="Y1392" t="str">
        <f t="shared" si="131"/>
        <v/>
      </c>
    </row>
    <row r="1393" spans="1:25" ht="14.5" x14ac:dyDescent="0.35">
      <c r="A1393" s="3"/>
      <c r="B1393" s="2"/>
      <c r="C1393" s="2"/>
      <c r="D1393" s="4"/>
      <c r="E1393" s="2"/>
      <c r="F1393" s="2"/>
      <c r="G1393" s="3" t="str">
        <f t="shared" si="126"/>
        <v/>
      </c>
      <c r="H1393" s="3"/>
      <c r="I1393" s="3"/>
      <c r="J1393" s="2"/>
      <c r="K1393" s="2"/>
      <c r="L1393" s="2"/>
      <c r="M1393" s="4"/>
      <c r="N1393" s="2"/>
      <c r="O1393" s="5" t="str">
        <f t="shared" ca="1" si="127"/>
        <v/>
      </c>
      <c r="P1393" s="6"/>
      <c r="V1393" t="str">
        <f t="shared" si="128"/>
        <v/>
      </c>
      <c r="W1393" t="str">
        <f t="shared" si="129"/>
        <v/>
      </c>
      <c r="X1393" t="str">
        <f t="shared" si="130"/>
        <v/>
      </c>
      <c r="Y1393" t="str">
        <f t="shared" si="131"/>
        <v/>
      </c>
    </row>
    <row r="1394" spans="1:25" ht="14.5" x14ac:dyDescent="0.35">
      <c r="A1394" s="3"/>
      <c r="B1394" s="2"/>
      <c r="C1394" s="2"/>
      <c r="D1394" s="4"/>
      <c r="E1394" s="2"/>
      <c r="F1394" s="2"/>
      <c r="G1394" s="3" t="str">
        <f t="shared" si="126"/>
        <v/>
      </c>
      <c r="H1394" s="3"/>
      <c r="I1394" s="3"/>
      <c r="J1394" s="2"/>
      <c r="K1394" s="2"/>
      <c r="L1394" s="2"/>
      <c r="M1394" s="4"/>
      <c r="N1394" s="2"/>
      <c r="O1394" s="5" t="str">
        <f t="shared" ca="1" si="127"/>
        <v/>
      </c>
      <c r="P1394" s="6"/>
      <c r="V1394" t="str">
        <f t="shared" si="128"/>
        <v/>
      </c>
      <c r="W1394" t="str">
        <f t="shared" si="129"/>
        <v/>
      </c>
      <c r="X1394" t="str">
        <f t="shared" si="130"/>
        <v/>
      </c>
      <c r="Y1394" t="str">
        <f t="shared" si="131"/>
        <v/>
      </c>
    </row>
    <row r="1395" spans="1:25" ht="14.5" x14ac:dyDescent="0.35">
      <c r="A1395" s="3"/>
      <c r="B1395" s="2"/>
      <c r="C1395" s="2"/>
      <c r="D1395" s="4"/>
      <c r="E1395" s="2"/>
      <c r="F1395" s="2"/>
      <c r="G1395" s="3" t="str">
        <f t="shared" si="126"/>
        <v/>
      </c>
      <c r="H1395" s="3"/>
      <c r="I1395" s="3"/>
      <c r="J1395" s="2"/>
      <c r="K1395" s="2"/>
      <c r="L1395" s="2"/>
      <c r="M1395" s="4"/>
      <c r="N1395" s="2"/>
      <c r="O1395" s="5" t="str">
        <f t="shared" ca="1" si="127"/>
        <v/>
      </c>
      <c r="P1395" s="6"/>
      <c r="V1395" t="str">
        <f t="shared" si="128"/>
        <v/>
      </c>
      <c r="W1395" t="str">
        <f t="shared" si="129"/>
        <v/>
      </c>
      <c r="X1395" t="str">
        <f t="shared" si="130"/>
        <v/>
      </c>
      <c r="Y1395" t="str">
        <f t="shared" si="131"/>
        <v/>
      </c>
    </row>
    <row r="1396" spans="1:25" ht="14.5" x14ac:dyDescent="0.35">
      <c r="A1396" s="3"/>
      <c r="B1396" s="2"/>
      <c r="C1396" s="2"/>
      <c r="D1396" s="4"/>
      <c r="E1396" s="2"/>
      <c r="F1396" s="2"/>
      <c r="G1396" s="3" t="str">
        <f t="shared" si="126"/>
        <v/>
      </c>
      <c r="H1396" s="3"/>
      <c r="I1396" s="3"/>
      <c r="J1396" s="2"/>
      <c r="K1396" s="2"/>
      <c r="L1396" s="2"/>
      <c r="M1396" s="4"/>
      <c r="N1396" s="2"/>
      <c r="O1396" s="5" t="str">
        <f t="shared" ca="1" si="127"/>
        <v/>
      </c>
      <c r="P1396" s="6"/>
      <c r="V1396" t="str">
        <f t="shared" si="128"/>
        <v/>
      </c>
      <c r="W1396" t="str">
        <f t="shared" si="129"/>
        <v/>
      </c>
      <c r="X1396" t="str">
        <f t="shared" si="130"/>
        <v/>
      </c>
      <c r="Y1396" t="str">
        <f t="shared" si="131"/>
        <v/>
      </c>
    </row>
    <row r="1397" spans="1:25" ht="14.5" x14ac:dyDescent="0.35">
      <c r="A1397" s="3"/>
      <c r="B1397" s="2"/>
      <c r="C1397" s="2"/>
      <c r="D1397" s="4"/>
      <c r="E1397" s="2"/>
      <c r="F1397" s="2"/>
      <c r="G1397" s="3" t="str">
        <f t="shared" si="126"/>
        <v/>
      </c>
      <c r="H1397" s="3"/>
      <c r="I1397" s="3"/>
      <c r="J1397" s="2"/>
      <c r="K1397" s="2"/>
      <c r="L1397" s="2"/>
      <c r="M1397" s="4"/>
      <c r="N1397" s="2"/>
      <c r="O1397" s="5" t="str">
        <f t="shared" ca="1" si="127"/>
        <v/>
      </c>
      <c r="P1397" s="6"/>
      <c r="V1397" t="str">
        <f t="shared" si="128"/>
        <v/>
      </c>
      <c r="W1397" t="str">
        <f t="shared" si="129"/>
        <v/>
      </c>
      <c r="X1397" t="str">
        <f t="shared" si="130"/>
        <v/>
      </c>
      <c r="Y1397" t="str">
        <f t="shared" si="131"/>
        <v/>
      </c>
    </row>
    <row r="1398" spans="1:25" ht="14.5" x14ac:dyDescent="0.35">
      <c r="A1398" s="3"/>
      <c r="B1398" s="2"/>
      <c r="C1398" s="2"/>
      <c r="D1398" s="4"/>
      <c r="E1398" s="2"/>
      <c r="F1398" s="2"/>
      <c r="G1398" s="3" t="str">
        <f t="shared" si="126"/>
        <v/>
      </c>
      <c r="H1398" s="3"/>
      <c r="I1398" s="3"/>
      <c r="J1398" s="2"/>
      <c r="K1398" s="2"/>
      <c r="L1398" s="2"/>
      <c r="M1398" s="4"/>
      <c r="N1398" s="2"/>
      <c r="O1398" s="5" t="str">
        <f t="shared" ca="1" si="127"/>
        <v/>
      </c>
      <c r="P1398" s="6"/>
      <c r="V1398" t="str">
        <f t="shared" si="128"/>
        <v/>
      </c>
      <c r="W1398" t="str">
        <f t="shared" si="129"/>
        <v/>
      </c>
      <c r="X1398" t="str">
        <f t="shared" si="130"/>
        <v/>
      </c>
      <c r="Y1398" t="str">
        <f t="shared" si="131"/>
        <v/>
      </c>
    </row>
    <row r="1399" spans="1:25" ht="14.5" x14ac:dyDescent="0.35">
      <c r="A1399" s="3"/>
      <c r="B1399" s="2"/>
      <c r="C1399" s="2"/>
      <c r="D1399" s="4"/>
      <c r="E1399" s="2"/>
      <c r="F1399" s="2"/>
      <c r="G1399" s="3" t="str">
        <f t="shared" si="126"/>
        <v/>
      </c>
      <c r="H1399" s="3"/>
      <c r="I1399" s="3"/>
      <c r="J1399" s="2"/>
      <c r="K1399" s="2"/>
      <c r="L1399" s="2"/>
      <c r="M1399" s="4"/>
      <c r="N1399" s="2"/>
      <c r="O1399" s="5" t="str">
        <f t="shared" ca="1" si="127"/>
        <v/>
      </c>
      <c r="P1399" s="6"/>
      <c r="V1399" t="str">
        <f t="shared" si="128"/>
        <v/>
      </c>
      <c r="W1399" t="str">
        <f t="shared" si="129"/>
        <v/>
      </c>
      <c r="X1399" t="str">
        <f t="shared" si="130"/>
        <v/>
      </c>
      <c r="Y1399" t="str">
        <f t="shared" si="131"/>
        <v/>
      </c>
    </row>
    <row r="1400" spans="1:25" ht="14.5" x14ac:dyDescent="0.35">
      <c r="A1400" s="3"/>
      <c r="B1400" s="2"/>
      <c r="C1400" s="2"/>
      <c r="D1400" s="4"/>
      <c r="E1400" s="2"/>
      <c r="F1400" s="2"/>
      <c r="G1400" s="3" t="str">
        <f t="shared" si="126"/>
        <v/>
      </c>
      <c r="H1400" s="3"/>
      <c r="I1400" s="3"/>
      <c r="J1400" s="2"/>
      <c r="K1400" s="2"/>
      <c r="L1400" s="2"/>
      <c r="M1400" s="4"/>
      <c r="N1400" s="2"/>
      <c r="O1400" s="5" t="str">
        <f t="shared" ca="1" si="127"/>
        <v/>
      </c>
      <c r="P1400" s="6"/>
      <c r="V1400" t="str">
        <f t="shared" si="128"/>
        <v/>
      </c>
      <c r="W1400" t="str">
        <f t="shared" si="129"/>
        <v/>
      </c>
      <c r="X1400" t="str">
        <f t="shared" si="130"/>
        <v/>
      </c>
      <c r="Y1400" t="str">
        <f t="shared" si="131"/>
        <v/>
      </c>
    </row>
    <row r="1401" spans="1:25" ht="14.5" x14ac:dyDescent="0.35">
      <c r="A1401" s="3"/>
      <c r="B1401" s="2"/>
      <c r="C1401" s="2"/>
      <c r="D1401" s="4"/>
      <c r="E1401" s="2"/>
      <c r="F1401" s="2"/>
      <c r="G1401" s="3" t="str">
        <f t="shared" si="126"/>
        <v/>
      </c>
      <c r="H1401" s="3"/>
      <c r="I1401" s="3"/>
      <c r="J1401" s="2"/>
      <c r="K1401" s="2"/>
      <c r="L1401" s="2"/>
      <c r="M1401" s="4"/>
      <c r="N1401" s="2"/>
      <c r="O1401" s="5" t="str">
        <f t="shared" ca="1" si="127"/>
        <v/>
      </c>
      <c r="P1401" s="6"/>
      <c r="V1401" t="str">
        <f t="shared" si="128"/>
        <v/>
      </c>
      <c r="W1401" t="str">
        <f t="shared" si="129"/>
        <v/>
      </c>
      <c r="X1401" t="str">
        <f t="shared" si="130"/>
        <v/>
      </c>
      <c r="Y1401" t="str">
        <f t="shared" si="131"/>
        <v/>
      </c>
    </row>
    <row r="1402" spans="1:25" ht="14.5" x14ac:dyDescent="0.35">
      <c r="A1402" s="3"/>
      <c r="B1402" s="2"/>
      <c r="C1402" s="2"/>
      <c r="D1402" s="4"/>
      <c r="E1402" s="2"/>
      <c r="F1402" s="2"/>
      <c r="G1402" s="3" t="str">
        <f t="shared" si="126"/>
        <v/>
      </c>
      <c r="H1402" s="3"/>
      <c r="I1402" s="3"/>
      <c r="J1402" s="2"/>
      <c r="K1402" s="2"/>
      <c r="L1402" s="2"/>
      <c r="M1402" s="4"/>
      <c r="N1402" s="2"/>
      <c r="O1402" s="5" t="str">
        <f t="shared" ca="1" si="127"/>
        <v/>
      </c>
      <c r="P1402" s="6"/>
      <c r="V1402" t="str">
        <f t="shared" si="128"/>
        <v/>
      </c>
      <c r="W1402" t="str">
        <f t="shared" si="129"/>
        <v/>
      </c>
      <c r="X1402" t="str">
        <f t="shared" si="130"/>
        <v/>
      </c>
      <c r="Y1402" t="str">
        <f t="shared" si="131"/>
        <v/>
      </c>
    </row>
    <row r="1403" spans="1:25" ht="14.5" x14ac:dyDescent="0.35">
      <c r="A1403" s="3"/>
      <c r="B1403" s="2"/>
      <c r="C1403" s="2"/>
      <c r="D1403" s="4"/>
      <c r="E1403" s="2"/>
      <c r="F1403" s="2"/>
      <c r="G1403" s="3" t="str">
        <f t="shared" si="126"/>
        <v/>
      </c>
      <c r="H1403" s="3"/>
      <c r="I1403" s="3"/>
      <c r="J1403" s="2"/>
      <c r="K1403" s="2"/>
      <c r="L1403" s="2"/>
      <c r="M1403" s="4"/>
      <c r="N1403" s="2"/>
      <c r="O1403" s="5" t="str">
        <f t="shared" ca="1" si="127"/>
        <v/>
      </c>
      <c r="P1403" s="6"/>
      <c r="V1403" t="str">
        <f t="shared" si="128"/>
        <v/>
      </c>
      <c r="W1403" t="str">
        <f t="shared" si="129"/>
        <v/>
      </c>
      <c r="X1403" t="str">
        <f t="shared" si="130"/>
        <v/>
      </c>
      <c r="Y1403" t="str">
        <f t="shared" si="131"/>
        <v/>
      </c>
    </row>
    <row r="1404" spans="1:25" ht="14.5" x14ac:dyDescent="0.35">
      <c r="A1404" s="3"/>
      <c r="B1404" s="2"/>
      <c r="C1404" s="2"/>
      <c r="D1404" s="4"/>
      <c r="E1404" s="2"/>
      <c r="F1404" s="2"/>
      <c r="G1404" s="3" t="str">
        <f t="shared" si="126"/>
        <v/>
      </c>
      <c r="H1404" s="3"/>
      <c r="I1404" s="3"/>
      <c r="J1404" s="2"/>
      <c r="K1404" s="2"/>
      <c r="L1404" s="2"/>
      <c r="M1404" s="4"/>
      <c r="N1404" s="2"/>
      <c r="O1404" s="5" t="str">
        <f t="shared" ca="1" si="127"/>
        <v/>
      </c>
      <c r="P1404" s="6"/>
      <c r="V1404" t="str">
        <f t="shared" si="128"/>
        <v/>
      </c>
      <c r="W1404" t="str">
        <f t="shared" si="129"/>
        <v/>
      </c>
      <c r="X1404" t="str">
        <f t="shared" si="130"/>
        <v/>
      </c>
      <c r="Y1404" t="str">
        <f t="shared" si="131"/>
        <v/>
      </c>
    </row>
    <row r="1405" spans="1:25" ht="14.5" x14ac:dyDescent="0.35">
      <c r="A1405" s="3"/>
      <c r="B1405" s="2"/>
      <c r="C1405" s="2"/>
      <c r="D1405" s="4"/>
      <c r="E1405" s="2"/>
      <c r="F1405" s="2"/>
      <c r="G1405" s="3" t="str">
        <f t="shared" si="126"/>
        <v/>
      </c>
      <c r="H1405" s="3"/>
      <c r="I1405" s="3"/>
      <c r="J1405" s="2"/>
      <c r="K1405" s="2"/>
      <c r="L1405" s="2"/>
      <c r="M1405" s="4"/>
      <c r="N1405" s="2"/>
      <c r="O1405" s="5" t="str">
        <f t="shared" ca="1" si="127"/>
        <v/>
      </c>
      <c r="P1405" s="6"/>
      <c r="V1405" t="str">
        <f t="shared" si="128"/>
        <v/>
      </c>
      <c r="W1405" t="str">
        <f t="shared" si="129"/>
        <v/>
      </c>
      <c r="X1405" t="str">
        <f t="shared" si="130"/>
        <v/>
      </c>
      <c r="Y1405" t="str">
        <f t="shared" si="131"/>
        <v/>
      </c>
    </row>
    <row r="1406" spans="1:25" ht="14.5" x14ac:dyDescent="0.35">
      <c r="A1406" s="3"/>
      <c r="B1406" s="2"/>
      <c r="C1406" s="2"/>
      <c r="D1406" s="4"/>
      <c r="E1406" s="2"/>
      <c r="F1406" s="2"/>
      <c r="G1406" s="3" t="str">
        <f t="shared" si="126"/>
        <v/>
      </c>
      <c r="H1406" s="3"/>
      <c r="I1406" s="3"/>
      <c r="J1406" s="2"/>
      <c r="K1406" s="2"/>
      <c r="L1406" s="2"/>
      <c r="M1406" s="4"/>
      <c r="N1406" s="2"/>
      <c r="O1406" s="5" t="str">
        <f t="shared" ca="1" si="127"/>
        <v/>
      </c>
      <c r="P1406" s="6"/>
      <c r="V1406" t="str">
        <f t="shared" si="128"/>
        <v/>
      </c>
      <c r="W1406" t="str">
        <f t="shared" si="129"/>
        <v/>
      </c>
      <c r="X1406" t="str">
        <f t="shared" si="130"/>
        <v/>
      </c>
      <c r="Y1406" t="str">
        <f t="shared" si="131"/>
        <v/>
      </c>
    </row>
    <row r="1407" spans="1:25" ht="14.5" x14ac:dyDescent="0.35">
      <c r="A1407" s="3"/>
      <c r="B1407" s="2"/>
      <c r="C1407" s="2"/>
      <c r="D1407" s="4"/>
      <c r="E1407" s="2"/>
      <c r="F1407" s="2"/>
      <c r="G1407" s="3" t="str">
        <f t="shared" si="126"/>
        <v/>
      </c>
      <c r="H1407" s="3"/>
      <c r="I1407" s="3"/>
      <c r="J1407" s="2"/>
      <c r="K1407" s="2"/>
      <c r="L1407" s="2"/>
      <c r="M1407" s="4"/>
      <c r="N1407" s="2"/>
      <c r="O1407" s="5" t="str">
        <f t="shared" ca="1" si="127"/>
        <v/>
      </c>
      <c r="P1407" s="6"/>
      <c r="V1407" t="str">
        <f t="shared" si="128"/>
        <v/>
      </c>
      <c r="W1407" t="str">
        <f t="shared" si="129"/>
        <v/>
      </c>
      <c r="X1407" t="str">
        <f t="shared" si="130"/>
        <v/>
      </c>
      <c r="Y1407" t="str">
        <f t="shared" si="131"/>
        <v/>
      </c>
    </row>
    <row r="1408" spans="1:25" ht="14.5" x14ac:dyDescent="0.35">
      <c r="A1408" s="3"/>
      <c r="B1408" s="2"/>
      <c r="C1408" s="2"/>
      <c r="D1408" s="4"/>
      <c r="E1408" s="2"/>
      <c r="F1408" s="2"/>
      <c r="G1408" s="3" t="str">
        <f t="shared" si="126"/>
        <v/>
      </c>
      <c r="H1408" s="3"/>
      <c r="I1408" s="3"/>
      <c r="J1408" s="2"/>
      <c r="K1408" s="2"/>
      <c r="L1408" s="2"/>
      <c r="M1408" s="4"/>
      <c r="N1408" s="2"/>
      <c r="O1408" s="5" t="str">
        <f t="shared" ca="1" si="127"/>
        <v/>
      </c>
      <c r="P1408" s="6"/>
      <c r="V1408" t="str">
        <f t="shared" si="128"/>
        <v/>
      </c>
      <c r="W1408" t="str">
        <f t="shared" si="129"/>
        <v/>
      </c>
      <c r="X1408" t="str">
        <f t="shared" si="130"/>
        <v/>
      </c>
      <c r="Y1408" t="str">
        <f t="shared" si="131"/>
        <v/>
      </c>
    </row>
    <row r="1409" spans="1:25" ht="14.5" x14ac:dyDescent="0.35">
      <c r="A1409" s="3"/>
      <c r="B1409" s="2"/>
      <c r="C1409" s="2"/>
      <c r="D1409" s="4"/>
      <c r="E1409" s="2"/>
      <c r="F1409" s="2"/>
      <c r="G1409" s="3" t="str">
        <f t="shared" si="126"/>
        <v/>
      </c>
      <c r="H1409" s="3"/>
      <c r="I1409" s="3"/>
      <c r="J1409" s="2"/>
      <c r="K1409" s="2"/>
      <c r="L1409" s="2"/>
      <c r="M1409" s="4"/>
      <c r="N1409" s="2"/>
      <c r="O1409" s="5" t="str">
        <f t="shared" ca="1" si="127"/>
        <v/>
      </c>
      <c r="P1409" s="6"/>
      <c r="V1409" t="str">
        <f t="shared" si="128"/>
        <v/>
      </c>
      <c r="W1409" t="str">
        <f t="shared" si="129"/>
        <v/>
      </c>
      <c r="X1409" t="str">
        <f t="shared" si="130"/>
        <v/>
      </c>
      <c r="Y1409" t="str">
        <f t="shared" si="131"/>
        <v/>
      </c>
    </row>
    <row r="1410" spans="1:25" ht="14.5" x14ac:dyDescent="0.35">
      <c r="A1410" s="3"/>
      <c r="B1410" s="2"/>
      <c r="C1410" s="2"/>
      <c r="D1410" s="4"/>
      <c r="E1410" s="2"/>
      <c r="F1410" s="2"/>
      <c r="G1410" s="3" t="str">
        <f t="shared" ref="G1410:G1473" si="132">IF(COUNTIF($A$2:$A$1500,A1410&amp;".*")=0,"",COUNTIF($A$2:$A$1500,A1410&amp;".*"))</f>
        <v/>
      </c>
      <c r="H1410" s="3"/>
      <c r="I1410" s="3"/>
      <c r="J1410" s="2"/>
      <c r="K1410" s="2"/>
      <c r="L1410" s="2"/>
      <c r="M1410" s="4"/>
      <c r="N1410" s="2"/>
      <c r="O1410" s="5" t="str">
        <f t="shared" ref="O1410:O1473" ca="1" si="133">IF(M1410="","",INT(M1410)-TODAY())</f>
        <v/>
      </c>
      <c r="P1410" s="6"/>
      <c r="V1410" t="str">
        <f t="shared" ref="V1410:V1473" si="134">IF(M1410="","",M1410+Q1410/1000000)</f>
        <v/>
      </c>
      <c r="W1410" t="str">
        <f t="shared" ref="W1410:W1473" si="135">IF(U1410="","",IF(M1410="",9999999+Q1410/1000000,M1410+Q1410/1000000))</f>
        <v/>
      </c>
      <c r="X1410" t="str">
        <f t="shared" ref="X1410:X1473" si="136">IF(U1410="","",SUMPRODUCT(($U$2:$U$1500=U1410)*($W$2:$W$1500&lt;=W1410)))</f>
        <v/>
      </c>
      <c r="Y1410" t="str">
        <f t="shared" ref="Y1410:Y1473" si="137">IF(U1410="","",U1410&amp;"|"&amp;X1410)</f>
        <v/>
      </c>
    </row>
    <row r="1411" spans="1:25" ht="14.5" x14ac:dyDescent="0.35">
      <c r="A1411" s="3"/>
      <c r="B1411" s="2"/>
      <c r="C1411" s="2"/>
      <c r="D1411" s="4"/>
      <c r="E1411" s="2"/>
      <c r="F1411" s="2"/>
      <c r="G1411" s="3" t="str">
        <f t="shared" si="132"/>
        <v/>
      </c>
      <c r="H1411" s="3"/>
      <c r="I1411" s="3"/>
      <c r="J1411" s="2"/>
      <c r="K1411" s="2"/>
      <c r="L1411" s="2"/>
      <c r="M1411" s="4"/>
      <c r="N1411" s="2"/>
      <c r="O1411" s="5" t="str">
        <f t="shared" ca="1" si="133"/>
        <v/>
      </c>
      <c r="P1411" s="6"/>
      <c r="V1411" t="str">
        <f t="shared" si="134"/>
        <v/>
      </c>
      <c r="W1411" t="str">
        <f t="shared" si="135"/>
        <v/>
      </c>
      <c r="X1411" t="str">
        <f t="shared" si="136"/>
        <v/>
      </c>
      <c r="Y1411" t="str">
        <f t="shared" si="137"/>
        <v/>
      </c>
    </row>
    <row r="1412" spans="1:25" ht="14.5" x14ac:dyDescent="0.35">
      <c r="A1412" s="3"/>
      <c r="B1412" s="2"/>
      <c r="C1412" s="2"/>
      <c r="D1412" s="4"/>
      <c r="E1412" s="2"/>
      <c r="F1412" s="2"/>
      <c r="G1412" s="3" t="str">
        <f t="shared" si="132"/>
        <v/>
      </c>
      <c r="H1412" s="3"/>
      <c r="I1412" s="3"/>
      <c r="J1412" s="2"/>
      <c r="K1412" s="2"/>
      <c r="L1412" s="2"/>
      <c r="M1412" s="4"/>
      <c r="N1412" s="2"/>
      <c r="O1412" s="5" t="str">
        <f t="shared" ca="1" si="133"/>
        <v/>
      </c>
      <c r="P1412" s="6"/>
      <c r="V1412" t="str">
        <f t="shared" si="134"/>
        <v/>
      </c>
      <c r="W1412" t="str">
        <f t="shared" si="135"/>
        <v/>
      </c>
      <c r="X1412" t="str">
        <f t="shared" si="136"/>
        <v/>
      </c>
      <c r="Y1412" t="str">
        <f t="shared" si="137"/>
        <v/>
      </c>
    </row>
    <row r="1413" spans="1:25" ht="14.5" x14ac:dyDescent="0.35">
      <c r="A1413" s="3"/>
      <c r="B1413" s="2"/>
      <c r="C1413" s="2"/>
      <c r="D1413" s="4"/>
      <c r="E1413" s="2"/>
      <c r="F1413" s="2"/>
      <c r="G1413" s="3" t="str">
        <f t="shared" si="132"/>
        <v/>
      </c>
      <c r="H1413" s="3"/>
      <c r="I1413" s="3"/>
      <c r="J1413" s="2"/>
      <c r="K1413" s="2"/>
      <c r="L1413" s="2"/>
      <c r="M1413" s="4"/>
      <c r="N1413" s="2"/>
      <c r="O1413" s="5" t="str">
        <f t="shared" ca="1" si="133"/>
        <v/>
      </c>
      <c r="P1413" s="6"/>
      <c r="V1413" t="str">
        <f t="shared" si="134"/>
        <v/>
      </c>
      <c r="W1413" t="str">
        <f t="shared" si="135"/>
        <v/>
      </c>
      <c r="X1413" t="str">
        <f t="shared" si="136"/>
        <v/>
      </c>
      <c r="Y1413" t="str">
        <f t="shared" si="137"/>
        <v/>
      </c>
    </row>
    <row r="1414" spans="1:25" ht="14.5" x14ac:dyDescent="0.35">
      <c r="A1414" s="3"/>
      <c r="B1414" s="2"/>
      <c r="C1414" s="2"/>
      <c r="D1414" s="4"/>
      <c r="E1414" s="2"/>
      <c r="F1414" s="2"/>
      <c r="G1414" s="3" t="str">
        <f t="shared" si="132"/>
        <v/>
      </c>
      <c r="H1414" s="3"/>
      <c r="I1414" s="3"/>
      <c r="J1414" s="2"/>
      <c r="K1414" s="2"/>
      <c r="L1414" s="2"/>
      <c r="M1414" s="4"/>
      <c r="N1414" s="2"/>
      <c r="O1414" s="5" t="str">
        <f t="shared" ca="1" si="133"/>
        <v/>
      </c>
      <c r="P1414" s="6"/>
      <c r="V1414" t="str">
        <f t="shared" si="134"/>
        <v/>
      </c>
      <c r="W1414" t="str">
        <f t="shared" si="135"/>
        <v/>
      </c>
      <c r="X1414" t="str">
        <f t="shared" si="136"/>
        <v/>
      </c>
      <c r="Y1414" t="str">
        <f t="shared" si="137"/>
        <v/>
      </c>
    </row>
    <row r="1415" spans="1:25" ht="14.5" x14ac:dyDescent="0.35">
      <c r="A1415" s="3"/>
      <c r="B1415" s="2"/>
      <c r="C1415" s="2"/>
      <c r="D1415" s="4"/>
      <c r="E1415" s="2"/>
      <c r="F1415" s="2"/>
      <c r="G1415" s="3" t="str">
        <f t="shared" si="132"/>
        <v/>
      </c>
      <c r="H1415" s="3"/>
      <c r="I1415" s="3"/>
      <c r="J1415" s="2"/>
      <c r="K1415" s="2"/>
      <c r="L1415" s="2"/>
      <c r="M1415" s="4"/>
      <c r="N1415" s="2"/>
      <c r="O1415" s="5" t="str">
        <f t="shared" ca="1" si="133"/>
        <v/>
      </c>
      <c r="P1415" s="6"/>
      <c r="V1415" t="str">
        <f t="shared" si="134"/>
        <v/>
      </c>
      <c r="W1415" t="str">
        <f t="shared" si="135"/>
        <v/>
      </c>
      <c r="X1415" t="str">
        <f t="shared" si="136"/>
        <v/>
      </c>
      <c r="Y1415" t="str">
        <f t="shared" si="137"/>
        <v/>
      </c>
    </row>
    <row r="1416" spans="1:25" ht="14.5" x14ac:dyDescent="0.35">
      <c r="A1416" s="3"/>
      <c r="B1416" s="2"/>
      <c r="C1416" s="2"/>
      <c r="D1416" s="4"/>
      <c r="E1416" s="2"/>
      <c r="F1416" s="2"/>
      <c r="G1416" s="3" t="str">
        <f t="shared" si="132"/>
        <v/>
      </c>
      <c r="H1416" s="3"/>
      <c r="I1416" s="3"/>
      <c r="J1416" s="2"/>
      <c r="K1416" s="2"/>
      <c r="L1416" s="2"/>
      <c r="M1416" s="4"/>
      <c r="N1416" s="2"/>
      <c r="O1416" s="5" t="str">
        <f t="shared" ca="1" si="133"/>
        <v/>
      </c>
      <c r="P1416" s="6"/>
      <c r="V1416" t="str">
        <f t="shared" si="134"/>
        <v/>
      </c>
      <c r="W1416" t="str">
        <f t="shared" si="135"/>
        <v/>
      </c>
      <c r="X1416" t="str">
        <f t="shared" si="136"/>
        <v/>
      </c>
      <c r="Y1416" t="str">
        <f t="shared" si="137"/>
        <v/>
      </c>
    </row>
    <row r="1417" spans="1:25" ht="14.5" x14ac:dyDescent="0.35">
      <c r="A1417" s="3"/>
      <c r="B1417" s="2"/>
      <c r="C1417" s="2"/>
      <c r="D1417" s="4"/>
      <c r="E1417" s="2"/>
      <c r="F1417" s="2"/>
      <c r="G1417" s="3" t="str">
        <f t="shared" si="132"/>
        <v/>
      </c>
      <c r="H1417" s="3"/>
      <c r="I1417" s="3"/>
      <c r="J1417" s="2"/>
      <c r="K1417" s="2"/>
      <c r="L1417" s="2"/>
      <c r="M1417" s="4"/>
      <c r="N1417" s="2"/>
      <c r="O1417" s="5" t="str">
        <f t="shared" ca="1" si="133"/>
        <v/>
      </c>
      <c r="P1417" s="6"/>
      <c r="V1417" t="str">
        <f t="shared" si="134"/>
        <v/>
      </c>
      <c r="W1417" t="str">
        <f t="shared" si="135"/>
        <v/>
      </c>
      <c r="X1417" t="str">
        <f t="shared" si="136"/>
        <v/>
      </c>
      <c r="Y1417" t="str">
        <f t="shared" si="137"/>
        <v/>
      </c>
    </row>
    <row r="1418" spans="1:25" ht="14.5" x14ac:dyDescent="0.35">
      <c r="A1418" s="3"/>
      <c r="B1418" s="2"/>
      <c r="C1418" s="2"/>
      <c r="D1418" s="4"/>
      <c r="E1418" s="2"/>
      <c r="F1418" s="2"/>
      <c r="G1418" s="3" t="str">
        <f t="shared" si="132"/>
        <v/>
      </c>
      <c r="H1418" s="3"/>
      <c r="I1418" s="3"/>
      <c r="J1418" s="2"/>
      <c r="K1418" s="2"/>
      <c r="L1418" s="2"/>
      <c r="M1418" s="4"/>
      <c r="N1418" s="2"/>
      <c r="O1418" s="5" t="str">
        <f t="shared" ca="1" si="133"/>
        <v/>
      </c>
      <c r="P1418" s="6"/>
      <c r="V1418" t="str">
        <f t="shared" si="134"/>
        <v/>
      </c>
      <c r="W1418" t="str">
        <f t="shared" si="135"/>
        <v/>
      </c>
      <c r="X1418" t="str">
        <f t="shared" si="136"/>
        <v/>
      </c>
      <c r="Y1418" t="str">
        <f t="shared" si="137"/>
        <v/>
      </c>
    </row>
    <row r="1419" spans="1:25" ht="14.5" x14ac:dyDescent="0.35">
      <c r="A1419" s="3"/>
      <c r="B1419" s="2"/>
      <c r="C1419" s="2"/>
      <c r="D1419" s="4"/>
      <c r="E1419" s="2"/>
      <c r="F1419" s="2"/>
      <c r="G1419" s="3" t="str">
        <f t="shared" si="132"/>
        <v/>
      </c>
      <c r="H1419" s="3"/>
      <c r="I1419" s="3"/>
      <c r="J1419" s="2"/>
      <c r="K1419" s="2"/>
      <c r="L1419" s="2"/>
      <c r="M1419" s="4"/>
      <c r="N1419" s="2"/>
      <c r="O1419" s="5" t="str">
        <f t="shared" ca="1" si="133"/>
        <v/>
      </c>
      <c r="P1419" s="6"/>
      <c r="V1419" t="str">
        <f t="shared" si="134"/>
        <v/>
      </c>
      <c r="W1419" t="str">
        <f t="shared" si="135"/>
        <v/>
      </c>
      <c r="X1419" t="str">
        <f t="shared" si="136"/>
        <v/>
      </c>
      <c r="Y1419" t="str">
        <f t="shared" si="137"/>
        <v/>
      </c>
    </row>
    <row r="1420" spans="1:25" ht="14.5" x14ac:dyDescent="0.35">
      <c r="A1420" s="3"/>
      <c r="B1420" s="2"/>
      <c r="C1420" s="2"/>
      <c r="D1420" s="4"/>
      <c r="E1420" s="2"/>
      <c r="F1420" s="2"/>
      <c r="G1420" s="3" t="str">
        <f t="shared" si="132"/>
        <v/>
      </c>
      <c r="H1420" s="3"/>
      <c r="I1420" s="3"/>
      <c r="J1420" s="2"/>
      <c r="K1420" s="2"/>
      <c r="L1420" s="2"/>
      <c r="M1420" s="4"/>
      <c r="N1420" s="2"/>
      <c r="O1420" s="5" t="str">
        <f t="shared" ca="1" si="133"/>
        <v/>
      </c>
      <c r="P1420" s="6"/>
      <c r="V1420" t="str">
        <f t="shared" si="134"/>
        <v/>
      </c>
      <c r="W1420" t="str">
        <f t="shared" si="135"/>
        <v/>
      </c>
      <c r="X1420" t="str">
        <f t="shared" si="136"/>
        <v/>
      </c>
      <c r="Y1420" t="str">
        <f t="shared" si="137"/>
        <v/>
      </c>
    </row>
    <row r="1421" spans="1:25" ht="14.5" x14ac:dyDescent="0.35">
      <c r="A1421" s="3"/>
      <c r="B1421" s="2"/>
      <c r="C1421" s="2"/>
      <c r="D1421" s="4"/>
      <c r="E1421" s="2"/>
      <c r="F1421" s="2"/>
      <c r="G1421" s="3" t="str">
        <f t="shared" si="132"/>
        <v/>
      </c>
      <c r="H1421" s="3"/>
      <c r="I1421" s="3"/>
      <c r="J1421" s="2"/>
      <c r="K1421" s="2"/>
      <c r="L1421" s="2"/>
      <c r="M1421" s="4"/>
      <c r="N1421" s="2"/>
      <c r="O1421" s="5" t="str">
        <f t="shared" ca="1" si="133"/>
        <v/>
      </c>
      <c r="P1421" s="6"/>
      <c r="V1421" t="str">
        <f t="shared" si="134"/>
        <v/>
      </c>
      <c r="W1421" t="str">
        <f t="shared" si="135"/>
        <v/>
      </c>
      <c r="X1421" t="str">
        <f t="shared" si="136"/>
        <v/>
      </c>
      <c r="Y1421" t="str">
        <f t="shared" si="137"/>
        <v/>
      </c>
    </row>
    <row r="1422" spans="1:25" ht="14.5" x14ac:dyDescent="0.35">
      <c r="A1422" s="3"/>
      <c r="B1422" s="2"/>
      <c r="C1422" s="2"/>
      <c r="D1422" s="4"/>
      <c r="E1422" s="2"/>
      <c r="F1422" s="2"/>
      <c r="G1422" s="3" t="str">
        <f t="shared" si="132"/>
        <v/>
      </c>
      <c r="H1422" s="3"/>
      <c r="I1422" s="3"/>
      <c r="J1422" s="2"/>
      <c r="K1422" s="2"/>
      <c r="L1422" s="2"/>
      <c r="M1422" s="4"/>
      <c r="N1422" s="2"/>
      <c r="O1422" s="5" t="str">
        <f t="shared" ca="1" si="133"/>
        <v/>
      </c>
      <c r="P1422" s="6"/>
      <c r="V1422" t="str">
        <f t="shared" si="134"/>
        <v/>
      </c>
      <c r="W1422" t="str">
        <f t="shared" si="135"/>
        <v/>
      </c>
      <c r="X1422" t="str">
        <f t="shared" si="136"/>
        <v/>
      </c>
      <c r="Y1422" t="str">
        <f t="shared" si="137"/>
        <v/>
      </c>
    </row>
    <row r="1423" spans="1:25" ht="14.5" x14ac:dyDescent="0.35">
      <c r="A1423" s="3"/>
      <c r="B1423" s="2"/>
      <c r="C1423" s="2"/>
      <c r="D1423" s="4"/>
      <c r="E1423" s="2"/>
      <c r="F1423" s="2"/>
      <c r="G1423" s="3" t="str">
        <f t="shared" si="132"/>
        <v/>
      </c>
      <c r="H1423" s="3"/>
      <c r="I1423" s="3"/>
      <c r="J1423" s="2"/>
      <c r="K1423" s="2"/>
      <c r="L1423" s="2"/>
      <c r="M1423" s="4"/>
      <c r="N1423" s="2"/>
      <c r="O1423" s="5" t="str">
        <f t="shared" ca="1" si="133"/>
        <v/>
      </c>
      <c r="P1423" s="6"/>
      <c r="V1423" t="str">
        <f t="shared" si="134"/>
        <v/>
      </c>
      <c r="W1423" t="str">
        <f t="shared" si="135"/>
        <v/>
      </c>
      <c r="X1423" t="str">
        <f t="shared" si="136"/>
        <v/>
      </c>
      <c r="Y1423" t="str">
        <f t="shared" si="137"/>
        <v/>
      </c>
    </row>
    <row r="1424" spans="1:25" ht="14.5" x14ac:dyDescent="0.35">
      <c r="A1424" s="3"/>
      <c r="B1424" s="2"/>
      <c r="C1424" s="2"/>
      <c r="D1424" s="4"/>
      <c r="E1424" s="2"/>
      <c r="F1424" s="2"/>
      <c r="G1424" s="3" t="str">
        <f t="shared" si="132"/>
        <v/>
      </c>
      <c r="H1424" s="3"/>
      <c r="I1424" s="3"/>
      <c r="J1424" s="2"/>
      <c r="K1424" s="2"/>
      <c r="L1424" s="2"/>
      <c r="M1424" s="4"/>
      <c r="N1424" s="2"/>
      <c r="O1424" s="5" t="str">
        <f t="shared" ca="1" si="133"/>
        <v/>
      </c>
      <c r="P1424" s="6"/>
      <c r="V1424" t="str">
        <f t="shared" si="134"/>
        <v/>
      </c>
      <c r="W1424" t="str">
        <f t="shared" si="135"/>
        <v/>
      </c>
      <c r="X1424" t="str">
        <f t="shared" si="136"/>
        <v/>
      </c>
      <c r="Y1424" t="str">
        <f t="shared" si="137"/>
        <v/>
      </c>
    </row>
    <row r="1425" spans="1:25" ht="14.5" x14ac:dyDescent="0.35">
      <c r="A1425" s="3"/>
      <c r="B1425" s="2"/>
      <c r="C1425" s="2"/>
      <c r="D1425" s="4"/>
      <c r="E1425" s="2"/>
      <c r="F1425" s="2"/>
      <c r="G1425" s="3" t="str">
        <f t="shared" si="132"/>
        <v/>
      </c>
      <c r="H1425" s="3"/>
      <c r="I1425" s="3"/>
      <c r="J1425" s="2"/>
      <c r="K1425" s="2"/>
      <c r="L1425" s="2"/>
      <c r="M1425" s="4"/>
      <c r="N1425" s="2"/>
      <c r="O1425" s="5" t="str">
        <f t="shared" ca="1" si="133"/>
        <v/>
      </c>
      <c r="P1425" s="6"/>
      <c r="V1425" t="str">
        <f t="shared" si="134"/>
        <v/>
      </c>
      <c r="W1425" t="str">
        <f t="shared" si="135"/>
        <v/>
      </c>
      <c r="X1425" t="str">
        <f t="shared" si="136"/>
        <v/>
      </c>
      <c r="Y1425" t="str">
        <f t="shared" si="137"/>
        <v/>
      </c>
    </row>
    <row r="1426" spans="1:25" ht="14.5" x14ac:dyDescent="0.35">
      <c r="A1426" s="3"/>
      <c r="B1426" s="2"/>
      <c r="C1426" s="2"/>
      <c r="D1426" s="4"/>
      <c r="E1426" s="2"/>
      <c r="F1426" s="2"/>
      <c r="G1426" s="3" t="str">
        <f t="shared" si="132"/>
        <v/>
      </c>
      <c r="H1426" s="3"/>
      <c r="I1426" s="3"/>
      <c r="J1426" s="2"/>
      <c r="K1426" s="2"/>
      <c r="L1426" s="2"/>
      <c r="M1426" s="4"/>
      <c r="N1426" s="2"/>
      <c r="O1426" s="5" t="str">
        <f t="shared" ca="1" si="133"/>
        <v/>
      </c>
      <c r="P1426" s="6"/>
      <c r="V1426" t="str">
        <f t="shared" si="134"/>
        <v/>
      </c>
      <c r="W1426" t="str">
        <f t="shared" si="135"/>
        <v/>
      </c>
      <c r="X1426" t="str">
        <f t="shared" si="136"/>
        <v/>
      </c>
      <c r="Y1426" t="str">
        <f t="shared" si="137"/>
        <v/>
      </c>
    </row>
    <row r="1427" spans="1:25" ht="14.5" x14ac:dyDescent="0.35">
      <c r="A1427" s="3"/>
      <c r="B1427" s="2"/>
      <c r="C1427" s="2"/>
      <c r="D1427" s="4"/>
      <c r="E1427" s="2"/>
      <c r="F1427" s="2"/>
      <c r="G1427" s="3" t="str">
        <f t="shared" si="132"/>
        <v/>
      </c>
      <c r="H1427" s="3"/>
      <c r="I1427" s="3"/>
      <c r="J1427" s="2"/>
      <c r="K1427" s="2"/>
      <c r="L1427" s="2"/>
      <c r="M1427" s="4"/>
      <c r="N1427" s="2"/>
      <c r="O1427" s="5" t="str">
        <f t="shared" ca="1" si="133"/>
        <v/>
      </c>
      <c r="P1427" s="6"/>
      <c r="V1427" t="str">
        <f t="shared" si="134"/>
        <v/>
      </c>
      <c r="W1427" t="str">
        <f t="shared" si="135"/>
        <v/>
      </c>
      <c r="X1427" t="str">
        <f t="shared" si="136"/>
        <v/>
      </c>
      <c r="Y1427" t="str">
        <f t="shared" si="137"/>
        <v/>
      </c>
    </row>
    <row r="1428" spans="1:25" ht="14.5" x14ac:dyDescent="0.35">
      <c r="A1428" s="3"/>
      <c r="B1428" s="2"/>
      <c r="C1428" s="2"/>
      <c r="D1428" s="4"/>
      <c r="E1428" s="2"/>
      <c r="F1428" s="2"/>
      <c r="G1428" s="3" t="str">
        <f t="shared" si="132"/>
        <v/>
      </c>
      <c r="H1428" s="3"/>
      <c r="I1428" s="3"/>
      <c r="J1428" s="2"/>
      <c r="K1428" s="2"/>
      <c r="L1428" s="2"/>
      <c r="M1428" s="4"/>
      <c r="N1428" s="2"/>
      <c r="O1428" s="5" t="str">
        <f t="shared" ca="1" si="133"/>
        <v/>
      </c>
      <c r="P1428" s="6"/>
      <c r="V1428" t="str">
        <f t="shared" si="134"/>
        <v/>
      </c>
      <c r="W1428" t="str">
        <f t="shared" si="135"/>
        <v/>
      </c>
      <c r="X1428" t="str">
        <f t="shared" si="136"/>
        <v/>
      </c>
      <c r="Y1428" t="str">
        <f t="shared" si="137"/>
        <v/>
      </c>
    </row>
    <row r="1429" spans="1:25" ht="14.5" x14ac:dyDescent="0.35">
      <c r="A1429" s="3"/>
      <c r="B1429" s="2"/>
      <c r="C1429" s="2"/>
      <c r="D1429" s="4"/>
      <c r="E1429" s="2"/>
      <c r="F1429" s="2"/>
      <c r="G1429" s="3" t="str">
        <f t="shared" si="132"/>
        <v/>
      </c>
      <c r="H1429" s="3"/>
      <c r="I1429" s="3"/>
      <c r="J1429" s="2"/>
      <c r="K1429" s="2"/>
      <c r="L1429" s="2"/>
      <c r="M1429" s="4"/>
      <c r="N1429" s="2"/>
      <c r="O1429" s="5" t="str">
        <f t="shared" ca="1" si="133"/>
        <v/>
      </c>
      <c r="P1429" s="6"/>
      <c r="V1429" t="str">
        <f t="shared" si="134"/>
        <v/>
      </c>
      <c r="W1429" t="str">
        <f t="shared" si="135"/>
        <v/>
      </c>
      <c r="X1429" t="str">
        <f t="shared" si="136"/>
        <v/>
      </c>
      <c r="Y1429" t="str">
        <f t="shared" si="137"/>
        <v/>
      </c>
    </row>
    <row r="1430" spans="1:25" ht="14.5" x14ac:dyDescent="0.35">
      <c r="A1430" s="3"/>
      <c r="B1430" s="2"/>
      <c r="C1430" s="2"/>
      <c r="D1430" s="4"/>
      <c r="E1430" s="2"/>
      <c r="F1430" s="2"/>
      <c r="G1430" s="3" t="str">
        <f t="shared" si="132"/>
        <v/>
      </c>
      <c r="H1430" s="3"/>
      <c r="I1430" s="3"/>
      <c r="J1430" s="2"/>
      <c r="K1430" s="2"/>
      <c r="L1430" s="2"/>
      <c r="M1430" s="4"/>
      <c r="N1430" s="2"/>
      <c r="O1430" s="5" t="str">
        <f t="shared" ca="1" si="133"/>
        <v/>
      </c>
      <c r="P1430" s="6"/>
      <c r="V1430" t="str">
        <f t="shared" si="134"/>
        <v/>
      </c>
      <c r="W1430" t="str">
        <f t="shared" si="135"/>
        <v/>
      </c>
      <c r="X1430" t="str">
        <f t="shared" si="136"/>
        <v/>
      </c>
      <c r="Y1430" t="str">
        <f t="shared" si="137"/>
        <v/>
      </c>
    </row>
    <row r="1431" spans="1:25" ht="14.5" x14ac:dyDescent="0.35">
      <c r="A1431" s="3"/>
      <c r="B1431" s="2"/>
      <c r="C1431" s="2"/>
      <c r="D1431" s="4"/>
      <c r="E1431" s="2"/>
      <c r="F1431" s="2"/>
      <c r="G1431" s="3" t="str">
        <f t="shared" si="132"/>
        <v/>
      </c>
      <c r="H1431" s="3"/>
      <c r="I1431" s="3"/>
      <c r="J1431" s="2"/>
      <c r="K1431" s="2"/>
      <c r="L1431" s="2"/>
      <c r="M1431" s="4"/>
      <c r="N1431" s="2"/>
      <c r="O1431" s="5" t="str">
        <f t="shared" ca="1" si="133"/>
        <v/>
      </c>
      <c r="P1431" s="6"/>
      <c r="V1431" t="str">
        <f t="shared" si="134"/>
        <v/>
      </c>
      <c r="W1431" t="str">
        <f t="shared" si="135"/>
        <v/>
      </c>
      <c r="X1431" t="str">
        <f t="shared" si="136"/>
        <v/>
      </c>
      <c r="Y1431" t="str">
        <f t="shared" si="137"/>
        <v/>
      </c>
    </row>
    <row r="1432" spans="1:25" ht="14.5" x14ac:dyDescent="0.35">
      <c r="A1432" s="3"/>
      <c r="B1432" s="2"/>
      <c r="C1432" s="2"/>
      <c r="D1432" s="4"/>
      <c r="E1432" s="2"/>
      <c r="F1432" s="2"/>
      <c r="G1432" s="3" t="str">
        <f t="shared" si="132"/>
        <v/>
      </c>
      <c r="H1432" s="3"/>
      <c r="I1432" s="3"/>
      <c r="J1432" s="2"/>
      <c r="K1432" s="2"/>
      <c r="L1432" s="2"/>
      <c r="M1432" s="4"/>
      <c r="N1432" s="2"/>
      <c r="O1432" s="5" t="str">
        <f t="shared" ca="1" si="133"/>
        <v/>
      </c>
      <c r="P1432" s="6"/>
      <c r="V1432" t="str">
        <f t="shared" si="134"/>
        <v/>
      </c>
      <c r="W1432" t="str">
        <f t="shared" si="135"/>
        <v/>
      </c>
      <c r="X1432" t="str">
        <f t="shared" si="136"/>
        <v/>
      </c>
      <c r="Y1432" t="str">
        <f t="shared" si="137"/>
        <v/>
      </c>
    </row>
    <row r="1433" spans="1:25" ht="14.5" x14ac:dyDescent="0.35">
      <c r="A1433" s="3"/>
      <c r="B1433" s="2"/>
      <c r="C1433" s="2"/>
      <c r="D1433" s="4"/>
      <c r="E1433" s="2"/>
      <c r="F1433" s="2"/>
      <c r="G1433" s="3" t="str">
        <f t="shared" si="132"/>
        <v/>
      </c>
      <c r="H1433" s="3"/>
      <c r="I1433" s="3"/>
      <c r="J1433" s="2"/>
      <c r="K1433" s="2"/>
      <c r="L1433" s="2"/>
      <c r="M1433" s="4"/>
      <c r="N1433" s="2"/>
      <c r="O1433" s="5" t="str">
        <f t="shared" ca="1" si="133"/>
        <v/>
      </c>
      <c r="P1433" s="6"/>
      <c r="V1433" t="str">
        <f t="shared" si="134"/>
        <v/>
      </c>
      <c r="W1433" t="str">
        <f t="shared" si="135"/>
        <v/>
      </c>
      <c r="X1433" t="str">
        <f t="shared" si="136"/>
        <v/>
      </c>
      <c r="Y1433" t="str">
        <f t="shared" si="137"/>
        <v/>
      </c>
    </row>
    <row r="1434" spans="1:25" ht="14.5" x14ac:dyDescent="0.35">
      <c r="A1434" s="3"/>
      <c r="B1434" s="2"/>
      <c r="C1434" s="2"/>
      <c r="D1434" s="4"/>
      <c r="E1434" s="2"/>
      <c r="F1434" s="2"/>
      <c r="G1434" s="3" t="str">
        <f t="shared" si="132"/>
        <v/>
      </c>
      <c r="H1434" s="3"/>
      <c r="I1434" s="3"/>
      <c r="J1434" s="2"/>
      <c r="K1434" s="2"/>
      <c r="L1434" s="2"/>
      <c r="M1434" s="4"/>
      <c r="N1434" s="2"/>
      <c r="O1434" s="5" t="str">
        <f t="shared" ca="1" si="133"/>
        <v/>
      </c>
      <c r="P1434" s="6"/>
      <c r="V1434" t="str">
        <f t="shared" si="134"/>
        <v/>
      </c>
      <c r="W1434" t="str">
        <f t="shared" si="135"/>
        <v/>
      </c>
      <c r="X1434" t="str">
        <f t="shared" si="136"/>
        <v/>
      </c>
      <c r="Y1434" t="str">
        <f t="shared" si="137"/>
        <v/>
      </c>
    </row>
    <row r="1435" spans="1:25" ht="14.5" x14ac:dyDescent="0.35">
      <c r="A1435" s="3"/>
      <c r="B1435" s="2"/>
      <c r="C1435" s="2"/>
      <c r="D1435" s="4"/>
      <c r="E1435" s="2"/>
      <c r="F1435" s="2"/>
      <c r="G1435" s="3" t="str">
        <f t="shared" si="132"/>
        <v/>
      </c>
      <c r="H1435" s="3"/>
      <c r="I1435" s="3"/>
      <c r="J1435" s="2"/>
      <c r="K1435" s="2"/>
      <c r="L1435" s="2"/>
      <c r="M1435" s="4"/>
      <c r="N1435" s="2"/>
      <c r="O1435" s="5" t="str">
        <f t="shared" ca="1" si="133"/>
        <v/>
      </c>
      <c r="P1435" s="6"/>
      <c r="V1435" t="str">
        <f t="shared" si="134"/>
        <v/>
      </c>
      <c r="W1435" t="str">
        <f t="shared" si="135"/>
        <v/>
      </c>
      <c r="X1435" t="str">
        <f t="shared" si="136"/>
        <v/>
      </c>
      <c r="Y1435" t="str">
        <f t="shared" si="137"/>
        <v/>
      </c>
    </row>
    <row r="1436" spans="1:25" ht="14.5" x14ac:dyDescent="0.35">
      <c r="A1436" s="3"/>
      <c r="B1436" s="2"/>
      <c r="C1436" s="2"/>
      <c r="D1436" s="4"/>
      <c r="E1436" s="2"/>
      <c r="F1436" s="2"/>
      <c r="G1436" s="3" t="str">
        <f t="shared" si="132"/>
        <v/>
      </c>
      <c r="H1436" s="3"/>
      <c r="I1436" s="3"/>
      <c r="J1436" s="2"/>
      <c r="K1436" s="2"/>
      <c r="L1436" s="2"/>
      <c r="M1436" s="4"/>
      <c r="N1436" s="2"/>
      <c r="O1436" s="5" t="str">
        <f t="shared" ca="1" si="133"/>
        <v/>
      </c>
      <c r="P1436" s="6"/>
      <c r="V1436" t="str">
        <f t="shared" si="134"/>
        <v/>
      </c>
      <c r="W1436" t="str">
        <f t="shared" si="135"/>
        <v/>
      </c>
      <c r="X1436" t="str">
        <f t="shared" si="136"/>
        <v/>
      </c>
      <c r="Y1436" t="str">
        <f t="shared" si="137"/>
        <v/>
      </c>
    </row>
    <row r="1437" spans="1:25" ht="14.5" x14ac:dyDescent="0.35">
      <c r="A1437" s="3"/>
      <c r="B1437" s="2"/>
      <c r="C1437" s="2"/>
      <c r="D1437" s="4"/>
      <c r="E1437" s="2"/>
      <c r="F1437" s="2"/>
      <c r="G1437" s="3" t="str">
        <f t="shared" si="132"/>
        <v/>
      </c>
      <c r="H1437" s="3"/>
      <c r="I1437" s="3"/>
      <c r="J1437" s="2"/>
      <c r="K1437" s="2"/>
      <c r="L1437" s="2"/>
      <c r="M1437" s="4"/>
      <c r="N1437" s="2"/>
      <c r="O1437" s="5" t="str">
        <f t="shared" ca="1" si="133"/>
        <v/>
      </c>
      <c r="P1437" s="6"/>
      <c r="V1437" t="str">
        <f t="shared" si="134"/>
        <v/>
      </c>
      <c r="W1437" t="str">
        <f t="shared" si="135"/>
        <v/>
      </c>
      <c r="X1437" t="str">
        <f t="shared" si="136"/>
        <v/>
      </c>
      <c r="Y1437" t="str">
        <f t="shared" si="137"/>
        <v/>
      </c>
    </row>
    <row r="1438" spans="1:25" ht="14.5" x14ac:dyDescent="0.35">
      <c r="A1438" s="3"/>
      <c r="B1438" s="2"/>
      <c r="C1438" s="2"/>
      <c r="D1438" s="4"/>
      <c r="E1438" s="2"/>
      <c r="F1438" s="2"/>
      <c r="G1438" s="3" t="str">
        <f t="shared" si="132"/>
        <v/>
      </c>
      <c r="H1438" s="3"/>
      <c r="I1438" s="3"/>
      <c r="J1438" s="2"/>
      <c r="K1438" s="2"/>
      <c r="L1438" s="2"/>
      <c r="M1438" s="4"/>
      <c r="N1438" s="2"/>
      <c r="O1438" s="5" t="str">
        <f t="shared" ca="1" si="133"/>
        <v/>
      </c>
      <c r="P1438" s="6"/>
      <c r="V1438" t="str">
        <f t="shared" si="134"/>
        <v/>
      </c>
      <c r="W1438" t="str">
        <f t="shared" si="135"/>
        <v/>
      </c>
      <c r="X1438" t="str">
        <f t="shared" si="136"/>
        <v/>
      </c>
      <c r="Y1438" t="str">
        <f t="shared" si="137"/>
        <v/>
      </c>
    </row>
    <row r="1439" spans="1:25" ht="14.5" x14ac:dyDescent="0.35">
      <c r="A1439" s="3"/>
      <c r="B1439" s="2"/>
      <c r="C1439" s="2"/>
      <c r="D1439" s="4"/>
      <c r="E1439" s="2"/>
      <c r="F1439" s="2"/>
      <c r="G1439" s="3" t="str">
        <f t="shared" si="132"/>
        <v/>
      </c>
      <c r="H1439" s="3"/>
      <c r="I1439" s="3"/>
      <c r="J1439" s="2"/>
      <c r="K1439" s="2"/>
      <c r="L1439" s="2"/>
      <c r="M1439" s="4"/>
      <c r="N1439" s="2"/>
      <c r="O1439" s="5" t="str">
        <f t="shared" ca="1" si="133"/>
        <v/>
      </c>
      <c r="P1439" s="6"/>
      <c r="V1439" t="str">
        <f t="shared" si="134"/>
        <v/>
      </c>
      <c r="W1439" t="str">
        <f t="shared" si="135"/>
        <v/>
      </c>
      <c r="X1439" t="str">
        <f t="shared" si="136"/>
        <v/>
      </c>
      <c r="Y1439" t="str">
        <f t="shared" si="137"/>
        <v/>
      </c>
    </row>
    <row r="1440" spans="1:25" ht="14.5" x14ac:dyDescent="0.35">
      <c r="A1440" s="3"/>
      <c r="B1440" s="2"/>
      <c r="C1440" s="2"/>
      <c r="D1440" s="4"/>
      <c r="E1440" s="2"/>
      <c r="F1440" s="2"/>
      <c r="G1440" s="3" t="str">
        <f t="shared" si="132"/>
        <v/>
      </c>
      <c r="H1440" s="3"/>
      <c r="I1440" s="3"/>
      <c r="J1440" s="2"/>
      <c r="K1440" s="2"/>
      <c r="L1440" s="2"/>
      <c r="M1440" s="4"/>
      <c r="N1440" s="2"/>
      <c r="O1440" s="5" t="str">
        <f t="shared" ca="1" si="133"/>
        <v/>
      </c>
      <c r="P1440" s="6"/>
      <c r="V1440" t="str">
        <f t="shared" si="134"/>
        <v/>
      </c>
      <c r="W1440" t="str">
        <f t="shared" si="135"/>
        <v/>
      </c>
      <c r="X1440" t="str">
        <f t="shared" si="136"/>
        <v/>
      </c>
      <c r="Y1440" t="str">
        <f t="shared" si="137"/>
        <v/>
      </c>
    </row>
    <row r="1441" spans="1:25" ht="14.5" x14ac:dyDescent="0.35">
      <c r="A1441" s="3"/>
      <c r="B1441" s="2"/>
      <c r="C1441" s="2"/>
      <c r="D1441" s="4"/>
      <c r="E1441" s="2"/>
      <c r="F1441" s="2"/>
      <c r="G1441" s="3" t="str">
        <f t="shared" si="132"/>
        <v/>
      </c>
      <c r="H1441" s="3"/>
      <c r="I1441" s="3"/>
      <c r="J1441" s="2"/>
      <c r="K1441" s="2"/>
      <c r="L1441" s="2"/>
      <c r="M1441" s="4"/>
      <c r="N1441" s="2"/>
      <c r="O1441" s="5" t="str">
        <f t="shared" ca="1" si="133"/>
        <v/>
      </c>
      <c r="P1441" s="6"/>
      <c r="V1441" t="str">
        <f t="shared" si="134"/>
        <v/>
      </c>
      <c r="W1441" t="str">
        <f t="shared" si="135"/>
        <v/>
      </c>
      <c r="X1441" t="str">
        <f t="shared" si="136"/>
        <v/>
      </c>
      <c r="Y1441" t="str">
        <f t="shared" si="137"/>
        <v/>
      </c>
    </row>
    <row r="1442" spans="1:25" ht="14.5" x14ac:dyDescent="0.35">
      <c r="A1442" s="3"/>
      <c r="B1442" s="2"/>
      <c r="C1442" s="2"/>
      <c r="D1442" s="4"/>
      <c r="E1442" s="2"/>
      <c r="F1442" s="2"/>
      <c r="G1442" s="3" t="str">
        <f t="shared" si="132"/>
        <v/>
      </c>
      <c r="H1442" s="3"/>
      <c r="I1442" s="3"/>
      <c r="J1442" s="2"/>
      <c r="K1442" s="2"/>
      <c r="L1442" s="2"/>
      <c r="M1442" s="4"/>
      <c r="N1442" s="2"/>
      <c r="O1442" s="5" t="str">
        <f t="shared" ca="1" si="133"/>
        <v/>
      </c>
      <c r="P1442" s="6"/>
      <c r="V1442" t="str">
        <f t="shared" si="134"/>
        <v/>
      </c>
      <c r="W1442" t="str">
        <f t="shared" si="135"/>
        <v/>
      </c>
      <c r="X1442" t="str">
        <f t="shared" si="136"/>
        <v/>
      </c>
      <c r="Y1442" t="str">
        <f t="shared" si="137"/>
        <v/>
      </c>
    </row>
    <row r="1443" spans="1:25" ht="14.5" x14ac:dyDescent="0.35">
      <c r="A1443" s="3"/>
      <c r="B1443" s="2"/>
      <c r="C1443" s="2"/>
      <c r="D1443" s="4"/>
      <c r="E1443" s="2"/>
      <c r="F1443" s="2"/>
      <c r="G1443" s="3" t="str">
        <f t="shared" si="132"/>
        <v/>
      </c>
      <c r="H1443" s="3"/>
      <c r="I1443" s="3"/>
      <c r="J1443" s="2"/>
      <c r="K1443" s="2"/>
      <c r="L1443" s="2"/>
      <c r="M1443" s="4"/>
      <c r="N1443" s="2"/>
      <c r="O1443" s="5" t="str">
        <f t="shared" ca="1" si="133"/>
        <v/>
      </c>
      <c r="P1443" s="6"/>
      <c r="V1443" t="str">
        <f t="shared" si="134"/>
        <v/>
      </c>
      <c r="W1443" t="str">
        <f t="shared" si="135"/>
        <v/>
      </c>
      <c r="X1443" t="str">
        <f t="shared" si="136"/>
        <v/>
      </c>
      <c r="Y1443" t="str">
        <f t="shared" si="137"/>
        <v/>
      </c>
    </row>
    <row r="1444" spans="1:25" ht="14.5" x14ac:dyDescent="0.35">
      <c r="A1444" s="3"/>
      <c r="B1444" s="2"/>
      <c r="C1444" s="2"/>
      <c r="D1444" s="4"/>
      <c r="E1444" s="2"/>
      <c r="F1444" s="2"/>
      <c r="G1444" s="3" t="str">
        <f t="shared" si="132"/>
        <v/>
      </c>
      <c r="H1444" s="3"/>
      <c r="I1444" s="3"/>
      <c r="J1444" s="2"/>
      <c r="K1444" s="2"/>
      <c r="L1444" s="2"/>
      <c r="M1444" s="4"/>
      <c r="N1444" s="2"/>
      <c r="O1444" s="5" t="str">
        <f t="shared" ca="1" si="133"/>
        <v/>
      </c>
      <c r="P1444" s="6"/>
      <c r="V1444" t="str">
        <f t="shared" si="134"/>
        <v/>
      </c>
      <c r="W1444" t="str">
        <f t="shared" si="135"/>
        <v/>
      </c>
      <c r="X1444" t="str">
        <f t="shared" si="136"/>
        <v/>
      </c>
      <c r="Y1444" t="str">
        <f t="shared" si="137"/>
        <v/>
      </c>
    </row>
    <row r="1445" spans="1:25" ht="14.5" x14ac:dyDescent="0.35">
      <c r="A1445" s="3"/>
      <c r="B1445" s="2"/>
      <c r="C1445" s="2"/>
      <c r="D1445" s="4"/>
      <c r="E1445" s="2"/>
      <c r="F1445" s="2"/>
      <c r="G1445" s="3" t="str">
        <f t="shared" si="132"/>
        <v/>
      </c>
      <c r="H1445" s="3"/>
      <c r="I1445" s="3"/>
      <c r="J1445" s="2"/>
      <c r="K1445" s="2"/>
      <c r="L1445" s="2"/>
      <c r="M1445" s="4"/>
      <c r="N1445" s="2"/>
      <c r="O1445" s="5" t="str">
        <f t="shared" ca="1" si="133"/>
        <v/>
      </c>
      <c r="P1445" s="6"/>
      <c r="V1445" t="str">
        <f t="shared" si="134"/>
        <v/>
      </c>
      <c r="W1445" t="str">
        <f t="shared" si="135"/>
        <v/>
      </c>
      <c r="X1445" t="str">
        <f t="shared" si="136"/>
        <v/>
      </c>
      <c r="Y1445" t="str">
        <f t="shared" si="137"/>
        <v/>
      </c>
    </row>
    <row r="1446" spans="1:25" ht="14.5" x14ac:dyDescent="0.35">
      <c r="A1446" s="3"/>
      <c r="B1446" s="2"/>
      <c r="C1446" s="2"/>
      <c r="D1446" s="4"/>
      <c r="E1446" s="2"/>
      <c r="F1446" s="2"/>
      <c r="G1446" s="3" t="str">
        <f t="shared" si="132"/>
        <v/>
      </c>
      <c r="H1446" s="3"/>
      <c r="I1446" s="3"/>
      <c r="J1446" s="2"/>
      <c r="K1446" s="2"/>
      <c r="L1446" s="2"/>
      <c r="M1446" s="4"/>
      <c r="N1446" s="2"/>
      <c r="O1446" s="5" t="str">
        <f t="shared" ca="1" si="133"/>
        <v/>
      </c>
      <c r="P1446" s="6"/>
      <c r="V1446" t="str">
        <f t="shared" si="134"/>
        <v/>
      </c>
      <c r="W1446" t="str">
        <f t="shared" si="135"/>
        <v/>
      </c>
      <c r="X1446" t="str">
        <f t="shared" si="136"/>
        <v/>
      </c>
      <c r="Y1446" t="str">
        <f t="shared" si="137"/>
        <v/>
      </c>
    </row>
    <row r="1447" spans="1:25" ht="14.5" x14ac:dyDescent="0.35">
      <c r="A1447" s="3"/>
      <c r="B1447" s="2"/>
      <c r="C1447" s="2"/>
      <c r="D1447" s="4"/>
      <c r="E1447" s="2"/>
      <c r="F1447" s="2"/>
      <c r="G1447" s="3" t="str">
        <f t="shared" si="132"/>
        <v/>
      </c>
      <c r="H1447" s="3"/>
      <c r="I1447" s="3"/>
      <c r="J1447" s="2"/>
      <c r="K1447" s="2"/>
      <c r="L1447" s="2"/>
      <c r="M1447" s="4"/>
      <c r="N1447" s="2"/>
      <c r="O1447" s="5" t="str">
        <f t="shared" ca="1" si="133"/>
        <v/>
      </c>
      <c r="P1447" s="6"/>
      <c r="V1447" t="str">
        <f t="shared" si="134"/>
        <v/>
      </c>
      <c r="W1447" t="str">
        <f t="shared" si="135"/>
        <v/>
      </c>
      <c r="X1447" t="str">
        <f t="shared" si="136"/>
        <v/>
      </c>
      <c r="Y1447" t="str">
        <f t="shared" si="137"/>
        <v/>
      </c>
    </row>
    <row r="1448" spans="1:25" ht="14.5" x14ac:dyDescent="0.35">
      <c r="A1448" s="3"/>
      <c r="B1448" s="2"/>
      <c r="C1448" s="2"/>
      <c r="D1448" s="4"/>
      <c r="E1448" s="2"/>
      <c r="F1448" s="2"/>
      <c r="G1448" s="3" t="str">
        <f t="shared" si="132"/>
        <v/>
      </c>
      <c r="H1448" s="3"/>
      <c r="I1448" s="3"/>
      <c r="J1448" s="2"/>
      <c r="K1448" s="2"/>
      <c r="L1448" s="2"/>
      <c r="M1448" s="4"/>
      <c r="N1448" s="2"/>
      <c r="O1448" s="5" t="str">
        <f t="shared" ca="1" si="133"/>
        <v/>
      </c>
      <c r="P1448" s="6"/>
      <c r="V1448" t="str">
        <f t="shared" si="134"/>
        <v/>
      </c>
      <c r="W1448" t="str">
        <f t="shared" si="135"/>
        <v/>
      </c>
      <c r="X1448" t="str">
        <f t="shared" si="136"/>
        <v/>
      </c>
      <c r="Y1448" t="str">
        <f t="shared" si="137"/>
        <v/>
      </c>
    </row>
    <row r="1449" spans="1:25" ht="14.5" x14ac:dyDescent="0.35">
      <c r="A1449" s="3"/>
      <c r="B1449" s="2"/>
      <c r="C1449" s="2"/>
      <c r="D1449" s="4"/>
      <c r="E1449" s="2"/>
      <c r="F1449" s="2"/>
      <c r="G1449" s="3" t="str">
        <f t="shared" si="132"/>
        <v/>
      </c>
      <c r="H1449" s="3"/>
      <c r="I1449" s="3"/>
      <c r="J1449" s="2"/>
      <c r="K1449" s="2"/>
      <c r="L1449" s="2"/>
      <c r="M1449" s="4"/>
      <c r="N1449" s="2"/>
      <c r="O1449" s="5" t="str">
        <f t="shared" ca="1" si="133"/>
        <v/>
      </c>
      <c r="P1449" s="6"/>
      <c r="V1449" t="str">
        <f t="shared" si="134"/>
        <v/>
      </c>
      <c r="W1449" t="str">
        <f t="shared" si="135"/>
        <v/>
      </c>
      <c r="X1449" t="str">
        <f t="shared" si="136"/>
        <v/>
      </c>
      <c r="Y1449" t="str">
        <f t="shared" si="137"/>
        <v/>
      </c>
    </row>
    <row r="1450" spans="1:25" ht="14.5" x14ac:dyDescent="0.35">
      <c r="A1450" s="3"/>
      <c r="B1450" s="2"/>
      <c r="C1450" s="2"/>
      <c r="D1450" s="4"/>
      <c r="E1450" s="2"/>
      <c r="F1450" s="2"/>
      <c r="G1450" s="3" t="str">
        <f t="shared" si="132"/>
        <v/>
      </c>
      <c r="H1450" s="3"/>
      <c r="I1450" s="3"/>
      <c r="J1450" s="2"/>
      <c r="K1450" s="2"/>
      <c r="L1450" s="2"/>
      <c r="M1450" s="4"/>
      <c r="N1450" s="2"/>
      <c r="O1450" s="5" t="str">
        <f t="shared" ca="1" si="133"/>
        <v/>
      </c>
      <c r="P1450" s="6"/>
      <c r="V1450" t="str">
        <f t="shared" si="134"/>
        <v/>
      </c>
      <c r="W1450" t="str">
        <f t="shared" si="135"/>
        <v/>
      </c>
      <c r="X1450" t="str">
        <f t="shared" si="136"/>
        <v/>
      </c>
      <c r="Y1450" t="str">
        <f t="shared" si="137"/>
        <v/>
      </c>
    </row>
    <row r="1451" spans="1:25" ht="14.5" x14ac:dyDescent="0.35">
      <c r="A1451" s="3"/>
      <c r="B1451" s="2"/>
      <c r="C1451" s="2"/>
      <c r="D1451" s="4"/>
      <c r="E1451" s="2"/>
      <c r="F1451" s="2"/>
      <c r="G1451" s="3" t="str">
        <f t="shared" si="132"/>
        <v/>
      </c>
      <c r="H1451" s="3"/>
      <c r="I1451" s="3"/>
      <c r="J1451" s="2"/>
      <c r="K1451" s="2"/>
      <c r="L1451" s="2"/>
      <c r="M1451" s="4"/>
      <c r="N1451" s="2"/>
      <c r="O1451" s="5" t="str">
        <f t="shared" ca="1" si="133"/>
        <v/>
      </c>
      <c r="P1451" s="6"/>
      <c r="V1451" t="str">
        <f t="shared" si="134"/>
        <v/>
      </c>
      <c r="W1451" t="str">
        <f t="shared" si="135"/>
        <v/>
      </c>
      <c r="X1451" t="str">
        <f t="shared" si="136"/>
        <v/>
      </c>
      <c r="Y1451" t="str">
        <f t="shared" si="137"/>
        <v/>
      </c>
    </row>
    <row r="1452" spans="1:25" ht="14.5" x14ac:dyDescent="0.35">
      <c r="A1452" s="3"/>
      <c r="B1452" s="2"/>
      <c r="C1452" s="2"/>
      <c r="D1452" s="4"/>
      <c r="E1452" s="2"/>
      <c r="F1452" s="2"/>
      <c r="G1452" s="3" t="str">
        <f t="shared" si="132"/>
        <v/>
      </c>
      <c r="H1452" s="3"/>
      <c r="I1452" s="3"/>
      <c r="J1452" s="2"/>
      <c r="K1452" s="2"/>
      <c r="L1452" s="2"/>
      <c r="M1452" s="4"/>
      <c r="N1452" s="2"/>
      <c r="O1452" s="5" t="str">
        <f t="shared" ca="1" si="133"/>
        <v/>
      </c>
      <c r="P1452" s="6"/>
      <c r="V1452" t="str">
        <f t="shared" si="134"/>
        <v/>
      </c>
      <c r="W1452" t="str">
        <f t="shared" si="135"/>
        <v/>
      </c>
      <c r="X1452" t="str">
        <f t="shared" si="136"/>
        <v/>
      </c>
      <c r="Y1452" t="str">
        <f t="shared" si="137"/>
        <v/>
      </c>
    </row>
    <row r="1453" spans="1:25" ht="14.5" x14ac:dyDescent="0.35">
      <c r="A1453" s="3"/>
      <c r="B1453" s="2"/>
      <c r="C1453" s="2"/>
      <c r="D1453" s="4"/>
      <c r="E1453" s="2"/>
      <c r="F1453" s="2"/>
      <c r="G1453" s="3" t="str">
        <f t="shared" si="132"/>
        <v/>
      </c>
      <c r="H1453" s="3"/>
      <c r="I1453" s="3"/>
      <c r="J1453" s="2"/>
      <c r="K1453" s="2"/>
      <c r="L1453" s="2"/>
      <c r="M1453" s="4"/>
      <c r="N1453" s="2"/>
      <c r="O1453" s="5" t="str">
        <f t="shared" ca="1" si="133"/>
        <v/>
      </c>
      <c r="P1453" s="6"/>
      <c r="V1453" t="str">
        <f t="shared" si="134"/>
        <v/>
      </c>
      <c r="W1453" t="str">
        <f t="shared" si="135"/>
        <v/>
      </c>
      <c r="X1453" t="str">
        <f t="shared" si="136"/>
        <v/>
      </c>
      <c r="Y1453" t="str">
        <f t="shared" si="137"/>
        <v/>
      </c>
    </row>
    <row r="1454" spans="1:25" ht="14.5" x14ac:dyDescent="0.35">
      <c r="A1454" s="3"/>
      <c r="B1454" s="2"/>
      <c r="C1454" s="2"/>
      <c r="D1454" s="4"/>
      <c r="E1454" s="2"/>
      <c r="F1454" s="2"/>
      <c r="G1454" s="3" t="str">
        <f t="shared" si="132"/>
        <v/>
      </c>
      <c r="H1454" s="3"/>
      <c r="I1454" s="3"/>
      <c r="J1454" s="2"/>
      <c r="K1454" s="2"/>
      <c r="L1454" s="2"/>
      <c r="M1454" s="4"/>
      <c r="N1454" s="2"/>
      <c r="O1454" s="5" t="str">
        <f t="shared" ca="1" si="133"/>
        <v/>
      </c>
      <c r="P1454" s="6"/>
      <c r="V1454" t="str">
        <f t="shared" si="134"/>
        <v/>
      </c>
      <c r="W1454" t="str">
        <f t="shared" si="135"/>
        <v/>
      </c>
      <c r="X1454" t="str">
        <f t="shared" si="136"/>
        <v/>
      </c>
      <c r="Y1454" t="str">
        <f t="shared" si="137"/>
        <v/>
      </c>
    </row>
    <row r="1455" spans="1:25" ht="14.5" x14ac:dyDescent="0.35">
      <c r="A1455" s="3"/>
      <c r="B1455" s="2"/>
      <c r="C1455" s="2"/>
      <c r="D1455" s="4"/>
      <c r="E1455" s="2"/>
      <c r="F1455" s="2"/>
      <c r="G1455" s="3" t="str">
        <f t="shared" si="132"/>
        <v/>
      </c>
      <c r="H1455" s="3"/>
      <c r="I1455" s="3"/>
      <c r="J1455" s="2"/>
      <c r="K1455" s="2"/>
      <c r="L1455" s="2"/>
      <c r="M1455" s="4"/>
      <c r="N1455" s="2"/>
      <c r="O1455" s="5" t="str">
        <f t="shared" ca="1" si="133"/>
        <v/>
      </c>
      <c r="P1455" s="6"/>
      <c r="V1455" t="str">
        <f t="shared" si="134"/>
        <v/>
      </c>
      <c r="W1455" t="str">
        <f t="shared" si="135"/>
        <v/>
      </c>
      <c r="X1455" t="str">
        <f t="shared" si="136"/>
        <v/>
      </c>
      <c r="Y1455" t="str">
        <f t="shared" si="137"/>
        <v/>
      </c>
    </row>
    <row r="1456" spans="1:25" ht="14.5" x14ac:dyDescent="0.35">
      <c r="A1456" s="3"/>
      <c r="B1456" s="2"/>
      <c r="C1456" s="2"/>
      <c r="D1456" s="4"/>
      <c r="E1456" s="2"/>
      <c r="F1456" s="2"/>
      <c r="G1456" s="3" t="str">
        <f t="shared" si="132"/>
        <v/>
      </c>
      <c r="H1456" s="3"/>
      <c r="I1456" s="3"/>
      <c r="J1456" s="2"/>
      <c r="K1456" s="2"/>
      <c r="L1456" s="2"/>
      <c r="M1456" s="4"/>
      <c r="N1456" s="2"/>
      <c r="O1456" s="5" t="str">
        <f t="shared" ca="1" si="133"/>
        <v/>
      </c>
      <c r="P1456" s="6"/>
      <c r="V1456" t="str">
        <f t="shared" si="134"/>
        <v/>
      </c>
      <c r="W1456" t="str">
        <f t="shared" si="135"/>
        <v/>
      </c>
      <c r="X1456" t="str">
        <f t="shared" si="136"/>
        <v/>
      </c>
      <c r="Y1456" t="str">
        <f t="shared" si="137"/>
        <v/>
      </c>
    </row>
    <row r="1457" spans="1:25" ht="14.5" x14ac:dyDescent="0.35">
      <c r="A1457" s="3"/>
      <c r="B1457" s="2"/>
      <c r="C1457" s="2"/>
      <c r="D1457" s="4"/>
      <c r="E1457" s="2"/>
      <c r="F1457" s="2"/>
      <c r="G1457" s="3" t="str">
        <f t="shared" si="132"/>
        <v/>
      </c>
      <c r="H1457" s="3"/>
      <c r="I1457" s="3"/>
      <c r="J1457" s="2"/>
      <c r="K1457" s="2"/>
      <c r="L1457" s="2"/>
      <c r="M1457" s="4"/>
      <c r="N1457" s="2"/>
      <c r="O1457" s="5" t="str">
        <f t="shared" ca="1" si="133"/>
        <v/>
      </c>
      <c r="P1457" s="6"/>
      <c r="V1457" t="str">
        <f t="shared" si="134"/>
        <v/>
      </c>
      <c r="W1457" t="str">
        <f t="shared" si="135"/>
        <v/>
      </c>
      <c r="X1457" t="str">
        <f t="shared" si="136"/>
        <v/>
      </c>
      <c r="Y1457" t="str">
        <f t="shared" si="137"/>
        <v/>
      </c>
    </row>
    <row r="1458" spans="1:25" ht="14.5" x14ac:dyDescent="0.35">
      <c r="A1458" s="3"/>
      <c r="B1458" s="2"/>
      <c r="C1458" s="2"/>
      <c r="D1458" s="4"/>
      <c r="E1458" s="2"/>
      <c r="F1458" s="2"/>
      <c r="G1458" s="3" t="str">
        <f t="shared" si="132"/>
        <v/>
      </c>
      <c r="H1458" s="3"/>
      <c r="I1458" s="3"/>
      <c r="J1458" s="2"/>
      <c r="K1458" s="2"/>
      <c r="L1458" s="2"/>
      <c r="M1458" s="4"/>
      <c r="N1458" s="2"/>
      <c r="O1458" s="5" t="str">
        <f t="shared" ca="1" si="133"/>
        <v/>
      </c>
      <c r="P1458" s="6"/>
      <c r="V1458" t="str">
        <f t="shared" si="134"/>
        <v/>
      </c>
      <c r="W1458" t="str">
        <f t="shared" si="135"/>
        <v/>
      </c>
      <c r="X1458" t="str">
        <f t="shared" si="136"/>
        <v/>
      </c>
      <c r="Y1458" t="str">
        <f t="shared" si="137"/>
        <v/>
      </c>
    </row>
    <row r="1459" spans="1:25" ht="14.5" x14ac:dyDescent="0.35">
      <c r="A1459" s="3"/>
      <c r="B1459" s="2"/>
      <c r="C1459" s="2"/>
      <c r="D1459" s="4"/>
      <c r="E1459" s="2"/>
      <c r="F1459" s="2"/>
      <c r="G1459" s="3" t="str">
        <f t="shared" si="132"/>
        <v/>
      </c>
      <c r="H1459" s="3"/>
      <c r="I1459" s="3"/>
      <c r="J1459" s="2"/>
      <c r="K1459" s="2"/>
      <c r="L1459" s="2"/>
      <c r="M1459" s="4"/>
      <c r="N1459" s="2"/>
      <c r="O1459" s="5" t="str">
        <f t="shared" ca="1" si="133"/>
        <v/>
      </c>
      <c r="P1459" s="6"/>
      <c r="V1459" t="str">
        <f t="shared" si="134"/>
        <v/>
      </c>
      <c r="W1459" t="str">
        <f t="shared" si="135"/>
        <v/>
      </c>
      <c r="X1459" t="str">
        <f t="shared" si="136"/>
        <v/>
      </c>
      <c r="Y1459" t="str">
        <f t="shared" si="137"/>
        <v/>
      </c>
    </row>
    <row r="1460" spans="1:25" ht="14.5" x14ac:dyDescent="0.35">
      <c r="A1460" s="3"/>
      <c r="B1460" s="2"/>
      <c r="C1460" s="2"/>
      <c r="D1460" s="4"/>
      <c r="E1460" s="2"/>
      <c r="F1460" s="2"/>
      <c r="G1460" s="3" t="str">
        <f t="shared" si="132"/>
        <v/>
      </c>
      <c r="H1460" s="3"/>
      <c r="I1460" s="3"/>
      <c r="J1460" s="2"/>
      <c r="K1460" s="2"/>
      <c r="L1460" s="2"/>
      <c r="M1460" s="4"/>
      <c r="N1460" s="2"/>
      <c r="O1460" s="5" t="str">
        <f t="shared" ca="1" si="133"/>
        <v/>
      </c>
      <c r="P1460" s="6"/>
      <c r="V1460" t="str">
        <f t="shared" si="134"/>
        <v/>
      </c>
      <c r="W1460" t="str">
        <f t="shared" si="135"/>
        <v/>
      </c>
      <c r="X1460" t="str">
        <f t="shared" si="136"/>
        <v/>
      </c>
      <c r="Y1460" t="str">
        <f t="shared" si="137"/>
        <v/>
      </c>
    </row>
    <row r="1461" spans="1:25" ht="14.5" x14ac:dyDescent="0.35">
      <c r="A1461" s="3"/>
      <c r="B1461" s="2"/>
      <c r="C1461" s="2"/>
      <c r="D1461" s="4"/>
      <c r="E1461" s="2"/>
      <c r="F1461" s="2"/>
      <c r="G1461" s="3" t="str">
        <f t="shared" si="132"/>
        <v/>
      </c>
      <c r="H1461" s="3"/>
      <c r="I1461" s="3"/>
      <c r="J1461" s="2"/>
      <c r="K1461" s="2"/>
      <c r="L1461" s="2"/>
      <c r="M1461" s="4"/>
      <c r="N1461" s="2"/>
      <c r="O1461" s="5" t="str">
        <f t="shared" ca="1" si="133"/>
        <v/>
      </c>
      <c r="P1461" s="6"/>
      <c r="V1461" t="str">
        <f t="shared" si="134"/>
        <v/>
      </c>
      <c r="W1461" t="str">
        <f t="shared" si="135"/>
        <v/>
      </c>
      <c r="X1461" t="str">
        <f t="shared" si="136"/>
        <v/>
      </c>
      <c r="Y1461" t="str">
        <f t="shared" si="137"/>
        <v/>
      </c>
    </row>
    <row r="1462" spans="1:25" ht="14.5" x14ac:dyDescent="0.35">
      <c r="A1462" s="3"/>
      <c r="B1462" s="2"/>
      <c r="C1462" s="2"/>
      <c r="D1462" s="4"/>
      <c r="E1462" s="2"/>
      <c r="F1462" s="2"/>
      <c r="G1462" s="3" t="str">
        <f t="shared" si="132"/>
        <v/>
      </c>
      <c r="H1462" s="3"/>
      <c r="I1462" s="3"/>
      <c r="J1462" s="2"/>
      <c r="K1462" s="2"/>
      <c r="L1462" s="2"/>
      <c r="M1462" s="4"/>
      <c r="N1462" s="2"/>
      <c r="O1462" s="5" t="str">
        <f t="shared" ca="1" si="133"/>
        <v/>
      </c>
      <c r="P1462" s="6"/>
      <c r="V1462" t="str">
        <f t="shared" si="134"/>
        <v/>
      </c>
      <c r="W1462" t="str">
        <f t="shared" si="135"/>
        <v/>
      </c>
      <c r="X1462" t="str">
        <f t="shared" si="136"/>
        <v/>
      </c>
      <c r="Y1462" t="str">
        <f t="shared" si="137"/>
        <v/>
      </c>
    </row>
    <row r="1463" spans="1:25" ht="14.5" x14ac:dyDescent="0.35">
      <c r="A1463" s="3"/>
      <c r="B1463" s="2"/>
      <c r="C1463" s="2"/>
      <c r="D1463" s="4"/>
      <c r="E1463" s="2"/>
      <c r="F1463" s="2"/>
      <c r="G1463" s="3" t="str">
        <f t="shared" si="132"/>
        <v/>
      </c>
      <c r="H1463" s="3"/>
      <c r="I1463" s="3"/>
      <c r="J1463" s="2"/>
      <c r="K1463" s="2"/>
      <c r="L1463" s="2"/>
      <c r="M1463" s="4"/>
      <c r="N1463" s="2"/>
      <c r="O1463" s="5" t="str">
        <f t="shared" ca="1" si="133"/>
        <v/>
      </c>
      <c r="P1463" s="6"/>
      <c r="V1463" t="str">
        <f t="shared" si="134"/>
        <v/>
      </c>
      <c r="W1463" t="str">
        <f t="shared" si="135"/>
        <v/>
      </c>
      <c r="X1463" t="str">
        <f t="shared" si="136"/>
        <v/>
      </c>
      <c r="Y1463" t="str">
        <f t="shared" si="137"/>
        <v/>
      </c>
    </row>
    <row r="1464" spans="1:25" ht="14.5" x14ac:dyDescent="0.35">
      <c r="A1464" s="3"/>
      <c r="B1464" s="2"/>
      <c r="C1464" s="2"/>
      <c r="D1464" s="4"/>
      <c r="E1464" s="2"/>
      <c r="F1464" s="2"/>
      <c r="G1464" s="3" t="str">
        <f t="shared" si="132"/>
        <v/>
      </c>
      <c r="H1464" s="3"/>
      <c r="I1464" s="3"/>
      <c r="J1464" s="2"/>
      <c r="K1464" s="2"/>
      <c r="L1464" s="2"/>
      <c r="M1464" s="4"/>
      <c r="N1464" s="2"/>
      <c r="O1464" s="5" t="str">
        <f t="shared" ca="1" si="133"/>
        <v/>
      </c>
      <c r="P1464" s="6"/>
      <c r="V1464" t="str">
        <f t="shared" si="134"/>
        <v/>
      </c>
      <c r="W1464" t="str">
        <f t="shared" si="135"/>
        <v/>
      </c>
      <c r="X1464" t="str">
        <f t="shared" si="136"/>
        <v/>
      </c>
      <c r="Y1464" t="str">
        <f t="shared" si="137"/>
        <v/>
      </c>
    </row>
    <row r="1465" spans="1:25" ht="14.5" x14ac:dyDescent="0.35">
      <c r="A1465" s="3"/>
      <c r="B1465" s="2"/>
      <c r="C1465" s="2"/>
      <c r="D1465" s="4"/>
      <c r="E1465" s="2"/>
      <c r="F1465" s="2"/>
      <c r="G1465" s="3" t="str">
        <f t="shared" si="132"/>
        <v/>
      </c>
      <c r="H1465" s="3"/>
      <c r="I1465" s="3"/>
      <c r="J1465" s="2"/>
      <c r="K1465" s="2"/>
      <c r="L1465" s="2"/>
      <c r="M1465" s="4"/>
      <c r="N1465" s="2"/>
      <c r="O1465" s="5" t="str">
        <f t="shared" ca="1" si="133"/>
        <v/>
      </c>
      <c r="P1465" s="6"/>
      <c r="V1465" t="str">
        <f t="shared" si="134"/>
        <v/>
      </c>
      <c r="W1465" t="str">
        <f t="shared" si="135"/>
        <v/>
      </c>
      <c r="X1465" t="str">
        <f t="shared" si="136"/>
        <v/>
      </c>
      <c r="Y1465" t="str">
        <f t="shared" si="137"/>
        <v/>
      </c>
    </row>
    <row r="1466" spans="1:25" ht="14.5" x14ac:dyDescent="0.35">
      <c r="A1466" s="3"/>
      <c r="B1466" s="2"/>
      <c r="C1466" s="2"/>
      <c r="D1466" s="4"/>
      <c r="E1466" s="2"/>
      <c r="F1466" s="2"/>
      <c r="G1466" s="3" t="str">
        <f t="shared" si="132"/>
        <v/>
      </c>
      <c r="H1466" s="3"/>
      <c r="I1466" s="3"/>
      <c r="J1466" s="2"/>
      <c r="K1466" s="2"/>
      <c r="L1466" s="2"/>
      <c r="M1466" s="4"/>
      <c r="N1466" s="2"/>
      <c r="O1466" s="5" t="str">
        <f t="shared" ca="1" si="133"/>
        <v/>
      </c>
      <c r="P1466" s="6"/>
      <c r="V1466" t="str">
        <f t="shared" si="134"/>
        <v/>
      </c>
      <c r="W1466" t="str">
        <f t="shared" si="135"/>
        <v/>
      </c>
      <c r="X1466" t="str">
        <f t="shared" si="136"/>
        <v/>
      </c>
      <c r="Y1466" t="str">
        <f t="shared" si="137"/>
        <v/>
      </c>
    </row>
    <row r="1467" spans="1:25" ht="14.5" x14ac:dyDescent="0.35">
      <c r="A1467" s="3"/>
      <c r="B1467" s="2"/>
      <c r="C1467" s="2"/>
      <c r="D1467" s="4"/>
      <c r="E1467" s="2"/>
      <c r="F1467" s="2"/>
      <c r="G1467" s="3" t="str">
        <f t="shared" si="132"/>
        <v/>
      </c>
      <c r="H1467" s="3"/>
      <c r="I1467" s="3"/>
      <c r="J1467" s="2"/>
      <c r="K1467" s="2"/>
      <c r="L1467" s="2"/>
      <c r="M1467" s="4"/>
      <c r="N1467" s="2"/>
      <c r="O1467" s="5" t="str">
        <f t="shared" ca="1" si="133"/>
        <v/>
      </c>
      <c r="P1467" s="6"/>
      <c r="V1467" t="str">
        <f t="shared" si="134"/>
        <v/>
      </c>
      <c r="W1467" t="str">
        <f t="shared" si="135"/>
        <v/>
      </c>
      <c r="X1467" t="str">
        <f t="shared" si="136"/>
        <v/>
      </c>
      <c r="Y1467" t="str">
        <f t="shared" si="137"/>
        <v/>
      </c>
    </row>
    <row r="1468" spans="1:25" ht="14.5" x14ac:dyDescent="0.35">
      <c r="A1468" s="3"/>
      <c r="B1468" s="2"/>
      <c r="C1468" s="2"/>
      <c r="D1468" s="4"/>
      <c r="E1468" s="2"/>
      <c r="F1468" s="2"/>
      <c r="G1468" s="3" t="str">
        <f t="shared" si="132"/>
        <v/>
      </c>
      <c r="H1468" s="3"/>
      <c r="I1468" s="3"/>
      <c r="J1468" s="2"/>
      <c r="K1468" s="2"/>
      <c r="L1468" s="2"/>
      <c r="M1468" s="4"/>
      <c r="N1468" s="2"/>
      <c r="O1468" s="5" t="str">
        <f t="shared" ca="1" si="133"/>
        <v/>
      </c>
      <c r="P1468" s="6"/>
      <c r="V1468" t="str">
        <f t="shared" si="134"/>
        <v/>
      </c>
      <c r="W1468" t="str">
        <f t="shared" si="135"/>
        <v/>
      </c>
      <c r="X1468" t="str">
        <f t="shared" si="136"/>
        <v/>
      </c>
      <c r="Y1468" t="str">
        <f t="shared" si="137"/>
        <v/>
      </c>
    </row>
    <row r="1469" spans="1:25" ht="14.5" x14ac:dyDescent="0.35">
      <c r="A1469" s="3"/>
      <c r="B1469" s="2"/>
      <c r="C1469" s="2"/>
      <c r="D1469" s="4"/>
      <c r="E1469" s="2"/>
      <c r="F1469" s="2"/>
      <c r="G1469" s="3" t="str">
        <f t="shared" si="132"/>
        <v/>
      </c>
      <c r="H1469" s="3"/>
      <c r="I1469" s="3"/>
      <c r="J1469" s="2"/>
      <c r="K1469" s="2"/>
      <c r="L1469" s="2"/>
      <c r="M1469" s="4"/>
      <c r="N1469" s="2"/>
      <c r="O1469" s="5" t="str">
        <f t="shared" ca="1" si="133"/>
        <v/>
      </c>
      <c r="P1469" s="6"/>
      <c r="V1469" t="str">
        <f t="shared" si="134"/>
        <v/>
      </c>
      <c r="W1469" t="str">
        <f t="shared" si="135"/>
        <v/>
      </c>
      <c r="X1469" t="str">
        <f t="shared" si="136"/>
        <v/>
      </c>
      <c r="Y1469" t="str">
        <f t="shared" si="137"/>
        <v/>
      </c>
    </row>
    <row r="1470" spans="1:25" ht="14.5" x14ac:dyDescent="0.35">
      <c r="A1470" s="3"/>
      <c r="B1470" s="2"/>
      <c r="C1470" s="2"/>
      <c r="D1470" s="4"/>
      <c r="E1470" s="2"/>
      <c r="F1470" s="2"/>
      <c r="G1470" s="3" t="str">
        <f t="shared" si="132"/>
        <v/>
      </c>
      <c r="H1470" s="3"/>
      <c r="I1470" s="3"/>
      <c r="J1470" s="2"/>
      <c r="K1470" s="2"/>
      <c r="L1470" s="2"/>
      <c r="M1470" s="4"/>
      <c r="N1470" s="2"/>
      <c r="O1470" s="5" t="str">
        <f t="shared" ca="1" si="133"/>
        <v/>
      </c>
      <c r="P1470" s="6"/>
      <c r="V1470" t="str">
        <f t="shared" si="134"/>
        <v/>
      </c>
      <c r="W1470" t="str">
        <f t="shared" si="135"/>
        <v/>
      </c>
      <c r="X1470" t="str">
        <f t="shared" si="136"/>
        <v/>
      </c>
      <c r="Y1470" t="str">
        <f t="shared" si="137"/>
        <v/>
      </c>
    </row>
    <row r="1471" spans="1:25" ht="14.5" x14ac:dyDescent="0.35">
      <c r="A1471" s="3"/>
      <c r="B1471" s="2"/>
      <c r="C1471" s="2"/>
      <c r="D1471" s="4"/>
      <c r="E1471" s="2"/>
      <c r="F1471" s="2"/>
      <c r="G1471" s="3" t="str">
        <f t="shared" si="132"/>
        <v/>
      </c>
      <c r="H1471" s="3"/>
      <c r="I1471" s="3"/>
      <c r="J1471" s="2"/>
      <c r="K1471" s="2"/>
      <c r="L1471" s="2"/>
      <c r="M1471" s="4"/>
      <c r="N1471" s="2"/>
      <c r="O1471" s="5" t="str">
        <f t="shared" ca="1" si="133"/>
        <v/>
      </c>
      <c r="P1471" s="6"/>
      <c r="V1471" t="str">
        <f t="shared" si="134"/>
        <v/>
      </c>
      <c r="W1471" t="str">
        <f t="shared" si="135"/>
        <v/>
      </c>
      <c r="X1471" t="str">
        <f t="shared" si="136"/>
        <v/>
      </c>
      <c r="Y1471" t="str">
        <f t="shared" si="137"/>
        <v/>
      </c>
    </row>
    <row r="1472" spans="1:25" ht="14.5" x14ac:dyDescent="0.35">
      <c r="A1472" s="3"/>
      <c r="B1472" s="2"/>
      <c r="C1472" s="2"/>
      <c r="D1472" s="4"/>
      <c r="E1472" s="2"/>
      <c r="F1472" s="2"/>
      <c r="G1472" s="3" t="str">
        <f t="shared" si="132"/>
        <v/>
      </c>
      <c r="H1472" s="3"/>
      <c r="I1472" s="3"/>
      <c r="J1472" s="2"/>
      <c r="K1472" s="2"/>
      <c r="L1472" s="2"/>
      <c r="M1472" s="4"/>
      <c r="N1472" s="2"/>
      <c r="O1472" s="5" t="str">
        <f t="shared" ca="1" si="133"/>
        <v/>
      </c>
      <c r="P1472" s="6"/>
      <c r="V1472" t="str">
        <f t="shared" si="134"/>
        <v/>
      </c>
      <c r="W1472" t="str">
        <f t="shared" si="135"/>
        <v/>
      </c>
      <c r="X1472" t="str">
        <f t="shared" si="136"/>
        <v/>
      </c>
      <c r="Y1472" t="str">
        <f t="shared" si="137"/>
        <v/>
      </c>
    </row>
    <row r="1473" spans="1:25" ht="14.5" x14ac:dyDescent="0.35">
      <c r="A1473" s="3"/>
      <c r="B1473" s="2"/>
      <c r="C1473" s="2"/>
      <c r="D1473" s="4"/>
      <c r="E1473" s="2"/>
      <c r="F1473" s="2"/>
      <c r="G1473" s="3" t="str">
        <f t="shared" si="132"/>
        <v/>
      </c>
      <c r="H1473" s="3"/>
      <c r="I1473" s="3"/>
      <c r="J1473" s="2"/>
      <c r="K1473" s="2"/>
      <c r="L1473" s="2"/>
      <c r="M1473" s="4"/>
      <c r="N1473" s="2"/>
      <c r="O1473" s="5" t="str">
        <f t="shared" ca="1" si="133"/>
        <v/>
      </c>
      <c r="P1473" s="6"/>
      <c r="V1473" t="str">
        <f t="shared" si="134"/>
        <v/>
      </c>
      <c r="W1473" t="str">
        <f t="shared" si="135"/>
        <v/>
      </c>
      <c r="X1473" t="str">
        <f t="shared" si="136"/>
        <v/>
      </c>
      <c r="Y1473" t="str">
        <f t="shared" si="137"/>
        <v/>
      </c>
    </row>
    <row r="1474" spans="1:25" ht="14.5" x14ac:dyDescent="0.35">
      <c r="A1474" s="3"/>
      <c r="B1474" s="2"/>
      <c r="C1474" s="2"/>
      <c r="D1474" s="4"/>
      <c r="E1474" s="2"/>
      <c r="F1474" s="2"/>
      <c r="G1474" s="3" t="str">
        <f t="shared" ref="G1474:G1500" si="138">IF(COUNTIF($A$2:$A$1500,A1474&amp;".*")=0,"",COUNTIF($A$2:$A$1500,A1474&amp;".*"))</f>
        <v/>
      </c>
      <c r="H1474" s="3"/>
      <c r="I1474" s="3"/>
      <c r="J1474" s="2"/>
      <c r="K1474" s="2"/>
      <c r="L1474" s="2"/>
      <c r="M1474" s="4"/>
      <c r="N1474" s="2"/>
      <c r="O1474" s="5" t="str">
        <f t="shared" ref="O1474:O1500" ca="1" si="139">IF(M1474="","",INT(M1474)-TODAY())</f>
        <v/>
      </c>
      <c r="P1474" s="6"/>
      <c r="V1474" t="str">
        <f t="shared" ref="V1474:V1500" si="140">IF(M1474="","",M1474+Q1474/1000000)</f>
        <v/>
      </c>
      <c r="W1474" t="str">
        <f t="shared" ref="W1474:W1500" si="141">IF(U1474="","",IF(M1474="",9999999+Q1474/1000000,M1474+Q1474/1000000))</f>
        <v/>
      </c>
      <c r="X1474" t="str">
        <f t="shared" ref="X1474:X1537" si="142">IF(U1474="","",SUMPRODUCT(($U$2:$U$1500=U1474)*($W$2:$W$1500&lt;=W1474)))</f>
        <v/>
      </c>
      <c r="Y1474" t="str">
        <f t="shared" ref="Y1474:Y1537" si="143">IF(U1474="","",U1474&amp;"|"&amp;X1474)</f>
        <v/>
      </c>
    </row>
    <row r="1475" spans="1:25" ht="14.5" x14ac:dyDescent="0.35">
      <c r="A1475" s="3"/>
      <c r="B1475" s="2"/>
      <c r="C1475" s="2"/>
      <c r="D1475" s="4"/>
      <c r="E1475" s="2"/>
      <c r="F1475" s="2"/>
      <c r="G1475" s="3" t="str">
        <f t="shared" si="138"/>
        <v/>
      </c>
      <c r="H1475" s="3"/>
      <c r="I1475" s="3"/>
      <c r="J1475" s="2"/>
      <c r="K1475" s="2"/>
      <c r="L1475" s="2"/>
      <c r="M1475" s="4"/>
      <c r="N1475" s="2"/>
      <c r="O1475" s="5" t="str">
        <f t="shared" ca="1" si="139"/>
        <v/>
      </c>
      <c r="P1475" s="6"/>
      <c r="V1475" t="str">
        <f t="shared" si="140"/>
        <v/>
      </c>
      <c r="W1475" t="str">
        <f t="shared" si="141"/>
        <v/>
      </c>
      <c r="X1475" t="str">
        <f t="shared" si="142"/>
        <v/>
      </c>
      <c r="Y1475" t="str">
        <f t="shared" si="143"/>
        <v/>
      </c>
    </row>
    <row r="1476" spans="1:25" ht="14.5" x14ac:dyDescent="0.35">
      <c r="A1476" s="3"/>
      <c r="B1476" s="2"/>
      <c r="C1476" s="2"/>
      <c r="D1476" s="4"/>
      <c r="E1476" s="2"/>
      <c r="F1476" s="2"/>
      <c r="G1476" s="3" t="str">
        <f t="shared" si="138"/>
        <v/>
      </c>
      <c r="H1476" s="3"/>
      <c r="I1476" s="3"/>
      <c r="J1476" s="2"/>
      <c r="K1476" s="2"/>
      <c r="L1476" s="2"/>
      <c r="M1476" s="4"/>
      <c r="N1476" s="2"/>
      <c r="O1476" s="5" t="str">
        <f t="shared" ca="1" si="139"/>
        <v/>
      </c>
      <c r="P1476" s="6"/>
      <c r="V1476" t="str">
        <f t="shared" si="140"/>
        <v/>
      </c>
      <c r="W1476" t="str">
        <f t="shared" si="141"/>
        <v/>
      </c>
      <c r="X1476" t="str">
        <f t="shared" si="142"/>
        <v/>
      </c>
      <c r="Y1476" t="str">
        <f t="shared" si="143"/>
        <v/>
      </c>
    </row>
    <row r="1477" spans="1:25" ht="14.5" x14ac:dyDescent="0.35">
      <c r="A1477" s="3"/>
      <c r="B1477" s="2"/>
      <c r="C1477" s="2"/>
      <c r="D1477" s="4"/>
      <c r="E1477" s="2"/>
      <c r="F1477" s="2"/>
      <c r="G1477" s="3" t="str">
        <f t="shared" si="138"/>
        <v/>
      </c>
      <c r="H1477" s="3"/>
      <c r="I1477" s="3"/>
      <c r="J1477" s="2"/>
      <c r="K1477" s="2"/>
      <c r="L1477" s="2"/>
      <c r="M1477" s="4"/>
      <c r="N1477" s="2"/>
      <c r="O1477" s="5" t="str">
        <f t="shared" ca="1" si="139"/>
        <v/>
      </c>
      <c r="P1477" s="6"/>
      <c r="V1477" t="str">
        <f t="shared" si="140"/>
        <v/>
      </c>
      <c r="W1477" t="str">
        <f t="shared" si="141"/>
        <v/>
      </c>
      <c r="X1477" t="str">
        <f t="shared" si="142"/>
        <v/>
      </c>
      <c r="Y1477" t="str">
        <f t="shared" si="143"/>
        <v/>
      </c>
    </row>
    <row r="1478" spans="1:25" ht="14.5" x14ac:dyDescent="0.35">
      <c r="A1478" s="3"/>
      <c r="B1478" s="2"/>
      <c r="C1478" s="2"/>
      <c r="D1478" s="4"/>
      <c r="E1478" s="2"/>
      <c r="F1478" s="2"/>
      <c r="G1478" s="3" t="str">
        <f t="shared" si="138"/>
        <v/>
      </c>
      <c r="H1478" s="3"/>
      <c r="I1478" s="3"/>
      <c r="J1478" s="2"/>
      <c r="K1478" s="2"/>
      <c r="L1478" s="2"/>
      <c r="M1478" s="4"/>
      <c r="N1478" s="2"/>
      <c r="O1478" s="5" t="str">
        <f t="shared" ca="1" si="139"/>
        <v/>
      </c>
      <c r="P1478" s="6"/>
      <c r="V1478" t="str">
        <f t="shared" si="140"/>
        <v/>
      </c>
      <c r="W1478" t="str">
        <f t="shared" si="141"/>
        <v/>
      </c>
      <c r="X1478" t="str">
        <f t="shared" si="142"/>
        <v/>
      </c>
      <c r="Y1478" t="str">
        <f t="shared" si="143"/>
        <v/>
      </c>
    </row>
    <row r="1479" spans="1:25" ht="14.5" x14ac:dyDescent="0.35">
      <c r="A1479" s="3"/>
      <c r="B1479" s="2"/>
      <c r="C1479" s="2"/>
      <c r="D1479" s="4"/>
      <c r="E1479" s="2"/>
      <c r="F1479" s="2"/>
      <c r="G1479" s="3" t="str">
        <f t="shared" si="138"/>
        <v/>
      </c>
      <c r="H1479" s="3"/>
      <c r="I1479" s="3"/>
      <c r="J1479" s="2"/>
      <c r="K1479" s="2"/>
      <c r="L1479" s="2"/>
      <c r="M1479" s="4"/>
      <c r="N1479" s="2"/>
      <c r="O1479" s="5" t="str">
        <f t="shared" ca="1" si="139"/>
        <v/>
      </c>
      <c r="P1479" s="6"/>
      <c r="V1479" t="str">
        <f t="shared" si="140"/>
        <v/>
      </c>
      <c r="W1479" t="str">
        <f t="shared" si="141"/>
        <v/>
      </c>
      <c r="X1479" t="str">
        <f t="shared" si="142"/>
        <v/>
      </c>
      <c r="Y1479" t="str">
        <f t="shared" si="143"/>
        <v/>
      </c>
    </row>
    <row r="1480" spans="1:25" ht="14.5" x14ac:dyDescent="0.35">
      <c r="A1480" s="3"/>
      <c r="B1480" s="2"/>
      <c r="C1480" s="2"/>
      <c r="D1480" s="4"/>
      <c r="E1480" s="2"/>
      <c r="F1480" s="2"/>
      <c r="G1480" s="3" t="str">
        <f t="shared" si="138"/>
        <v/>
      </c>
      <c r="H1480" s="3"/>
      <c r="I1480" s="3"/>
      <c r="J1480" s="2"/>
      <c r="K1480" s="2"/>
      <c r="L1480" s="2"/>
      <c r="M1480" s="4"/>
      <c r="N1480" s="2"/>
      <c r="O1480" s="5" t="str">
        <f t="shared" ca="1" si="139"/>
        <v/>
      </c>
      <c r="P1480" s="6"/>
      <c r="V1480" t="str">
        <f t="shared" si="140"/>
        <v/>
      </c>
      <c r="W1480" t="str">
        <f t="shared" si="141"/>
        <v/>
      </c>
      <c r="X1480" t="str">
        <f t="shared" si="142"/>
        <v/>
      </c>
      <c r="Y1480" t="str">
        <f t="shared" si="143"/>
        <v/>
      </c>
    </row>
    <row r="1481" spans="1:25" ht="14.5" x14ac:dyDescent="0.35">
      <c r="A1481" s="3"/>
      <c r="B1481" s="2"/>
      <c r="C1481" s="2"/>
      <c r="D1481" s="4"/>
      <c r="E1481" s="2"/>
      <c r="F1481" s="2"/>
      <c r="G1481" s="3" t="str">
        <f t="shared" si="138"/>
        <v/>
      </c>
      <c r="H1481" s="3"/>
      <c r="I1481" s="3"/>
      <c r="J1481" s="2"/>
      <c r="K1481" s="2"/>
      <c r="L1481" s="2"/>
      <c r="M1481" s="4"/>
      <c r="N1481" s="2"/>
      <c r="O1481" s="5" t="str">
        <f t="shared" ca="1" si="139"/>
        <v/>
      </c>
      <c r="P1481" s="6"/>
      <c r="V1481" t="str">
        <f t="shared" si="140"/>
        <v/>
      </c>
      <c r="W1481" t="str">
        <f t="shared" si="141"/>
        <v/>
      </c>
      <c r="X1481" t="str">
        <f t="shared" si="142"/>
        <v/>
      </c>
      <c r="Y1481" t="str">
        <f t="shared" si="143"/>
        <v/>
      </c>
    </row>
    <row r="1482" spans="1:25" ht="14.5" x14ac:dyDescent="0.35">
      <c r="A1482" s="3"/>
      <c r="B1482" s="2"/>
      <c r="C1482" s="2"/>
      <c r="D1482" s="4"/>
      <c r="E1482" s="2"/>
      <c r="F1482" s="2"/>
      <c r="G1482" s="3" t="str">
        <f t="shared" si="138"/>
        <v/>
      </c>
      <c r="H1482" s="3"/>
      <c r="I1482" s="3"/>
      <c r="J1482" s="2"/>
      <c r="K1482" s="2"/>
      <c r="L1482" s="2"/>
      <c r="M1482" s="4"/>
      <c r="N1482" s="2"/>
      <c r="O1482" s="5" t="str">
        <f t="shared" ca="1" si="139"/>
        <v/>
      </c>
      <c r="P1482" s="6"/>
      <c r="V1482" t="str">
        <f t="shared" si="140"/>
        <v/>
      </c>
      <c r="W1482" t="str">
        <f t="shared" si="141"/>
        <v/>
      </c>
      <c r="X1482" t="str">
        <f t="shared" si="142"/>
        <v/>
      </c>
      <c r="Y1482" t="str">
        <f t="shared" si="143"/>
        <v/>
      </c>
    </row>
    <row r="1483" spans="1:25" ht="14.5" x14ac:dyDescent="0.35">
      <c r="A1483" s="3"/>
      <c r="B1483" s="2"/>
      <c r="C1483" s="2"/>
      <c r="D1483" s="4"/>
      <c r="E1483" s="2"/>
      <c r="F1483" s="2"/>
      <c r="G1483" s="3" t="str">
        <f t="shared" si="138"/>
        <v/>
      </c>
      <c r="H1483" s="3"/>
      <c r="I1483" s="3"/>
      <c r="J1483" s="2"/>
      <c r="K1483" s="2"/>
      <c r="L1483" s="2"/>
      <c r="M1483" s="4"/>
      <c r="N1483" s="2"/>
      <c r="O1483" s="5" t="str">
        <f t="shared" ca="1" si="139"/>
        <v/>
      </c>
      <c r="P1483" s="6"/>
      <c r="V1483" t="str">
        <f t="shared" si="140"/>
        <v/>
      </c>
      <c r="W1483" t="str">
        <f t="shared" si="141"/>
        <v/>
      </c>
      <c r="X1483" t="str">
        <f t="shared" si="142"/>
        <v/>
      </c>
      <c r="Y1483" t="str">
        <f t="shared" si="143"/>
        <v/>
      </c>
    </row>
    <row r="1484" spans="1:25" ht="14.5" x14ac:dyDescent="0.35">
      <c r="A1484" s="3"/>
      <c r="B1484" s="2"/>
      <c r="C1484" s="2"/>
      <c r="D1484" s="4"/>
      <c r="E1484" s="2"/>
      <c r="F1484" s="2"/>
      <c r="G1484" s="3" t="str">
        <f t="shared" si="138"/>
        <v/>
      </c>
      <c r="H1484" s="3"/>
      <c r="I1484" s="3"/>
      <c r="J1484" s="2"/>
      <c r="K1484" s="2"/>
      <c r="L1484" s="2"/>
      <c r="M1484" s="4"/>
      <c r="N1484" s="2"/>
      <c r="O1484" s="5" t="str">
        <f t="shared" ca="1" si="139"/>
        <v/>
      </c>
      <c r="P1484" s="6"/>
      <c r="V1484" t="str">
        <f t="shared" si="140"/>
        <v/>
      </c>
      <c r="W1484" t="str">
        <f t="shared" si="141"/>
        <v/>
      </c>
      <c r="X1484" t="str">
        <f t="shared" si="142"/>
        <v/>
      </c>
      <c r="Y1484" t="str">
        <f t="shared" si="143"/>
        <v/>
      </c>
    </row>
    <row r="1485" spans="1:25" ht="14.5" x14ac:dyDescent="0.35">
      <c r="A1485" s="3"/>
      <c r="B1485" s="2"/>
      <c r="C1485" s="2"/>
      <c r="D1485" s="4"/>
      <c r="E1485" s="2"/>
      <c r="F1485" s="2"/>
      <c r="G1485" s="3" t="str">
        <f t="shared" si="138"/>
        <v/>
      </c>
      <c r="H1485" s="3"/>
      <c r="I1485" s="3"/>
      <c r="J1485" s="2"/>
      <c r="K1485" s="2"/>
      <c r="L1485" s="2"/>
      <c r="M1485" s="4"/>
      <c r="N1485" s="2"/>
      <c r="O1485" s="5" t="str">
        <f t="shared" ca="1" si="139"/>
        <v/>
      </c>
      <c r="P1485" s="6"/>
      <c r="V1485" t="str">
        <f t="shared" si="140"/>
        <v/>
      </c>
      <c r="W1485" t="str">
        <f t="shared" si="141"/>
        <v/>
      </c>
      <c r="X1485" t="str">
        <f t="shared" si="142"/>
        <v/>
      </c>
      <c r="Y1485" t="str">
        <f t="shared" si="143"/>
        <v/>
      </c>
    </row>
    <row r="1486" spans="1:25" ht="14.5" x14ac:dyDescent="0.35">
      <c r="A1486" s="3"/>
      <c r="B1486" s="2"/>
      <c r="C1486" s="2"/>
      <c r="D1486" s="4"/>
      <c r="E1486" s="2"/>
      <c r="F1486" s="2"/>
      <c r="G1486" s="3" t="str">
        <f t="shared" si="138"/>
        <v/>
      </c>
      <c r="H1486" s="3"/>
      <c r="I1486" s="3"/>
      <c r="J1486" s="2"/>
      <c r="K1486" s="2"/>
      <c r="L1486" s="2"/>
      <c r="M1486" s="4"/>
      <c r="N1486" s="2"/>
      <c r="O1486" s="5" t="str">
        <f t="shared" ca="1" si="139"/>
        <v/>
      </c>
      <c r="P1486" s="6"/>
      <c r="V1486" t="str">
        <f t="shared" si="140"/>
        <v/>
      </c>
      <c r="W1486" t="str">
        <f t="shared" si="141"/>
        <v/>
      </c>
      <c r="X1486" t="str">
        <f t="shared" si="142"/>
        <v/>
      </c>
      <c r="Y1486" t="str">
        <f t="shared" si="143"/>
        <v/>
      </c>
    </row>
    <row r="1487" spans="1:25" ht="14.5" x14ac:dyDescent="0.35">
      <c r="A1487" s="3"/>
      <c r="B1487" s="2"/>
      <c r="C1487" s="2"/>
      <c r="D1487" s="4"/>
      <c r="E1487" s="2"/>
      <c r="F1487" s="2"/>
      <c r="G1487" s="3" t="str">
        <f t="shared" si="138"/>
        <v/>
      </c>
      <c r="H1487" s="3"/>
      <c r="I1487" s="3"/>
      <c r="J1487" s="2"/>
      <c r="K1487" s="2"/>
      <c r="L1487" s="2"/>
      <c r="M1487" s="4"/>
      <c r="N1487" s="2"/>
      <c r="O1487" s="5" t="str">
        <f t="shared" ca="1" si="139"/>
        <v/>
      </c>
      <c r="P1487" s="6"/>
      <c r="V1487" t="str">
        <f t="shared" si="140"/>
        <v/>
      </c>
      <c r="W1487" t="str">
        <f t="shared" si="141"/>
        <v/>
      </c>
      <c r="X1487" t="str">
        <f t="shared" si="142"/>
        <v/>
      </c>
      <c r="Y1487" t="str">
        <f t="shared" si="143"/>
        <v/>
      </c>
    </row>
    <row r="1488" spans="1:25" ht="14.5" x14ac:dyDescent="0.35">
      <c r="A1488" s="3"/>
      <c r="B1488" s="2"/>
      <c r="C1488" s="2"/>
      <c r="D1488" s="4"/>
      <c r="E1488" s="2"/>
      <c r="F1488" s="2"/>
      <c r="G1488" s="3" t="str">
        <f t="shared" si="138"/>
        <v/>
      </c>
      <c r="H1488" s="3"/>
      <c r="I1488" s="3"/>
      <c r="J1488" s="2"/>
      <c r="K1488" s="2"/>
      <c r="L1488" s="2"/>
      <c r="M1488" s="4"/>
      <c r="N1488" s="2"/>
      <c r="O1488" s="5" t="str">
        <f t="shared" ca="1" si="139"/>
        <v/>
      </c>
      <c r="P1488" s="6"/>
      <c r="V1488" t="str">
        <f t="shared" si="140"/>
        <v/>
      </c>
      <c r="W1488" t="str">
        <f t="shared" si="141"/>
        <v/>
      </c>
      <c r="X1488" t="str">
        <f t="shared" si="142"/>
        <v/>
      </c>
      <c r="Y1488" t="str">
        <f t="shared" si="143"/>
        <v/>
      </c>
    </row>
    <row r="1489" spans="1:25" ht="14.5" x14ac:dyDescent="0.35">
      <c r="A1489" s="3"/>
      <c r="B1489" s="2"/>
      <c r="C1489" s="2"/>
      <c r="D1489" s="4"/>
      <c r="E1489" s="2"/>
      <c r="F1489" s="2"/>
      <c r="G1489" s="3" t="str">
        <f t="shared" si="138"/>
        <v/>
      </c>
      <c r="H1489" s="3"/>
      <c r="I1489" s="3"/>
      <c r="J1489" s="2"/>
      <c r="K1489" s="2"/>
      <c r="L1489" s="2"/>
      <c r="M1489" s="4"/>
      <c r="N1489" s="2"/>
      <c r="O1489" s="5" t="str">
        <f t="shared" ca="1" si="139"/>
        <v/>
      </c>
      <c r="P1489" s="6"/>
      <c r="V1489" t="str">
        <f t="shared" si="140"/>
        <v/>
      </c>
      <c r="W1489" t="str">
        <f t="shared" si="141"/>
        <v/>
      </c>
      <c r="X1489" t="str">
        <f t="shared" si="142"/>
        <v/>
      </c>
      <c r="Y1489" t="str">
        <f t="shared" si="143"/>
        <v/>
      </c>
    </row>
    <row r="1490" spans="1:25" ht="14.5" x14ac:dyDescent="0.35">
      <c r="A1490" s="3"/>
      <c r="B1490" s="2"/>
      <c r="C1490" s="2"/>
      <c r="D1490" s="4"/>
      <c r="E1490" s="2"/>
      <c r="F1490" s="2"/>
      <c r="G1490" s="3" t="str">
        <f t="shared" si="138"/>
        <v/>
      </c>
      <c r="H1490" s="3"/>
      <c r="I1490" s="3"/>
      <c r="J1490" s="2"/>
      <c r="K1490" s="2"/>
      <c r="L1490" s="2"/>
      <c r="M1490" s="4"/>
      <c r="N1490" s="2"/>
      <c r="O1490" s="5" t="str">
        <f t="shared" ca="1" si="139"/>
        <v/>
      </c>
      <c r="P1490" s="6"/>
      <c r="V1490" t="str">
        <f t="shared" si="140"/>
        <v/>
      </c>
      <c r="W1490" t="str">
        <f t="shared" si="141"/>
        <v/>
      </c>
      <c r="X1490" t="str">
        <f t="shared" si="142"/>
        <v/>
      </c>
      <c r="Y1490" t="str">
        <f t="shared" si="143"/>
        <v/>
      </c>
    </row>
    <row r="1491" spans="1:25" ht="14.5" x14ac:dyDescent="0.35">
      <c r="A1491" s="3"/>
      <c r="B1491" s="2"/>
      <c r="C1491" s="2"/>
      <c r="D1491" s="4"/>
      <c r="E1491" s="2"/>
      <c r="F1491" s="2"/>
      <c r="G1491" s="3" t="str">
        <f t="shared" si="138"/>
        <v/>
      </c>
      <c r="H1491" s="3"/>
      <c r="I1491" s="3"/>
      <c r="J1491" s="2"/>
      <c r="K1491" s="2"/>
      <c r="L1491" s="2"/>
      <c r="M1491" s="4"/>
      <c r="N1491" s="2"/>
      <c r="O1491" s="5" t="str">
        <f t="shared" ca="1" si="139"/>
        <v/>
      </c>
      <c r="P1491" s="6"/>
      <c r="V1491" t="str">
        <f t="shared" si="140"/>
        <v/>
      </c>
      <c r="W1491" t="str">
        <f t="shared" si="141"/>
        <v/>
      </c>
      <c r="X1491" t="str">
        <f t="shared" si="142"/>
        <v/>
      </c>
      <c r="Y1491" t="str">
        <f t="shared" si="143"/>
        <v/>
      </c>
    </row>
    <row r="1492" spans="1:25" ht="14.5" x14ac:dyDescent="0.35">
      <c r="A1492" s="3"/>
      <c r="B1492" s="2"/>
      <c r="C1492" s="2"/>
      <c r="D1492" s="4"/>
      <c r="E1492" s="2"/>
      <c r="F1492" s="2"/>
      <c r="G1492" s="3" t="str">
        <f t="shared" si="138"/>
        <v/>
      </c>
      <c r="H1492" s="3"/>
      <c r="I1492" s="3"/>
      <c r="J1492" s="2"/>
      <c r="K1492" s="2"/>
      <c r="L1492" s="2"/>
      <c r="M1492" s="4"/>
      <c r="N1492" s="2"/>
      <c r="O1492" s="5" t="str">
        <f t="shared" ca="1" si="139"/>
        <v/>
      </c>
      <c r="P1492" s="6"/>
      <c r="V1492" t="str">
        <f t="shared" si="140"/>
        <v/>
      </c>
      <c r="W1492" t="str">
        <f t="shared" si="141"/>
        <v/>
      </c>
      <c r="X1492" t="str">
        <f t="shared" si="142"/>
        <v/>
      </c>
      <c r="Y1492" t="str">
        <f t="shared" si="143"/>
        <v/>
      </c>
    </row>
    <row r="1493" spans="1:25" ht="14.5" x14ac:dyDescent="0.35">
      <c r="A1493" s="3"/>
      <c r="B1493" s="2"/>
      <c r="C1493" s="2"/>
      <c r="D1493" s="4"/>
      <c r="E1493" s="2"/>
      <c r="F1493" s="2"/>
      <c r="G1493" s="3" t="str">
        <f t="shared" si="138"/>
        <v/>
      </c>
      <c r="H1493" s="3"/>
      <c r="I1493" s="3"/>
      <c r="J1493" s="2"/>
      <c r="K1493" s="2"/>
      <c r="L1493" s="2"/>
      <c r="M1493" s="4"/>
      <c r="N1493" s="2"/>
      <c r="O1493" s="5" t="str">
        <f t="shared" ca="1" si="139"/>
        <v/>
      </c>
      <c r="P1493" s="6"/>
      <c r="V1493" t="str">
        <f t="shared" si="140"/>
        <v/>
      </c>
      <c r="W1493" t="str">
        <f t="shared" si="141"/>
        <v/>
      </c>
      <c r="X1493" t="str">
        <f t="shared" si="142"/>
        <v/>
      </c>
      <c r="Y1493" t="str">
        <f t="shared" si="143"/>
        <v/>
      </c>
    </row>
    <row r="1494" spans="1:25" ht="14.5" x14ac:dyDescent="0.35">
      <c r="A1494" s="3"/>
      <c r="B1494" s="2"/>
      <c r="C1494" s="2"/>
      <c r="D1494" s="4"/>
      <c r="E1494" s="2"/>
      <c r="F1494" s="2"/>
      <c r="G1494" s="3" t="str">
        <f t="shared" si="138"/>
        <v/>
      </c>
      <c r="H1494" s="3"/>
      <c r="I1494" s="3"/>
      <c r="J1494" s="2"/>
      <c r="K1494" s="2"/>
      <c r="L1494" s="2"/>
      <c r="M1494" s="4"/>
      <c r="N1494" s="2"/>
      <c r="O1494" s="5" t="str">
        <f t="shared" ca="1" si="139"/>
        <v/>
      </c>
      <c r="P1494" s="6"/>
      <c r="V1494" t="str">
        <f t="shared" si="140"/>
        <v/>
      </c>
      <c r="W1494" t="str">
        <f t="shared" si="141"/>
        <v/>
      </c>
      <c r="X1494" t="str">
        <f t="shared" si="142"/>
        <v/>
      </c>
      <c r="Y1494" t="str">
        <f t="shared" si="143"/>
        <v/>
      </c>
    </row>
    <row r="1495" spans="1:25" ht="14.5" x14ac:dyDescent="0.35">
      <c r="A1495" s="3"/>
      <c r="B1495" s="2"/>
      <c r="C1495" s="2"/>
      <c r="D1495" s="4"/>
      <c r="E1495" s="2"/>
      <c r="F1495" s="2"/>
      <c r="G1495" s="3" t="str">
        <f t="shared" si="138"/>
        <v/>
      </c>
      <c r="H1495" s="3"/>
      <c r="I1495" s="3"/>
      <c r="J1495" s="2"/>
      <c r="K1495" s="2"/>
      <c r="L1495" s="2"/>
      <c r="M1495" s="4"/>
      <c r="N1495" s="2"/>
      <c r="O1495" s="5" t="str">
        <f t="shared" ca="1" si="139"/>
        <v/>
      </c>
      <c r="P1495" s="6"/>
      <c r="V1495" t="str">
        <f t="shared" si="140"/>
        <v/>
      </c>
      <c r="W1495" t="str">
        <f t="shared" si="141"/>
        <v/>
      </c>
      <c r="X1495" t="str">
        <f t="shared" si="142"/>
        <v/>
      </c>
      <c r="Y1495" t="str">
        <f t="shared" si="143"/>
        <v/>
      </c>
    </row>
    <row r="1496" spans="1:25" ht="14.5" x14ac:dyDescent="0.35">
      <c r="A1496" s="3"/>
      <c r="B1496" s="2"/>
      <c r="C1496" s="2"/>
      <c r="D1496" s="4"/>
      <c r="E1496" s="2"/>
      <c r="F1496" s="2"/>
      <c r="G1496" s="3" t="str">
        <f t="shared" si="138"/>
        <v/>
      </c>
      <c r="H1496" s="3"/>
      <c r="I1496" s="3"/>
      <c r="J1496" s="2"/>
      <c r="K1496" s="2"/>
      <c r="L1496" s="2"/>
      <c r="M1496" s="4"/>
      <c r="N1496" s="2"/>
      <c r="O1496" s="5" t="str">
        <f t="shared" ca="1" si="139"/>
        <v/>
      </c>
      <c r="P1496" s="6"/>
      <c r="V1496" t="str">
        <f t="shared" si="140"/>
        <v/>
      </c>
      <c r="W1496" t="str">
        <f t="shared" si="141"/>
        <v/>
      </c>
      <c r="X1496" t="str">
        <f t="shared" si="142"/>
        <v/>
      </c>
      <c r="Y1496" t="str">
        <f t="shared" si="143"/>
        <v/>
      </c>
    </row>
    <row r="1497" spans="1:25" ht="14.5" x14ac:dyDescent="0.35">
      <c r="A1497" s="3"/>
      <c r="B1497" s="2"/>
      <c r="C1497" s="2"/>
      <c r="D1497" s="4"/>
      <c r="E1497" s="2"/>
      <c r="F1497" s="2"/>
      <c r="G1497" s="3" t="str">
        <f t="shared" si="138"/>
        <v/>
      </c>
      <c r="H1497" s="3"/>
      <c r="I1497" s="3"/>
      <c r="J1497" s="2"/>
      <c r="K1497" s="2"/>
      <c r="L1497" s="2"/>
      <c r="M1497" s="4"/>
      <c r="N1497" s="2"/>
      <c r="O1497" s="5" t="str">
        <f t="shared" ca="1" si="139"/>
        <v/>
      </c>
      <c r="P1497" s="6"/>
      <c r="V1497" t="str">
        <f t="shared" si="140"/>
        <v/>
      </c>
      <c r="W1497" t="str">
        <f t="shared" si="141"/>
        <v/>
      </c>
      <c r="X1497" t="str">
        <f t="shared" si="142"/>
        <v/>
      </c>
      <c r="Y1497" t="str">
        <f t="shared" si="143"/>
        <v/>
      </c>
    </row>
    <row r="1498" spans="1:25" ht="14.5" x14ac:dyDescent="0.35">
      <c r="A1498" s="3"/>
      <c r="B1498" s="2"/>
      <c r="C1498" s="2"/>
      <c r="D1498" s="4"/>
      <c r="E1498" s="2"/>
      <c r="F1498" s="2"/>
      <c r="G1498" s="3" t="str">
        <f t="shared" si="138"/>
        <v/>
      </c>
      <c r="H1498" s="3"/>
      <c r="I1498" s="3"/>
      <c r="J1498" s="2"/>
      <c r="K1498" s="2"/>
      <c r="L1498" s="2"/>
      <c r="M1498" s="4"/>
      <c r="N1498" s="2"/>
      <c r="O1498" s="5" t="str">
        <f t="shared" ca="1" si="139"/>
        <v/>
      </c>
      <c r="P1498" s="6"/>
      <c r="V1498" t="str">
        <f t="shared" si="140"/>
        <v/>
      </c>
      <c r="W1498" t="str">
        <f t="shared" si="141"/>
        <v/>
      </c>
      <c r="X1498" t="str">
        <f t="shared" si="142"/>
        <v/>
      </c>
      <c r="Y1498" t="str">
        <f t="shared" si="143"/>
        <v/>
      </c>
    </row>
    <row r="1499" spans="1:25" ht="14.5" x14ac:dyDescent="0.35">
      <c r="A1499" s="3"/>
      <c r="B1499" s="2"/>
      <c r="C1499" s="2"/>
      <c r="D1499" s="4"/>
      <c r="E1499" s="2"/>
      <c r="F1499" s="2"/>
      <c r="G1499" s="3" t="str">
        <f t="shared" si="138"/>
        <v/>
      </c>
      <c r="H1499" s="3"/>
      <c r="I1499" s="3"/>
      <c r="J1499" s="2"/>
      <c r="K1499" s="2"/>
      <c r="L1499" s="2"/>
      <c r="M1499" s="4"/>
      <c r="N1499" s="2"/>
      <c r="O1499" s="5" t="str">
        <f t="shared" ca="1" si="139"/>
        <v/>
      </c>
      <c r="P1499" s="6"/>
      <c r="V1499" t="str">
        <f t="shared" si="140"/>
        <v/>
      </c>
      <c r="W1499" t="str">
        <f t="shared" si="141"/>
        <v/>
      </c>
      <c r="X1499" t="str">
        <f t="shared" si="142"/>
        <v/>
      </c>
      <c r="Y1499" t="str">
        <f t="shared" si="143"/>
        <v/>
      </c>
    </row>
    <row r="1500" spans="1:25" ht="14.5" x14ac:dyDescent="0.35">
      <c r="A1500" s="3"/>
      <c r="B1500" s="2"/>
      <c r="C1500" s="2"/>
      <c r="D1500" s="4"/>
      <c r="E1500" s="2"/>
      <c r="F1500" s="2"/>
      <c r="G1500" s="3" t="str">
        <f t="shared" si="138"/>
        <v/>
      </c>
      <c r="H1500" s="3"/>
      <c r="I1500" s="3"/>
      <c r="J1500" s="2"/>
      <c r="K1500" s="2"/>
      <c r="L1500" s="2"/>
      <c r="M1500" s="4"/>
      <c r="N1500" s="2"/>
      <c r="O1500" s="5" t="str">
        <f t="shared" ca="1" si="139"/>
        <v/>
      </c>
      <c r="P1500" s="6"/>
      <c r="V1500" t="str">
        <f t="shared" si="140"/>
        <v/>
      </c>
      <c r="W1500" t="str">
        <f t="shared" si="141"/>
        <v/>
      </c>
      <c r="X1500" t="str">
        <f t="shared" si="142"/>
        <v/>
      </c>
      <c r="Y1500" t="str">
        <f t="shared" si="143"/>
        <v/>
      </c>
    </row>
    <row r="1501" spans="1:25" ht="17" x14ac:dyDescent="0.35">
      <c r="A1501" s="50" t="s">
        <v>28</v>
      </c>
      <c r="B1501" s="51"/>
      <c r="C1501" s="51"/>
      <c r="D1501" s="51"/>
      <c r="E1501" s="51"/>
      <c r="F1501" s="52"/>
    </row>
  </sheetData>
  <mergeCells count="1">
    <mergeCell ref="A1501:F1501"/>
  </mergeCells>
  <conditionalFormatting sqref="A2:E1500">
    <cfRule type="expression" dxfId="486" priority="10">
      <formula>$S2=1</formula>
    </cfRule>
    <cfRule type="expression" dxfId="485" priority="12">
      <formula>$S2=2</formula>
    </cfRule>
    <cfRule type="expression" dxfId="484" priority="14">
      <formula>$S2=3</formula>
    </cfRule>
    <cfRule type="expression" dxfId="483" priority="16">
      <formula>$S2=4</formula>
    </cfRule>
    <cfRule type="expression" dxfId="482" priority="18">
      <formula>$S2=5</formula>
    </cfRule>
  </conditionalFormatting>
  <conditionalFormatting sqref="E2:E1500">
    <cfRule type="expression" dxfId="481" priority="20">
      <formula>$S2&gt;=1</formula>
    </cfRule>
  </conditionalFormatting>
  <conditionalFormatting sqref="G2:G1500">
    <cfRule type="expression" dxfId="480" priority="21">
      <formula>AND(ISNUMBER($G2),$G2&gt;=1,$G2&lt;3)</formula>
    </cfRule>
    <cfRule type="expression" dxfId="479" priority="22">
      <formula>AND(ISNUMBER($G2),$G2&gt;=3,$G2&lt;6)</formula>
    </cfRule>
    <cfRule type="expression" dxfId="478" priority="23">
      <formula>AND(ISNUMBER($G2),$G2&gt;=6,$G2&lt;11)</formula>
    </cfRule>
    <cfRule type="expression" dxfId="477" priority="24">
      <formula>AND(ISNUMBER($G2),$G2&gt;=11,$G2&lt;21)</formula>
    </cfRule>
    <cfRule type="expression" dxfId="476" priority="25">
      <formula>AND(ISNUMBER($G2),$G2&gt;=21)</formula>
    </cfRule>
  </conditionalFormatting>
  <conditionalFormatting sqref="G2:P1500">
    <cfRule type="expression" dxfId="475" priority="11">
      <formula>$S2=1</formula>
    </cfRule>
    <cfRule type="expression" dxfId="474" priority="13">
      <formula>$S2=2</formula>
    </cfRule>
    <cfRule type="expression" dxfId="473" priority="15">
      <formula>$S2=3</formula>
    </cfRule>
    <cfRule type="expression" dxfId="472" priority="17">
      <formula>$S2=4</formula>
    </cfRule>
    <cfRule type="expression" dxfId="471" priority="19">
      <formula>$S2=5</formula>
    </cfRule>
  </conditionalFormatting>
  <conditionalFormatting sqref="L2:L1500">
    <cfRule type="expression" dxfId="470" priority="1">
      <formula>$L2="Low"</formula>
    </cfRule>
    <cfRule type="expression" dxfId="469" priority="2">
      <formula>$L2="Medium"</formula>
    </cfRule>
    <cfRule type="expression" dxfId="468" priority="3">
      <formula>$L2="High"</formula>
    </cfRule>
  </conditionalFormatting>
  <conditionalFormatting sqref="N2:N1500">
    <cfRule type="expression" dxfId="467" priority="7">
      <formula>$N2="Not Started"</formula>
    </cfRule>
    <cfRule type="expression" dxfId="466" priority="8">
      <formula>$N2="In Progress"</formula>
    </cfRule>
    <cfRule type="expression" dxfId="465" priority="9">
      <formula>$N2="Completed"</formula>
    </cfRule>
  </conditionalFormatting>
  <conditionalFormatting sqref="O2:O1500">
    <cfRule type="expression" dxfId="464" priority="4">
      <formula>AND(ISNUMBER($O2),$O2&lt;0)</formula>
    </cfRule>
    <cfRule type="expression" dxfId="463" priority="5">
      <formula>AND(ISNUMBER($O2),$O2&gt;=0,$O2&lt;=2)</formula>
    </cfRule>
    <cfRule type="expression" dxfId="462" priority="6">
      <formula>AND(ISNUMBER($O2),$O2&gt;2)</formula>
    </cfRule>
  </conditionalFormatting>
  <dataValidations count="6">
    <dataValidation type="list" allowBlank="1" sqref="L2:L1500" xr:uid="{00000000-0002-0000-0100-000000000000}">
      <formula1>"Low,Medium,High"</formula1>
    </dataValidation>
    <dataValidation type="list" allowBlank="1" sqref="N2:N1500" xr:uid="{00000000-0002-0000-0100-000001000000}">
      <formula1>"Not Started,In Progress,Completed,Delete"</formula1>
    </dataValidation>
    <dataValidation type="list" allowBlank="1" sqref="K2:K1500" xr:uid="{00000000-0002-0000-0100-000002000000}">
      <formula1>CampaignNameList</formula1>
    </dataValidation>
    <dataValidation type="list" allowBlank="1" sqref="F2:F1500" xr:uid="{00000000-0002-0000-0100-000003000000}">
      <formula1>PICList</formula1>
    </dataValidation>
    <dataValidation type="custom" showErrorMessage="1" errorTitle="Use the picker instead" error="Double-click this cell to pick a date from the Calendar instead." sqref="M2:M1500" xr:uid="{00000000-0002-0000-0100-000004000000}">
      <formula1>FALSE</formula1>
    </dataValidation>
    <dataValidation type="custom" showErrorMessage="1" errorTitle="Use the picker instead" error="Double-click this cell to open the Notes popup instead." sqref="P2:P1500" xr:uid="{00000000-0002-0000-0100-000005000000}">
      <formula1>FALSE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898781"/>
  </sheetPr>
  <dimension ref="A1:S2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0" customWidth="1"/>
    <col min="2" max="2" width="19" customWidth="1"/>
    <col min="3" max="3" width="32" customWidth="1"/>
    <col min="4" max="4" width="16" customWidth="1"/>
    <col min="5" max="5" width="10" customWidth="1"/>
    <col min="6" max="6" width="12" customWidth="1"/>
    <col min="7" max="7" width="10" customWidth="1"/>
    <col min="8" max="9" width="18" customWidth="1"/>
    <col min="10" max="10" width="10" customWidth="1"/>
    <col min="11" max="11" width="19" customWidth="1"/>
    <col min="12" max="12" width="13" customWidth="1"/>
    <col min="13" max="13" width="10" customWidth="1"/>
    <col min="14" max="14" width="8" customWidth="1"/>
    <col min="15" max="15" width="19" customWidth="1"/>
    <col min="16" max="19" width="13" hidden="1" customWidth="1"/>
  </cols>
  <sheetData>
    <row r="1" spans="1:19" ht="32" customHeight="1" x14ac:dyDescent="0.35">
      <c r="A1" s="1" t="s">
        <v>5</v>
      </c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29</v>
      </c>
      <c r="P1" s="1" t="s">
        <v>19</v>
      </c>
      <c r="Q1" s="1" t="s">
        <v>20</v>
      </c>
      <c r="R1" s="1" t="s">
        <v>21</v>
      </c>
      <c r="S1" s="1" t="s">
        <v>30</v>
      </c>
    </row>
    <row r="2" spans="1:19" ht="14.5" x14ac:dyDescent="0.35">
      <c r="A2" s="7"/>
      <c r="B2" s="8"/>
      <c r="E2" s="9"/>
      <c r="F2" s="9"/>
      <c r="G2" s="7"/>
      <c r="K2" s="8"/>
      <c r="M2" s="10"/>
      <c r="N2" s="11"/>
      <c r="O2" s="8"/>
    </row>
  </sheetData>
  <sheetProtection sheet="1"/>
  <conditionalFormatting sqref="A2:C1000">
    <cfRule type="expression" dxfId="461" priority="7">
      <formula>$R2=1</formula>
    </cfRule>
    <cfRule type="expression" dxfId="460" priority="9">
      <formula>$R2=2</formula>
    </cfRule>
    <cfRule type="expression" dxfId="459" priority="11">
      <formula>$R2=3</formula>
    </cfRule>
    <cfRule type="expression" dxfId="458" priority="13">
      <formula>$R2=4</formula>
    </cfRule>
    <cfRule type="expression" dxfId="457" priority="15">
      <formula>$R2=5</formula>
    </cfRule>
    <cfRule type="expression" dxfId="456" priority="18">
      <formula>MOD(ROW()-2,2)=0</formula>
    </cfRule>
  </conditionalFormatting>
  <conditionalFormatting sqref="C2:C1000">
    <cfRule type="expression" dxfId="455" priority="17">
      <formula>$R2&gt;=1</formula>
    </cfRule>
  </conditionalFormatting>
  <conditionalFormatting sqref="E2:O1000">
    <cfRule type="expression" dxfId="454" priority="8">
      <formula>$R2=1</formula>
    </cfRule>
    <cfRule type="expression" dxfId="453" priority="10">
      <formula>$R2=2</formula>
    </cfRule>
    <cfRule type="expression" dxfId="452" priority="12">
      <formula>$R2=3</formula>
    </cfRule>
    <cfRule type="expression" dxfId="451" priority="14">
      <formula>$R2=4</formula>
    </cfRule>
    <cfRule type="expression" dxfId="450" priority="16">
      <formula>$R2=5</formula>
    </cfRule>
  </conditionalFormatting>
  <conditionalFormatting sqref="E2:S1000">
    <cfRule type="expression" dxfId="449" priority="19">
      <formula>MOD(ROW()-2,2)=0</formula>
    </cfRule>
  </conditionalFormatting>
  <conditionalFormatting sqref="J2:J1000">
    <cfRule type="expression" dxfId="448" priority="1">
      <formula>$J2="Low"</formula>
    </cfRule>
    <cfRule type="expression" dxfId="447" priority="2">
      <formula>$J2="Medium"</formula>
    </cfRule>
    <cfRule type="expression" dxfId="446" priority="3">
      <formula>$J2="High"</formula>
    </cfRule>
  </conditionalFormatting>
  <conditionalFormatting sqref="M2:M1000">
    <cfRule type="expression" dxfId="445" priority="4">
      <formula>$M2&gt;0</formula>
    </cfRule>
    <cfRule type="expression" dxfId="444" priority="5">
      <formula>$M2&lt;0</formula>
    </cfRule>
    <cfRule type="expression" dxfId="443" priority="6">
      <formula>$M2=0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1F4E79"/>
  </sheetPr>
  <dimension ref="A1:AB202"/>
  <sheetViews>
    <sheetView showGridLines="0" zoomScale="115" workbookViewId="0">
      <pane ySplit="2" topLeftCell="A3" activePane="bottomLeft" state="frozen"/>
      <selection pane="bottomLeft"/>
    </sheetView>
  </sheetViews>
  <sheetFormatPr defaultRowHeight="19" customHeight="1" x14ac:dyDescent="0.35"/>
  <cols>
    <col min="1" max="2" width="4" customWidth="1"/>
    <col min="3" max="3" width="22" customWidth="1"/>
    <col min="4" max="4" width="12" customWidth="1"/>
    <col min="5" max="6" width="13" customWidth="1"/>
    <col min="7" max="7" width="11" customWidth="1"/>
    <col min="8" max="8" width="10" customWidth="1"/>
    <col min="9" max="9" width="8" customWidth="1"/>
    <col min="10" max="24" width="9" customWidth="1"/>
    <col min="25" max="28" width="13" hidden="1" customWidth="1"/>
  </cols>
  <sheetData>
    <row r="1" spans="1:28" ht="14.5" hidden="1" x14ac:dyDescent="0.35">
      <c r="A1">
        <f ca="1">TODAY()-WEEKDAY(TODAY(),3)</f>
        <v>46307</v>
      </c>
      <c r="J1">
        <f ca="1">A1</f>
        <v>46307</v>
      </c>
      <c r="K1">
        <f ca="1">A1+7</f>
        <v>46314</v>
      </c>
      <c r="L1">
        <f ca="1">A1+14</f>
        <v>46321</v>
      </c>
      <c r="M1">
        <f ca="1">A1+21</f>
        <v>46328</v>
      </c>
      <c r="N1">
        <f ca="1">A1+28</f>
        <v>46335</v>
      </c>
      <c r="O1">
        <f ca="1">A1+35</f>
        <v>46342</v>
      </c>
      <c r="P1">
        <f ca="1">A1+42</f>
        <v>46349</v>
      </c>
      <c r="Q1">
        <f ca="1">A1+49</f>
        <v>46356</v>
      </c>
      <c r="R1">
        <f ca="1">A1+56</f>
        <v>46363</v>
      </c>
      <c r="S1">
        <f ca="1">A1+63</f>
        <v>46370</v>
      </c>
      <c r="T1">
        <f ca="1">A1+70</f>
        <v>46377</v>
      </c>
      <c r="U1">
        <f ca="1">A1+77</f>
        <v>46384</v>
      </c>
      <c r="V1">
        <f ca="1">A1+84</f>
        <v>46391</v>
      </c>
      <c r="W1">
        <f ca="1">A1+91</f>
        <v>46398</v>
      </c>
      <c r="X1">
        <f ca="1">A1+98</f>
        <v>46405</v>
      </c>
    </row>
    <row r="2" spans="1:28" ht="32" customHeight="1" x14ac:dyDescent="0.35">
      <c r="A2" s="1" t="s">
        <v>1</v>
      </c>
      <c r="B2" s="1" t="s">
        <v>2</v>
      </c>
      <c r="C2" s="1" t="s">
        <v>31</v>
      </c>
      <c r="D2" s="1" t="s">
        <v>32</v>
      </c>
      <c r="E2" s="1" t="s">
        <v>6</v>
      </c>
      <c r="F2" s="1" t="s">
        <v>33</v>
      </c>
      <c r="G2" s="1" t="s">
        <v>16</v>
      </c>
      <c r="H2" s="1" t="s">
        <v>34</v>
      </c>
      <c r="I2" s="1" t="s">
        <v>18</v>
      </c>
      <c r="J2" s="12" t="str">
        <f ca="1">"Week "&amp;WEEKNUM(J1,2)&amp;CHAR(10)&amp;TEXT(J1,"dd")&amp;"–"&amp;TEXT(J1+6,"dd")&amp;" "&amp;INDEX({"Jan","Feb","Mar","Apr","May","Jun","Jul","Aug","Sep","Oct","Nov","Dec"},MONTH(J1+6))</f>
        <v>Week 42
12–18 Oct</v>
      </c>
      <c r="K2" s="1" t="str">
        <f ca="1">"Week "&amp;WEEKNUM(K1,2)&amp;CHAR(10)&amp;TEXT(K1,"dd")&amp;"–"&amp;TEXT(K1+6,"dd")&amp;" "&amp;INDEX({"Jan","Feb","Mar","Apr","May","Jun","Jul","Aug","Sep","Oct","Nov","Dec"},MONTH(K1+6))</f>
        <v>Week 43
19–25 Oct</v>
      </c>
      <c r="L2" s="1" t="str">
        <f ca="1">"Week "&amp;WEEKNUM(L1,2)&amp;CHAR(10)&amp;TEXT(L1,"dd")&amp;"–"&amp;TEXT(L1+6,"dd")&amp;" "&amp;INDEX({"Jan","Feb","Mar","Apr","May","Jun","Jul","Aug","Sep","Oct","Nov","Dec"},MONTH(L1+6))</f>
        <v>Week 44
26–01 Nov</v>
      </c>
      <c r="M2" s="1" t="str">
        <f ca="1">"Week "&amp;WEEKNUM(M1,2)&amp;CHAR(10)&amp;TEXT(M1,"dd")&amp;"–"&amp;TEXT(M1+6,"dd")&amp;" "&amp;INDEX({"Jan","Feb","Mar","Apr","May","Jun","Jul","Aug","Sep","Oct","Nov","Dec"},MONTH(M1+6))</f>
        <v>Week 45
02–08 Nov</v>
      </c>
      <c r="N2" s="1" t="str">
        <f ca="1">"Week "&amp;WEEKNUM(N1,2)&amp;CHAR(10)&amp;TEXT(N1,"dd")&amp;"–"&amp;TEXT(N1+6,"dd")&amp;" "&amp;INDEX({"Jan","Feb","Mar","Apr","May","Jun","Jul","Aug","Sep","Oct","Nov","Dec"},MONTH(N1+6))</f>
        <v>Week 46
09–15 Nov</v>
      </c>
      <c r="O2" s="1" t="str">
        <f ca="1">"Week "&amp;WEEKNUM(O1,2)&amp;CHAR(10)&amp;TEXT(O1,"dd")&amp;"–"&amp;TEXT(O1+6,"dd")&amp;" "&amp;INDEX({"Jan","Feb","Mar","Apr","May","Jun","Jul","Aug","Sep","Oct","Nov","Dec"},MONTH(O1+6))</f>
        <v>Week 47
16–22 Nov</v>
      </c>
      <c r="P2" s="1" t="str">
        <f ca="1">"Week "&amp;WEEKNUM(P1,2)&amp;CHAR(10)&amp;TEXT(P1,"dd")&amp;"–"&amp;TEXT(P1+6,"dd")&amp;" "&amp;INDEX({"Jan","Feb","Mar","Apr","May","Jun","Jul","Aug","Sep","Oct","Nov","Dec"},MONTH(P1+6))</f>
        <v>Week 48
23–29 Nov</v>
      </c>
      <c r="Q2" s="1" t="str">
        <f ca="1">"Week "&amp;WEEKNUM(Q1,2)&amp;CHAR(10)&amp;TEXT(Q1,"dd")&amp;"–"&amp;TEXT(Q1+6,"dd")&amp;" "&amp;INDEX({"Jan","Feb","Mar","Apr","May","Jun","Jul","Aug","Sep","Oct","Nov","Dec"},MONTH(Q1+6))</f>
        <v>Week 49
30–06 Dec</v>
      </c>
      <c r="R2" s="1" t="str">
        <f ca="1">"Week "&amp;WEEKNUM(R1,2)&amp;CHAR(10)&amp;TEXT(R1,"dd")&amp;"–"&amp;TEXT(R1+6,"dd")&amp;" "&amp;INDEX({"Jan","Feb","Mar","Apr","May","Jun","Jul","Aug","Sep","Oct","Nov","Dec"},MONTH(R1+6))</f>
        <v>Week 50
07–13 Dec</v>
      </c>
      <c r="S2" s="1" t="str">
        <f ca="1">"Week "&amp;WEEKNUM(S1,2)&amp;CHAR(10)&amp;TEXT(S1,"dd")&amp;"–"&amp;TEXT(S1+6,"dd")&amp;" "&amp;INDEX({"Jan","Feb","Mar","Apr","May","Jun","Jul","Aug","Sep","Oct","Nov","Dec"},MONTH(S1+6))</f>
        <v>Week 51
14–20 Dec</v>
      </c>
      <c r="T2" s="1" t="str">
        <f ca="1">"Week "&amp;WEEKNUM(T1,2)&amp;CHAR(10)&amp;TEXT(T1,"dd")&amp;"–"&amp;TEXT(T1+6,"dd")&amp;" "&amp;INDEX({"Jan","Feb","Mar","Apr","May","Jun","Jul","Aug","Sep","Oct","Nov","Dec"},MONTH(T1+6))</f>
        <v>Week 52
21–27 Dec</v>
      </c>
      <c r="U2" s="1" t="str">
        <f ca="1">"Week "&amp;WEEKNUM(U1,2)&amp;CHAR(10)&amp;TEXT(U1,"dd")&amp;"–"&amp;TEXT(U1+6,"dd")&amp;" "&amp;INDEX({"Jan","Feb","Mar","Apr","May","Jun","Jul","Aug","Sep","Oct","Nov","Dec"},MONTH(U1+6))</f>
        <v>Week 53
28–03 Jan</v>
      </c>
      <c r="V2" s="1" t="str">
        <f ca="1">"Week "&amp;WEEKNUM(V1,2)&amp;CHAR(10)&amp;TEXT(V1,"dd")&amp;"–"&amp;TEXT(V1+6,"dd")&amp;" "&amp;INDEX({"Jan","Feb","Mar","Apr","May","Jun","Jul","Aug","Sep","Oct","Nov","Dec"},MONTH(V1+6))</f>
        <v>Week 2
04–10 Jan</v>
      </c>
      <c r="W2" s="1" t="str">
        <f ca="1">"Week "&amp;WEEKNUM(W1,2)&amp;CHAR(10)&amp;TEXT(W1,"dd")&amp;"–"&amp;TEXT(W1+6,"dd")&amp;" "&amp;INDEX({"Jan","Feb","Mar","Apr","May","Jun","Jul","Aug","Sep","Oct","Nov","Dec"},MONTH(W1+6))</f>
        <v>Week 3
11–17 Jan</v>
      </c>
      <c r="X2" s="1" t="str">
        <f ca="1">"Week "&amp;WEEKNUM(X1,2)&amp;CHAR(10)&amp;TEXT(X1,"dd")&amp;"–"&amp;TEXT(X1+6,"dd")&amp;" "&amp;INDEX({"Jan","Feb","Mar","Apr","May","Jun","Jul","Aug","Sep","Oct","Nov","Dec"},MONTH(X1+6))</f>
        <v>Week 4
18–24 Jan</v>
      </c>
      <c r="Y2" t="s">
        <v>35</v>
      </c>
      <c r="Z2" t="s">
        <v>36</v>
      </c>
      <c r="AA2" t="s">
        <v>37</v>
      </c>
      <c r="AB2" t="s">
        <v>38</v>
      </c>
    </row>
    <row r="3" spans="1:28" ht="14.5" x14ac:dyDescent="0.35">
      <c r="A3" s="2"/>
      <c r="B3" s="2"/>
      <c r="C3" s="2"/>
      <c r="D3" s="3" t="str">
        <f>IF(COUNTIFS(Tasks!$V$2:$V$1500,Y3)=0,"",COUNTIFS(Tasks!$V$2:$V$1500,Y3))</f>
        <v/>
      </c>
      <c r="E3" s="13"/>
      <c r="F3" s="13"/>
      <c r="G3" s="2"/>
      <c r="H3" s="14" t="str">
        <f ca="1">IF(OR(E3="",F3=""),"",IF(E3=F3,IF(TODAY()&gt;=E3,1,0),MAX(0,MIN(1,(TODAY()-E3)/(F3-E3)))))</f>
        <v/>
      </c>
      <c r="I3" s="6"/>
      <c r="J3" s="15"/>
      <c r="Z3" t="s">
        <v>39</v>
      </c>
      <c r="AA3">
        <f ca="1">IF(TODAY()&lt;E3,E3-TODAY(),F3-TODAY())</f>
        <v>-46311</v>
      </c>
      <c r="AB3" t="str">
        <f ca="1">IF(AND(OR(G3="Planned",G3="Active"),ABS(AA3)&lt;=7),AA3+Y3/1000000,"")</f>
        <v/>
      </c>
    </row>
    <row r="4" spans="1:28" ht="15" hidden="1" x14ac:dyDescent="0.4">
      <c r="C4" s="16" t="s">
        <v>40</v>
      </c>
      <c r="D4" s="17" t="s">
        <v>41</v>
      </c>
      <c r="E4" s="17" t="s">
        <v>15</v>
      </c>
      <c r="F4" s="17" t="s">
        <v>16</v>
      </c>
      <c r="G4" s="17" t="s">
        <v>18</v>
      </c>
    </row>
    <row r="5" spans="1:28" ht="17" hidden="1" x14ac:dyDescent="0.5">
      <c r="C5" s="18" t="str">
        <f>IFERROR(INDEX(Tasks!$E$2:$E$1500,MATCH($Y3&amp;"|"&amp;1,Tasks!$Z$2:$Z$1500,0)),"")</f>
        <v/>
      </c>
      <c r="D5" s="19" t="str">
        <f>IFERROR(INDEX(Tasks!$F$2:$F$1500,MATCH($Y3&amp;"|"&amp;1,Tasks!$Z$2:$Z$1500,0)),"")</f>
        <v/>
      </c>
      <c r="E5" s="20" t="str">
        <f>IFERROR(IF(INDEX(Tasks!$K$2:$K$1500,MATCH($Y3&amp;"|"&amp;1,Tasks!$Z$2:$Z$1500,0))=0,"",INDEX(Tasks!$K$2:$K$1500,MATCH($Y3&amp;"|"&amp;1,Tasks!$Z$2:$Z$1500,0))),"")</f>
        <v/>
      </c>
      <c r="F5" s="19" t="str">
        <f>IFERROR(IF(INDEX(Tasks!$L$2:$L$1500,MATCH($Y3&amp;"|"&amp;1,Tasks!$Z$2:$Z$1500,0))=0,"",INDEX(Tasks!$L$2:$L$1500,MATCH($Y3&amp;"|"&amp;1,Tasks!$Z$2:$Z$1500,0))),"")</f>
        <v/>
      </c>
      <c r="G5" s="21" t="str">
        <f>IFERROR(IF(INDEX(Tasks!$P$2:$P$1500,MATCH($Y3&amp;"|"&amp;1,Tasks!$Z$2:$Z$1500,0))=0,"",INDEX(Tasks!$P$2:$P$1500,MATCH($Y3&amp;"|"&amp;1,Tasks!$Z$2:$Z$1500,0))),"")</f>
        <v/>
      </c>
    </row>
    <row r="6" spans="1:28" ht="17" hidden="1" x14ac:dyDescent="0.5">
      <c r="C6" s="18" t="str">
        <f>IFERROR(INDEX(Tasks!$E$2:$E$1500,MATCH($Y3&amp;"|"&amp;2,Tasks!$Z$2:$Z$1500,0)),"")</f>
        <v/>
      </c>
      <c r="D6" s="19" t="str">
        <f>IFERROR(INDEX(Tasks!$F$2:$F$1500,MATCH($Y3&amp;"|"&amp;2,Tasks!$Z$2:$Z$1500,0)),"")</f>
        <v/>
      </c>
      <c r="E6" s="20" t="str">
        <f>IFERROR(IF(INDEX(Tasks!$K$2:$K$1500,MATCH($Y3&amp;"|"&amp;2,Tasks!$Z$2:$Z$1500,0))=0,"",INDEX(Tasks!$K$2:$K$1500,MATCH($Y3&amp;"|"&amp;2,Tasks!$Z$2:$Z$1500,0))),"")</f>
        <v/>
      </c>
      <c r="F6" s="19" t="str">
        <f>IFERROR(IF(INDEX(Tasks!$L$2:$L$1500,MATCH($Y3&amp;"|"&amp;2,Tasks!$Z$2:$Z$1500,0))=0,"",INDEX(Tasks!$L$2:$L$1500,MATCH($Y3&amp;"|"&amp;2,Tasks!$Z$2:$Z$1500,0))),"")</f>
        <v/>
      </c>
      <c r="G6" s="21" t="str">
        <f>IFERROR(IF(INDEX(Tasks!$P$2:$P$1500,MATCH($Y3&amp;"|"&amp;2,Tasks!$Z$2:$Z$1500,0))=0,"",INDEX(Tasks!$P$2:$P$1500,MATCH($Y3&amp;"|"&amp;2,Tasks!$Z$2:$Z$1500,0))),"")</f>
        <v/>
      </c>
    </row>
    <row r="7" spans="1:28" ht="17" hidden="1" x14ac:dyDescent="0.5">
      <c r="C7" s="18" t="str">
        <f>IFERROR(INDEX(Tasks!$E$2:$E$1500,MATCH($Y3&amp;"|"&amp;3,Tasks!$Z$2:$Z$1500,0)),"")</f>
        <v/>
      </c>
      <c r="D7" s="19" t="str">
        <f>IFERROR(INDEX(Tasks!$F$2:$F$1500,MATCH($Y3&amp;"|"&amp;3,Tasks!$Z$2:$Z$1500,0)),"")</f>
        <v/>
      </c>
      <c r="E7" s="20" t="str">
        <f>IFERROR(IF(INDEX(Tasks!$K$2:$K$1500,MATCH($Y3&amp;"|"&amp;3,Tasks!$Z$2:$Z$1500,0))=0,"",INDEX(Tasks!$K$2:$K$1500,MATCH($Y3&amp;"|"&amp;3,Tasks!$Z$2:$Z$1500,0))),"")</f>
        <v/>
      </c>
      <c r="F7" s="19" t="str">
        <f>IFERROR(IF(INDEX(Tasks!$L$2:$L$1500,MATCH($Y3&amp;"|"&amp;3,Tasks!$Z$2:$Z$1500,0))=0,"",INDEX(Tasks!$L$2:$L$1500,MATCH($Y3&amp;"|"&amp;3,Tasks!$Z$2:$Z$1500,0))),"")</f>
        <v/>
      </c>
      <c r="G7" s="21" t="str">
        <f>IFERROR(IF(INDEX(Tasks!$P$2:$P$1500,MATCH($Y3&amp;"|"&amp;3,Tasks!$Z$2:$Z$1500,0))=0,"",INDEX(Tasks!$P$2:$P$1500,MATCH($Y3&amp;"|"&amp;3,Tasks!$Z$2:$Z$1500,0))),"")</f>
        <v/>
      </c>
    </row>
    <row r="8" spans="1:28" ht="17" hidden="1" x14ac:dyDescent="0.5">
      <c r="C8" s="18" t="str">
        <f>IFERROR(INDEX(Tasks!$E$2:$E$1500,MATCH($Y3&amp;"|"&amp;4,Tasks!$Z$2:$Z$1500,0)),"")</f>
        <v/>
      </c>
      <c r="D8" s="19" t="str">
        <f>IFERROR(INDEX(Tasks!$F$2:$F$1500,MATCH($Y3&amp;"|"&amp;4,Tasks!$Z$2:$Z$1500,0)),"")</f>
        <v/>
      </c>
      <c r="E8" s="20" t="str">
        <f>IFERROR(IF(INDEX(Tasks!$K$2:$K$1500,MATCH($Y3&amp;"|"&amp;4,Tasks!$Z$2:$Z$1500,0))=0,"",INDEX(Tasks!$K$2:$K$1500,MATCH($Y3&amp;"|"&amp;4,Tasks!$Z$2:$Z$1500,0))),"")</f>
        <v/>
      </c>
      <c r="F8" s="19" t="str">
        <f>IFERROR(IF(INDEX(Tasks!$L$2:$L$1500,MATCH($Y3&amp;"|"&amp;4,Tasks!$Z$2:$Z$1500,0))=0,"",INDEX(Tasks!$L$2:$L$1500,MATCH($Y3&amp;"|"&amp;4,Tasks!$Z$2:$Z$1500,0))),"")</f>
        <v/>
      </c>
      <c r="G8" s="21" t="str">
        <f>IFERROR(IF(INDEX(Tasks!$P$2:$P$1500,MATCH($Y3&amp;"|"&amp;4,Tasks!$Z$2:$Z$1500,0))=0,"",INDEX(Tasks!$P$2:$P$1500,MATCH($Y3&amp;"|"&amp;4,Tasks!$Z$2:$Z$1500,0))),"")</f>
        <v/>
      </c>
    </row>
    <row r="9" spans="1:28" ht="17" hidden="1" x14ac:dyDescent="0.5">
      <c r="C9" s="18" t="str">
        <f>IFERROR(INDEX(Tasks!$E$2:$E$1500,MATCH($Y3&amp;"|"&amp;5,Tasks!$Z$2:$Z$1500,0)),"")</f>
        <v/>
      </c>
      <c r="D9" s="19" t="str">
        <f>IFERROR(INDEX(Tasks!$F$2:$F$1500,MATCH($Y3&amp;"|"&amp;5,Tasks!$Z$2:$Z$1500,0)),"")</f>
        <v/>
      </c>
      <c r="E9" s="20" t="str">
        <f>IFERROR(IF(INDEX(Tasks!$K$2:$K$1500,MATCH($Y3&amp;"|"&amp;5,Tasks!$Z$2:$Z$1500,0))=0,"",INDEX(Tasks!$K$2:$K$1500,MATCH($Y3&amp;"|"&amp;5,Tasks!$Z$2:$Z$1500,0))),"")</f>
        <v/>
      </c>
      <c r="F9" s="19" t="str">
        <f>IFERROR(IF(INDEX(Tasks!$L$2:$L$1500,MATCH($Y3&amp;"|"&amp;5,Tasks!$Z$2:$Z$1500,0))=0,"",INDEX(Tasks!$L$2:$L$1500,MATCH($Y3&amp;"|"&amp;5,Tasks!$Z$2:$Z$1500,0))),"")</f>
        <v/>
      </c>
      <c r="G9" s="21" t="str">
        <f>IFERROR(IF(INDEX(Tasks!$P$2:$P$1500,MATCH($Y3&amp;"|"&amp;5,Tasks!$Z$2:$Z$1500,0))=0,"",INDEX(Tasks!$P$2:$P$1500,MATCH($Y3&amp;"|"&amp;5,Tasks!$Z$2:$Z$1500,0))),"")</f>
        <v/>
      </c>
    </row>
    <row r="10" spans="1:28" ht="17" hidden="1" x14ac:dyDescent="0.5">
      <c r="C10" s="18" t="str">
        <f>IFERROR(INDEX(Tasks!$E$2:$E$1500,MATCH($Y3&amp;"|"&amp;6,Tasks!$Z$2:$Z$1500,0)),"")</f>
        <v/>
      </c>
      <c r="D10" s="19" t="str">
        <f>IFERROR(INDEX(Tasks!$F$2:$F$1500,MATCH($Y3&amp;"|"&amp;6,Tasks!$Z$2:$Z$1500,0)),"")</f>
        <v/>
      </c>
      <c r="E10" s="20" t="str">
        <f>IFERROR(IF(INDEX(Tasks!$K$2:$K$1500,MATCH($Y3&amp;"|"&amp;6,Tasks!$Z$2:$Z$1500,0))=0,"",INDEX(Tasks!$K$2:$K$1500,MATCH($Y3&amp;"|"&amp;6,Tasks!$Z$2:$Z$1500,0))),"")</f>
        <v/>
      </c>
      <c r="F10" s="19" t="str">
        <f>IFERROR(IF(INDEX(Tasks!$L$2:$L$1500,MATCH($Y3&amp;"|"&amp;6,Tasks!$Z$2:$Z$1500,0))=0,"",INDEX(Tasks!$L$2:$L$1500,MATCH($Y3&amp;"|"&amp;6,Tasks!$Z$2:$Z$1500,0))),"")</f>
        <v/>
      </c>
      <c r="G10" s="21" t="str">
        <f>IFERROR(IF(INDEX(Tasks!$P$2:$P$1500,MATCH($Y3&amp;"|"&amp;6,Tasks!$Z$2:$Z$1500,0))=0,"",INDEX(Tasks!$P$2:$P$1500,MATCH($Y3&amp;"|"&amp;6,Tasks!$Z$2:$Z$1500,0))),"")</f>
        <v/>
      </c>
    </row>
    <row r="11" spans="1:28" ht="17" hidden="1" x14ac:dyDescent="0.5">
      <c r="C11" s="18" t="str">
        <f>IFERROR(INDEX(Tasks!$E$2:$E$1500,MATCH($Y3&amp;"|"&amp;7,Tasks!$Z$2:$Z$1500,0)),"")</f>
        <v/>
      </c>
      <c r="D11" s="19" t="str">
        <f>IFERROR(INDEX(Tasks!$F$2:$F$1500,MATCH($Y3&amp;"|"&amp;7,Tasks!$Z$2:$Z$1500,0)),"")</f>
        <v/>
      </c>
      <c r="E11" s="20" t="str">
        <f>IFERROR(IF(INDEX(Tasks!$K$2:$K$1500,MATCH($Y3&amp;"|"&amp;7,Tasks!$Z$2:$Z$1500,0))=0,"",INDEX(Tasks!$K$2:$K$1500,MATCH($Y3&amp;"|"&amp;7,Tasks!$Z$2:$Z$1500,0))),"")</f>
        <v/>
      </c>
      <c r="F11" s="19" t="str">
        <f>IFERROR(IF(INDEX(Tasks!$L$2:$L$1500,MATCH($Y3&amp;"|"&amp;7,Tasks!$Z$2:$Z$1500,0))=0,"",INDEX(Tasks!$L$2:$L$1500,MATCH($Y3&amp;"|"&amp;7,Tasks!$Z$2:$Z$1500,0))),"")</f>
        <v/>
      </c>
      <c r="G11" s="21" t="str">
        <f>IFERROR(IF(INDEX(Tasks!$P$2:$P$1500,MATCH($Y3&amp;"|"&amp;7,Tasks!$Z$2:$Z$1500,0))=0,"",INDEX(Tasks!$P$2:$P$1500,MATCH($Y3&amp;"|"&amp;7,Tasks!$Z$2:$Z$1500,0))),"")</f>
        <v/>
      </c>
    </row>
    <row r="12" spans="1:28" ht="17" hidden="1" x14ac:dyDescent="0.5">
      <c r="C12" s="18" t="str">
        <f>IF(N($D3)&gt;8,"+ "&amp;(N($D3)-7)&amp;" more — see Tasks",IFERROR(INDEX(Tasks!$E$2:$E$1500,MATCH($Y3&amp;"|"&amp;8,Tasks!$Z$2:$Z$1500,0)),""))</f>
        <v/>
      </c>
      <c r="D12" s="19" t="str">
        <f>IF(N($D3)&gt;8,"",IFERROR(INDEX(Tasks!$F$2:$F$1500,MATCH($Y3&amp;"|"&amp;8,Tasks!$Z$2:$Z$1500,0)),""))</f>
        <v/>
      </c>
      <c r="E12" s="20" t="str">
        <f>IF(N($D3)&gt;8,"",IFERROR(IF(INDEX(Tasks!$K$2:$K$1500,MATCH($Y3&amp;"|"&amp;8,Tasks!$Z$2:$Z$1500,0))=0,"",INDEX(Tasks!$K$2:$K$1500,MATCH($Y3&amp;"|"&amp;8,Tasks!$Z$2:$Z$1500,0))),""))</f>
        <v/>
      </c>
      <c r="F12" s="19" t="str">
        <f>IF(N($D3)&gt;8,"",IFERROR(IF(INDEX(Tasks!$L$2:$L$1500,MATCH($Y3&amp;"|"&amp;8,Tasks!$Z$2:$Z$1500,0))=0,"",INDEX(Tasks!$L$2:$L$1500,MATCH($Y3&amp;"|"&amp;8,Tasks!$Z$2:$Z$1500,0))),""))</f>
        <v/>
      </c>
      <c r="G12" s="21" t="str">
        <f>IF(N($D3)&gt;8,"",IFERROR(IF(INDEX(Tasks!$P$2:$P$1500,MATCH($Y3&amp;"|"&amp;8,Tasks!$Z$2:$Z$1500,0))=0,"",INDEX(Tasks!$P$2:$P$1500,MATCH($Y3&amp;"|"&amp;8,Tasks!$Z$2:$Z$1500,0))),""))</f>
        <v/>
      </c>
    </row>
    <row r="13" spans="1:28" ht="14.5" x14ac:dyDescent="0.35">
      <c r="A13" s="2"/>
      <c r="B13" s="2"/>
      <c r="C13" s="2"/>
      <c r="D13" s="3" t="str">
        <f>IF(COUNTIFS(Tasks!$V$2:$V$1500,Y13)=0,"",COUNTIFS(Tasks!$V$2:$V$1500,Y13))</f>
        <v/>
      </c>
      <c r="E13" s="13"/>
      <c r="F13" s="13"/>
      <c r="G13" s="2"/>
      <c r="H13" s="14" t="str">
        <f ca="1">IF(OR(E13="",F13=""),"",IF(E13=F13,IF(TODAY()&gt;=E13,1,0),MAX(0,MIN(1,(TODAY()-E13)/(F13-E13)))))</f>
        <v/>
      </c>
      <c r="I13" s="6"/>
      <c r="J13" s="15"/>
      <c r="AA13">
        <f ca="1">IF(TODAY()&lt;E13,E13-TODAY(),F13-TODAY())</f>
        <v>-46311</v>
      </c>
      <c r="AB13" t="str">
        <f ca="1">IF(AND(OR(G13="Planned",G13="Active"),ABS(AA13)&lt;=7),AA13+Y13/1000000,"")</f>
        <v/>
      </c>
    </row>
    <row r="14" spans="1:28" ht="15" hidden="1" x14ac:dyDescent="0.4">
      <c r="C14" s="16" t="s">
        <v>40</v>
      </c>
      <c r="D14" s="17" t="s">
        <v>41</v>
      </c>
      <c r="E14" s="17" t="s">
        <v>15</v>
      </c>
      <c r="F14" s="17" t="s">
        <v>16</v>
      </c>
      <c r="G14" s="17" t="s">
        <v>18</v>
      </c>
    </row>
    <row r="15" spans="1:28" ht="17" hidden="1" x14ac:dyDescent="0.5">
      <c r="C15" s="18" t="str">
        <f>IFERROR(INDEX(Tasks!$E$2:$E$1500,MATCH($Y13&amp;"|"&amp;1,Tasks!$Z$2:$Z$1500,0)),"")</f>
        <v/>
      </c>
      <c r="D15" s="19" t="str">
        <f>IFERROR(INDEX(Tasks!$F$2:$F$1500,MATCH($Y13&amp;"|"&amp;1,Tasks!$Z$2:$Z$1500,0)),"")</f>
        <v/>
      </c>
      <c r="E15" s="20" t="str">
        <f>IFERROR(IF(INDEX(Tasks!$K$2:$K$1500,MATCH($Y13&amp;"|"&amp;1,Tasks!$Z$2:$Z$1500,0))=0,"",INDEX(Tasks!$K$2:$K$1500,MATCH($Y13&amp;"|"&amp;1,Tasks!$Z$2:$Z$1500,0))),"")</f>
        <v/>
      </c>
      <c r="F15" s="19" t="str">
        <f>IFERROR(IF(INDEX(Tasks!$L$2:$L$1500,MATCH($Y13&amp;"|"&amp;1,Tasks!$Z$2:$Z$1500,0))=0,"",INDEX(Tasks!$L$2:$L$1500,MATCH($Y13&amp;"|"&amp;1,Tasks!$Z$2:$Z$1500,0))),"")</f>
        <v/>
      </c>
      <c r="G15" s="21" t="str">
        <f>IFERROR(IF(INDEX(Tasks!$P$2:$P$1500,MATCH($Y13&amp;"|"&amp;1,Tasks!$Z$2:$Z$1500,0))=0,"",INDEX(Tasks!$P$2:$P$1500,MATCH($Y13&amp;"|"&amp;1,Tasks!$Z$2:$Z$1500,0))),"")</f>
        <v/>
      </c>
    </row>
    <row r="16" spans="1:28" ht="17" hidden="1" x14ac:dyDescent="0.5">
      <c r="C16" s="18" t="str">
        <f>IFERROR(INDEX(Tasks!$E$2:$E$1500,MATCH($Y13&amp;"|"&amp;2,Tasks!$Z$2:$Z$1500,0)),"")</f>
        <v/>
      </c>
      <c r="D16" s="19" t="str">
        <f>IFERROR(INDEX(Tasks!$F$2:$F$1500,MATCH($Y13&amp;"|"&amp;2,Tasks!$Z$2:$Z$1500,0)),"")</f>
        <v/>
      </c>
      <c r="E16" s="20" t="str">
        <f>IFERROR(IF(INDEX(Tasks!$K$2:$K$1500,MATCH($Y13&amp;"|"&amp;2,Tasks!$Z$2:$Z$1500,0))=0,"",INDEX(Tasks!$K$2:$K$1500,MATCH($Y13&amp;"|"&amp;2,Tasks!$Z$2:$Z$1500,0))),"")</f>
        <v/>
      </c>
      <c r="F16" s="19" t="str">
        <f>IFERROR(IF(INDEX(Tasks!$L$2:$L$1500,MATCH($Y13&amp;"|"&amp;2,Tasks!$Z$2:$Z$1500,0))=0,"",INDEX(Tasks!$L$2:$L$1500,MATCH($Y13&amp;"|"&amp;2,Tasks!$Z$2:$Z$1500,0))),"")</f>
        <v/>
      </c>
      <c r="G16" s="21" t="str">
        <f>IFERROR(IF(INDEX(Tasks!$P$2:$P$1500,MATCH($Y13&amp;"|"&amp;2,Tasks!$Z$2:$Z$1500,0))=0,"",INDEX(Tasks!$P$2:$P$1500,MATCH($Y13&amp;"|"&amp;2,Tasks!$Z$2:$Z$1500,0))),"")</f>
        <v/>
      </c>
    </row>
    <row r="17" spans="1:28" ht="17" hidden="1" x14ac:dyDescent="0.5">
      <c r="C17" s="18" t="str">
        <f>IFERROR(INDEX(Tasks!$E$2:$E$1500,MATCH($Y13&amp;"|"&amp;3,Tasks!$Z$2:$Z$1500,0)),"")</f>
        <v/>
      </c>
      <c r="D17" s="19" t="str">
        <f>IFERROR(INDEX(Tasks!$F$2:$F$1500,MATCH($Y13&amp;"|"&amp;3,Tasks!$Z$2:$Z$1500,0)),"")</f>
        <v/>
      </c>
      <c r="E17" s="20" t="str">
        <f>IFERROR(IF(INDEX(Tasks!$K$2:$K$1500,MATCH($Y13&amp;"|"&amp;3,Tasks!$Z$2:$Z$1500,0))=0,"",INDEX(Tasks!$K$2:$K$1500,MATCH($Y13&amp;"|"&amp;3,Tasks!$Z$2:$Z$1500,0))),"")</f>
        <v/>
      </c>
      <c r="F17" s="19" t="str">
        <f>IFERROR(IF(INDEX(Tasks!$L$2:$L$1500,MATCH($Y13&amp;"|"&amp;3,Tasks!$Z$2:$Z$1500,0))=0,"",INDEX(Tasks!$L$2:$L$1500,MATCH($Y13&amp;"|"&amp;3,Tasks!$Z$2:$Z$1500,0))),"")</f>
        <v/>
      </c>
      <c r="G17" s="21" t="str">
        <f>IFERROR(IF(INDEX(Tasks!$P$2:$P$1500,MATCH($Y13&amp;"|"&amp;3,Tasks!$Z$2:$Z$1500,0))=0,"",INDEX(Tasks!$P$2:$P$1500,MATCH($Y13&amp;"|"&amp;3,Tasks!$Z$2:$Z$1500,0))),"")</f>
        <v/>
      </c>
    </row>
    <row r="18" spans="1:28" ht="17" hidden="1" x14ac:dyDescent="0.5">
      <c r="C18" s="18" t="str">
        <f>IFERROR(INDEX(Tasks!$E$2:$E$1500,MATCH($Y13&amp;"|"&amp;4,Tasks!$Z$2:$Z$1500,0)),"")</f>
        <v/>
      </c>
      <c r="D18" s="19" t="str">
        <f>IFERROR(INDEX(Tasks!$F$2:$F$1500,MATCH($Y13&amp;"|"&amp;4,Tasks!$Z$2:$Z$1500,0)),"")</f>
        <v/>
      </c>
      <c r="E18" s="20" t="str">
        <f>IFERROR(IF(INDEX(Tasks!$K$2:$K$1500,MATCH($Y13&amp;"|"&amp;4,Tasks!$Z$2:$Z$1500,0))=0,"",INDEX(Tasks!$K$2:$K$1500,MATCH($Y13&amp;"|"&amp;4,Tasks!$Z$2:$Z$1500,0))),"")</f>
        <v/>
      </c>
      <c r="F18" s="19" t="str">
        <f>IFERROR(IF(INDEX(Tasks!$L$2:$L$1500,MATCH($Y13&amp;"|"&amp;4,Tasks!$Z$2:$Z$1500,0))=0,"",INDEX(Tasks!$L$2:$L$1500,MATCH($Y13&amp;"|"&amp;4,Tasks!$Z$2:$Z$1500,0))),"")</f>
        <v/>
      </c>
      <c r="G18" s="21" t="str">
        <f>IFERROR(IF(INDEX(Tasks!$P$2:$P$1500,MATCH($Y13&amp;"|"&amp;4,Tasks!$Z$2:$Z$1500,0))=0,"",INDEX(Tasks!$P$2:$P$1500,MATCH($Y13&amp;"|"&amp;4,Tasks!$Z$2:$Z$1500,0))),"")</f>
        <v/>
      </c>
    </row>
    <row r="19" spans="1:28" ht="17" hidden="1" x14ac:dyDescent="0.5">
      <c r="C19" s="18" t="str">
        <f>IFERROR(INDEX(Tasks!$E$2:$E$1500,MATCH($Y13&amp;"|"&amp;5,Tasks!$Z$2:$Z$1500,0)),"")</f>
        <v/>
      </c>
      <c r="D19" s="19" t="str">
        <f>IFERROR(INDEX(Tasks!$F$2:$F$1500,MATCH($Y13&amp;"|"&amp;5,Tasks!$Z$2:$Z$1500,0)),"")</f>
        <v/>
      </c>
      <c r="E19" s="20" t="str">
        <f>IFERROR(IF(INDEX(Tasks!$K$2:$K$1500,MATCH($Y13&amp;"|"&amp;5,Tasks!$Z$2:$Z$1500,0))=0,"",INDEX(Tasks!$K$2:$K$1500,MATCH($Y13&amp;"|"&amp;5,Tasks!$Z$2:$Z$1500,0))),"")</f>
        <v/>
      </c>
      <c r="F19" s="19" t="str">
        <f>IFERROR(IF(INDEX(Tasks!$L$2:$L$1500,MATCH($Y13&amp;"|"&amp;5,Tasks!$Z$2:$Z$1500,0))=0,"",INDEX(Tasks!$L$2:$L$1500,MATCH($Y13&amp;"|"&amp;5,Tasks!$Z$2:$Z$1500,0))),"")</f>
        <v/>
      </c>
      <c r="G19" s="21" t="str">
        <f>IFERROR(IF(INDEX(Tasks!$P$2:$P$1500,MATCH($Y13&amp;"|"&amp;5,Tasks!$Z$2:$Z$1500,0))=0,"",INDEX(Tasks!$P$2:$P$1500,MATCH($Y13&amp;"|"&amp;5,Tasks!$Z$2:$Z$1500,0))),"")</f>
        <v/>
      </c>
    </row>
    <row r="20" spans="1:28" ht="17" hidden="1" x14ac:dyDescent="0.5">
      <c r="C20" s="18" t="str">
        <f>IFERROR(INDEX(Tasks!$E$2:$E$1500,MATCH($Y13&amp;"|"&amp;6,Tasks!$Z$2:$Z$1500,0)),"")</f>
        <v/>
      </c>
      <c r="D20" s="19" t="str">
        <f>IFERROR(INDEX(Tasks!$F$2:$F$1500,MATCH($Y13&amp;"|"&amp;6,Tasks!$Z$2:$Z$1500,0)),"")</f>
        <v/>
      </c>
      <c r="E20" s="20" t="str">
        <f>IFERROR(IF(INDEX(Tasks!$K$2:$K$1500,MATCH($Y13&amp;"|"&amp;6,Tasks!$Z$2:$Z$1500,0))=0,"",INDEX(Tasks!$K$2:$K$1500,MATCH($Y13&amp;"|"&amp;6,Tasks!$Z$2:$Z$1500,0))),"")</f>
        <v/>
      </c>
      <c r="F20" s="19" t="str">
        <f>IFERROR(IF(INDEX(Tasks!$L$2:$L$1500,MATCH($Y13&amp;"|"&amp;6,Tasks!$Z$2:$Z$1500,0))=0,"",INDEX(Tasks!$L$2:$L$1500,MATCH($Y13&amp;"|"&amp;6,Tasks!$Z$2:$Z$1500,0))),"")</f>
        <v/>
      </c>
      <c r="G20" s="21" t="str">
        <f>IFERROR(IF(INDEX(Tasks!$P$2:$P$1500,MATCH($Y13&amp;"|"&amp;6,Tasks!$Z$2:$Z$1500,0))=0,"",INDEX(Tasks!$P$2:$P$1500,MATCH($Y13&amp;"|"&amp;6,Tasks!$Z$2:$Z$1500,0))),"")</f>
        <v/>
      </c>
    </row>
    <row r="21" spans="1:28" ht="17" hidden="1" x14ac:dyDescent="0.5">
      <c r="C21" s="18" t="str">
        <f>IFERROR(INDEX(Tasks!$E$2:$E$1500,MATCH($Y13&amp;"|"&amp;7,Tasks!$Z$2:$Z$1500,0)),"")</f>
        <v/>
      </c>
      <c r="D21" s="19" t="str">
        <f>IFERROR(INDEX(Tasks!$F$2:$F$1500,MATCH($Y13&amp;"|"&amp;7,Tasks!$Z$2:$Z$1500,0)),"")</f>
        <v/>
      </c>
      <c r="E21" s="20" t="str">
        <f>IFERROR(IF(INDEX(Tasks!$K$2:$K$1500,MATCH($Y13&amp;"|"&amp;7,Tasks!$Z$2:$Z$1500,0))=0,"",INDEX(Tasks!$K$2:$K$1500,MATCH($Y13&amp;"|"&amp;7,Tasks!$Z$2:$Z$1500,0))),"")</f>
        <v/>
      </c>
      <c r="F21" s="19" t="str">
        <f>IFERROR(IF(INDEX(Tasks!$L$2:$L$1500,MATCH($Y13&amp;"|"&amp;7,Tasks!$Z$2:$Z$1500,0))=0,"",INDEX(Tasks!$L$2:$L$1500,MATCH($Y13&amp;"|"&amp;7,Tasks!$Z$2:$Z$1500,0))),"")</f>
        <v/>
      </c>
      <c r="G21" s="21" t="str">
        <f>IFERROR(IF(INDEX(Tasks!$P$2:$P$1500,MATCH($Y13&amp;"|"&amp;7,Tasks!$Z$2:$Z$1500,0))=0,"",INDEX(Tasks!$P$2:$P$1500,MATCH($Y13&amp;"|"&amp;7,Tasks!$Z$2:$Z$1500,0))),"")</f>
        <v/>
      </c>
    </row>
    <row r="22" spans="1:28" ht="17" hidden="1" x14ac:dyDescent="0.5">
      <c r="C22" s="18" t="str">
        <f>IF(N($D13)&gt;8,"+ "&amp;(N($D13)-7)&amp;" more — see Tasks",IFERROR(INDEX(Tasks!$E$2:$E$1500,MATCH($Y13&amp;"|"&amp;8,Tasks!$Z$2:$Z$1500,0)),""))</f>
        <v/>
      </c>
      <c r="D22" s="19" t="str">
        <f>IF(N($D13)&gt;8,"",IFERROR(INDEX(Tasks!$F$2:$F$1500,MATCH($Y13&amp;"|"&amp;8,Tasks!$Z$2:$Z$1500,0)),""))</f>
        <v/>
      </c>
      <c r="E22" s="20" t="str">
        <f>IF(N($D13)&gt;8,"",IFERROR(IF(INDEX(Tasks!$K$2:$K$1500,MATCH($Y13&amp;"|"&amp;8,Tasks!$Z$2:$Z$1500,0))=0,"",INDEX(Tasks!$K$2:$K$1500,MATCH($Y13&amp;"|"&amp;8,Tasks!$Z$2:$Z$1500,0))),""))</f>
        <v/>
      </c>
      <c r="F22" s="19" t="str">
        <f>IF(N($D13)&gt;8,"",IFERROR(IF(INDEX(Tasks!$L$2:$L$1500,MATCH($Y13&amp;"|"&amp;8,Tasks!$Z$2:$Z$1500,0))=0,"",INDEX(Tasks!$L$2:$L$1500,MATCH($Y13&amp;"|"&amp;8,Tasks!$Z$2:$Z$1500,0))),""))</f>
        <v/>
      </c>
      <c r="G22" s="21" t="str">
        <f>IF(N($D13)&gt;8,"",IFERROR(IF(INDEX(Tasks!$P$2:$P$1500,MATCH($Y13&amp;"|"&amp;8,Tasks!$Z$2:$Z$1500,0))=0,"",INDEX(Tasks!$P$2:$P$1500,MATCH($Y13&amp;"|"&amp;8,Tasks!$Z$2:$Z$1500,0))),""))</f>
        <v/>
      </c>
    </row>
    <row r="23" spans="1:28" ht="14.5" x14ac:dyDescent="0.35">
      <c r="A23" s="2"/>
      <c r="B23" s="2"/>
      <c r="C23" s="2"/>
      <c r="D23" s="3" t="str">
        <f>IF(COUNTIFS(Tasks!$V$2:$V$1500,Y23)=0,"",COUNTIFS(Tasks!$V$2:$V$1500,Y23))</f>
        <v/>
      </c>
      <c r="E23" s="13"/>
      <c r="F23" s="13"/>
      <c r="G23" s="2"/>
      <c r="H23" s="14" t="str">
        <f ca="1">IF(OR(E23="",F23=""),"",IF(E23=F23,IF(TODAY()&gt;=E23,1,0),MAX(0,MIN(1,(TODAY()-E23)/(F23-E23)))))</f>
        <v/>
      </c>
      <c r="I23" s="6"/>
      <c r="J23" s="15"/>
      <c r="AA23">
        <f ca="1">IF(TODAY()&lt;E23,E23-TODAY(),F23-TODAY())</f>
        <v>-46311</v>
      </c>
      <c r="AB23" t="str">
        <f ca="1">IF(AND(OR(G23="Planned",G23="Active"),ABS(AA23)&lt;=7),AA23+Y23/1000000,"")</f>
        <v/>
      </c>
    </row>
    <row r="24" spans="1:28" ht="15" hidden="1" x14ac:dyDescent="0.4">
      <c r="C24" s="16" t="s">
        <v>40</v>
      </c>
      <c r="D24" s="17" t="s">
        <v>41</v>
      </c>
      <c r="E24" s="17" t="s">
        <v>15</v>
      </c>
      <c r="F24" s="17" t="s">
        <v>16</v>
      </c>
      <c r="G24" s="17" t="s">
        <v>18</v>
      </c>
    </row>
    <row r="25" spans="1:28" ht="17" hidden="1" x14ac:dyDescent="0.5">
      <c r="C25" s="18" t="str">
        <f>IFERROR(INDEX(Tasks!$E$2:$E$1500,MATCH($Y23&amp;"|"&amp;1,Tasks!$Z$2:$Z$1500,0)),"")</f>
        <v/>
      </c>
      <c r="D25" s="19" t="str">
        <f>IFERROR(INDEX(Tasks!$F$2:$F$1500,MATCH($Y23&amp;"|"&amp;1,Tasks!$Z$2:$Z$1500,0)),"")</f>
        <v/>
      </c>
      <c r="E25" s="20" t="str">
        <f>IFERROR(IF(INDEX(Tasks!$K$2:$K$1500,MATCH($Y23&amp;"|"&amp;1,Tasks!$Z$2:$Z$1500,0))=0,"",INDEX(Tasks!$K$2:$K$1500,MATCH($Y23&amp;"|"&amp;1,Tasks!$Z$2:$Z$1500,0))),"")</f>
        <v/>
      </c>
      <c r="F25" s="19" t="str">
        <f>IFERROR(IF(INDEX(Tasks!$L$2:$L$1500,MATCH($Y23&amp;"|"&amp;1,Tasks!$Z$2:$Z$1500,0))=0,"",INDEX(Tasks!$L$2:$L$1500,MATCH($Y23&amp;"|"&amp;1,Tasks!$Z$2:$Z$1500,0))),"")</f>
        <v/>
      </c>
      <c r="G25" s="21" t="str">
        <f>IFERROR(IF(INDEX(Tasks!$P$2:$P$1500,MATCH($Y23&amp;"|"&amp;1,Tasks!$Z$2:$Z$1500,0))=0,"",INDEX(Tasks!$P$2:$P$1500,MATCH($Y23&amp;"|"&amp;1,Tasks!$Z$2:$Z$1500,0))),"")</f>
        <v/>
      </c>
    </row>
    <row r="26" spans="1:28" ht="17" hidden="1" x14ac:dyDescent="0.5">
      <c r="C26" s="18" t="str">
        <f>IFERROR(INDEX(Tasks!$E$2:$E$1500,MATCH($Y23&amp;"|"&amp;2,Tasks!$Z$2:$Z$1500,0)),"")</f>
        <v/>
      </c>
      <c r="D26" s="19" t="str">
        <f>IFERROR(INDEX(Tasks!$F$2:$F$1500,MATCH($Y23&amp;"|"&amp;2,Tasks!$Z$2:$Z$1500,0)),"")</f>
        <v/>
      </c>
      <c r="E26" s="20" t="str">
        <f>IFERROR(IF(INDEX(Tasks!$K$2:$K$1500,MATCH($Y23&amp;"|"&amp;2,Tasks!$Z$2:$Z$1500,0))=0,"",INDEX(Tasks!$K$2:$K$1500,MATCH($Y23&amp;"|"&amp;2,Tasks!$Z$2:$Z$1500,0))),"")</f>
        <v/>
      </c>
      <c r="F26" s="19" t="str">
        <f>IFERROR(IF(INDEX(Tasks!$L$2:$L$1500,MATCH($Y23&amp;"|"&amp;2,Tasks!$Z$2:$Z$1500,0))=0,"",INDEX(Tasks!$L$2:$L$1500,MATCH($Y23&amp;"|"&amp;2,Tasks!$Z$2:$Z$1500,0))),"")</f>
        <v/>
      </c>
      <c r="G26" s="21" t="str">
        <f>IFERROR(IF(INDEX(Tasks!$P$2:$P$1500,MATCH($Y23&amp;"|"&amp;2,Tasks!$Z$2:$Z$1500,0))=0,"",INDEX(Tasks!$P$2:$P$1500,MATCH($Y23&amp;"|"&amp;2,Tasks!$Z$2:$Z$1500,0))),"")</f>
        <v/>
      </c>
    </row>
    <row r="27" spans="1:28" ht="17" hidden="1" x14ac:dyDescent="0.5">
      <c r="C27" s="18" t="str">
        <f>IFERROR(INDEX(Tasks!$E$2:$E$1500,MATCH($Y23&amp;"|"&amp;3,Tasks!$Z$2:$Z$1500,0)),"")</f>
        <v/>
      </c>
      <c r="D27" s="19" t="str">
        <f>IFERROR(INDEX(Tasks!$F$2:$F$1500,MATCH($Y23&amp;"|"&amp;3,Tasks!$Z$2:$Z$1500,0)),"")</f>
        <v/>
      </c>
      <c r="E27" s="20" t="str">
        <f>IFERROR(IF(INDEX(Tasks!$K$2:$K$1500,MATCH($Y23&amp;"|"&amp;3,Tasks!$Z$2:$Z$1500,0))=0,"",INDEX(Tasks!$K$2:$K$1500,MATCH($Y23&amp;"|"&amp;3,Tasks!$Z$2:$Z$1500,0))),"")</f>
        <v/>
      </c>
      <c r="F27" s="19" t="str">
        <f>IFERROR(IF(INDEX(Tasks!$L$2:$L$1500,MATCH($Y23&amp;"|"&amp;3,Tasks!$Z$2:$Z$1500,0))=0,"",INDEX(Tasks!$L$2:$L$1500,MATCH($Y23&amp;"|"&amp;3,Tasks!$Z$2:$Z$1500,0))),"")</f>
        <v/>
      </c>
      <c r="G27" s="21" t="str">
        <f>IFERROR(IF(INDEX(Tasks!$P$2:$P$1500,MATCH($Y23&amp;"|"&amp;3,Tasks!$Z$2:$Z$1500,0))=0,"",INDEX(Tasks!$P$2:$P$1500,MATCH($Y23&amp;"|"&amp;3,Tasks!$Z$2:$Z$1500,0))),"")</f>
        <v/>
      </c>
    </row>
    <row r="28" spans="1:28" ht="17" hidden="1" x14ac:dyDescent="0.5">
      <c r="C28" s="18" t="str">
        <f>IFERROR(INDEX(Tasks!$E$2:$E$1500,MATCH($Y23&amp;"|"&amp;4,Tasks!$Z$2:$Z$1500,0)),"")</f>
        <v/>
      </c>
      <c r="D28" s="19" t="str">
        <f>IFERROR(INDEX(Tasks!$F$2:$F$1500,MATCH($Y23&amp;"|"&amp;4,Tasks!$Z$2:$Z$1500,0)),"")</f>
        <v/>
      </c>
      <c r="E28" s="20" t="str">
        <f>IFERROR(IF(INDEX(Tasks!$K$2:$K$1500,MATCH($Y23&amp;"|"&amp;4,Tasks!$Z$2:$Z$1500,0))=0,"",INDEX(Tasks!$K$2:$K$1500,MATCH($Y23&amp;"|"&amp;4,Tasks!$Z$2:$Z$1500,0))),"")</f>
        <v/>
      </c>
      <c r="F28" s="19" t="str">
        <f>IFERROR(IF(INDEX(Tasks!$L$2:$L$1500,MATCH($Y23&amp;"|"&amp;4,Tasks!$Z$2:$Z$1500,0))=0,"",INDEX(Tasks!$L$2:$L$1500,MATCH($Y23&amp;"|"&amp;4,Tasks!$Z$2:$Z$1500,0))),"")</f>
        <v/>
      </c>
      <c r="G28" s="21" t="str">
        <f>IFERROR(IF(INDEX(Tasks!$P$2:$P$1500,MATCH($Y23&amp;"|"&amp;4,Tasks!$Z$2:$Z$1500,0))=0,"",INDEX(Tasks!$P$2:$P$1500,MATCH($Y23&amp;"|"&amp;4,Tasks!$Z$2:$Z$1500,0))),"")</f>
        <v/>
      </c>
    </row>
    <row r="29" spans="1:28" ht="17" hidden="1" x14ac:dyDescent="0.5">
      <c r="C29" s="18" t="str">
        <f>IFERROR(INDEX(Tasks!$E$2:$E$1500,MATCH($Y23&amp;"|"&amp;5,Tasks!$Z$2:$Z$1500,0)),"")</f>
        <v/>
      </c>
      <c r="D29" s="19" t="str">
        <f>IFERROR(INDEX(Tasks!$F$2:$F$1500,MATCH($Y23&amp;"|"&amp;5,Tasks!$Z$2:$Z$1500,0)),"")</f>
        <v/>
      </c>
      <c r="E29" s="20" t="str">
        <f>IFERROR(IF(INDEX(Tasks!$K$2:$K$1500,MATCH($Y23&amp;"|"&amp;5,Tasks!$Z$2:$Z$1500,0))=0,"",INDEX(Tasks!$K$2:$K$1500,MATCH($Y23&amp;"|"&amp;5,Tasks!$Z$2:$Z$1500,0))),"")</f>
        <v/>
      </c>
      <c r="F29" s="19" t="str">
        <f>IFERROR(IF(INDEX(Tasks!$L$2:$L$1500,MATCH($Y23&amp;"|"&amp;5,Tasks!$Z$2:$Z$1500,0))=0,"",INDEX(Tasks!$L$2:$L$1500,MATCH($Y23&amp;"|"&amp;5,Tasks!$Z$2:$Z$1500,0))),"")</f>
        <v/>
      </c>
      <c r="G29" s="21" t="str">
        <f>IFERROR(IF(INDEX(Tasks!$P$2:$P$1500,MATCH($Y23&amp;"|"&amp;5,Tasks!$Z$2:$Z$1500,0))=0,"",INDEX(Tasks!$P$2:$P$1500,MATCH($Y23&amp;"|"&amp;5,Tasks!$Z$2:$Z$1500,0))),"")</f>
        <v/>
      </c>
    </row>
    <row r="30" spans="1:28" ht="17" hidden="1" x14ac:dyDescent="0.5">
      <c r="C30" s="18" t="str">
        <f>IFERROR(INDEX(Tasks!$E$2:$E$1500,MATCH($Y23&amp;"|"&amp;6,Tasks!$Z$2:$Z$1500,0)),"")</f>
        <v/>
      </c>
      <c r="D30" s="19" t="str">
        <f>IFERROR(INDEX(Tasks!$F$2:$F$1500,MATCH($Y23&amp;"|"&amp;6,Tasks!$Z$2:$Z$1500,0)),"")</f>
        <v/>
      </c>
      <c r="E30" s="20" t="str">
        <f>IFERROR(IF(INDEX(Tasks!$K$2:$K$1500,MATCH($Y23&amp;"|"&amp;6,Tasks!$Z$2:$Z$1500,0))=0,"",INDEX(Tasks!$K$2:$K$1500,MATCH($Y23&amp;"|"&amp;6,Tasks!$Z$2:$Z$1500,0))),"")</f>
        <v/>
      </c>
      <c r="F30" s="19" t="str">
        <f>IFERROR(IF(INDEX(Tasks!$L$2:$L$1500,MATCH($Y23&amp;"|"&amp;6,Tasks!$Z$2:$Z$1500,0))=0,"",INDEX(Tasks!$L$2:$L$1500,MATCH($Y23&amp;"|"&amp;6,Tasks!$Z$2:$Z$1500,0))),"")</f>
        <v/>
      </c>
      <c r="G30" s="21" t="str">
        <f>IFERROR(IF(INDEX(Tasks!$P$2:$P$1500,MATCH($Y23&amp;"|"&amp;6,Tasks!$Z$2:$Z$1500,0))=0,"",INDEX(Tasks!$P$2:$P$1500,MATCH($Y23&amp;"|"&amp;6,Tasks!$Z$2:$Z$1500,0))),"")</f>
        <v/>
      </c>
    </row>
    <row r="31" spans="1:28" ht="17" hidden="1" x14ac:dyDescent="0.5">
      <c r="C31" s="18" t="str">
        <f>IFERROR(INDEX(Tasks!$E$2:$E$1500,MATCH($Y23&amp;"|"&amp;7,Tasks!$Z$2:$Z$1500,0)),"")</f>
        <v/>
      </c>
      <c r="D31" s="19" t="str">
        <f>IFERROR(INDEX(Tasks!$F$2:$F$1500,MATCH($Y23&amp;"|"&amp;7,Tasks!$Z$2:$Z$1500,0)),"")</f>
        <v/>
      </c>
      <c r="E31" s="20" t="str">
        <f>IFERROR(IF(INDEX(Tasks!$K$2:$K$1500,MATCH($Y23&amp;"|"&amp;7,Tasks!$Z$2:$Z$1500,0))=0,"",INDEX(Tasks!$K$2:$K$1500,MATCH($Y23&amp;"|"&amp;7,Tasks!$Z$2:$Z$1500,0))),"")</f>
        <v/>
      </c>
      <c r="F31" s="19" t="str">
        <f>IFERROR(IF(INDEX(Tasks!$L$2:$L$1500,MATCH($Y23&amp;"|"&amp;7,Tasks!$Z$2:$Z$1500,0))=0,"",INDEX(Tasks!$L$2:$L$1500,MATCH($Y23&amp;"|"&amp;7,Tasks!$Z$2:$Z$1500,0))),"")</f>
        <v/>
      </c>
      <c r="G31" s="21" t="str">
        <f>IFERROR(IF(INDEX(Tasks!$P$2:$P$1500,MATCH($Y23&amp;"|"&amp;7,Tasks!$Z$2:$Z$1500,0))=0,"",INDEX(Tasks!$P$2:$P$1500,MATCH($Y23&amp;"|"&amp;7,Tasks!$Z$2:$Z$1500,0))),"")</f>
        <v/>
      </c>
    </row>
    <row r="32" spans="1:28" ht="17" hidden="1" x14ac:dyDescent="0.5">
      <c r="C32" s="18" t="str">
        <f>IF(N($D23)&gt;8,"+ "&amp;(N($D23)-7)&amp;" more — see Tasks",IFERROR(INDEX(Tasks!$E$2:$E$1500,MATCH($Y23&amp;"|"&amp;8,Tasks!$Z$2:$Z$1500,0)),""))</f>
        <v/>
      </c>
      <c r="D32" s="19" t="str">
        <f>IF(N($D23)&gt;8,"",IFERROR(INDEX(Tasks!$F$2:$F$1500,MATCH($Y23&amp;"|"&amp;8,Tasks!$Z$2:$Z$1500,0)),""))</f>
        <v/>
      </c>
      <c r="E32" s="20" t="str">
        <f>IF(N($D23)&gt;8,"",IFERROR(IF(INDEX(Tasks!$K$2:$K$1500,MATCH($Y23&amp;"|"&amp;8,Tasks!$Z$2:$Z$1500,0))=0,"",INDEX(Tasks!$K$2:$K$1500,MATCH($Y23&amp;"|"&amp;8,Tasks!$Z$2:$Z$1500,0))),""))</f>
        <v/>
      </c>
      <c r="F32" s="19" t="str">
        <f>IF(N($D23)&gt;8,"",IFERROR(IF(INDEX(Tasks!$L$2:$L$1500,MATCH($Y23&amp;"|"&amp;8,Tasks!$Z$2:$Z$1500,0))=0,"",INDEX(Tasks!$L$2:$L$1500,MATCH($Y23&amp;"|"&amp;8,Tasks!$Z$2:$Z$1500,0))),""))</f>
        <v/>
      </c>
      <c r="G32" s="21" t="str">
        <f>IF(N($D23)&gt;8,"",IFERROR(IF(INDEX(Tasks!$P$2:$P$1500,MATCH($Y23&amp;"|"&amp;8,Tasks!$Z$2:$Z$1500,0))=0,"",INDEX(Tasks!$P$2:$P$1500,MATCH($Y23&amp;"|"&amp;8,Tasks!$Z$2:$Z$1500,0))),""))</f>
        <v/>
      </c>
    </row>
    <row r="33" spans="1:28" ht="14.5" x14ac:dyDescent="0.35">
      <c r="A33" s="2"/>
      <c r="B33" s="2"/>
      <c r="C33" s="2"/>
      <c r="D33" s="3" t="str">
        <f>IF(COUNTIFS(Tasks!$V$2:$V$1500,Y33)=0,"",COUNTIFS(Tasks!$V$2:$V$1500,Y33))</f>
        <v/>
      </c>
      <c r="E33" s="13"/>
      <c r="F33" s="13"/>
      <c r="G33" s="2"/>
      <c r="H33" s="14" t="str">
        <f ca="1">IF(OR(E33="",F33=""),"",IF(E33=F33,IF(TODAY()&gt;=E33,1,0),MAX(0,MIN(1,(TODAY()-E33)/(F33-E33)))))</f>
        <v/>
      </c>
      <c r="I33" s="6"/>
      <c r="J33" s="15"/>
      <c r="AA33">
        <f ca="1">IF(TODAY()&lt;E33,E33-TODAY(),F33-TODAY())</f>
        <v>-46311</v>
      </c>
      <c r="AB33" t="str">
        <f ca="1">IF(AND(OR(G33="Planned",G33="Active"),ABS(AA33)&lt;=7),AA33+Y33/1000000,"")</f>
        <v/>
      </c>
    </row>
    <row r="34" spans="1:28" ht="15" hidden="1" x14ac:dyDescent="0.4">
      <c r="C34" s="16" t="s">
        <v>40</v>
      </c>
      <c r="D34" s="17" t="s">
        <v>41</v>
      </c>
      <c r="E34" s="17" t="s">
        <v>15</v>
      </c>
      <c r="F34" s="17" t="s">
        <v>16</v>
      </c>
      <c r="G34" s="17" t="s">
        <v>18</v>
      </c>
    </row>
    <row r="35" spans="1:28" ht="17" hidden="1" x14ac:dyDescent="0.5">
      <c r="C35" s="18" t="str">
        <f>IFERROR(INDEX(Tasks!$E$2:$E$1500,MATCH($Y33&amp;"|"&amp;1,Tasks!$Z$2:$Z$1500,0)),"")</f>
        <v/>
      </c>
      <c r="D35" s="19" t="str">
        <f>IFERROR(INDEX(Tasks!$F$2:$F$1500,MATCH($Y33&amp;"|"&amp;1,Tasks!$Z$2:$Z$1500,0)),"")</f>
        <v/>
      </c>
      <c r="E35" s="20" t="str">
        <f>IFERROR(IF(INDEX(Tasks!$K$2:$K$1500,MATCH($Y33&amp;"|"&amp;1,Tasks!$Z$2:$Z$1500,0))=0,"",INDEX(Tasks!$K$2:$K$1500,MATCH($Y33&amp;"|"&amp;1,Tasks!$Z$2:$Z$1500,0))),"")</f>
        <v/>
      </c>
      <c r="F35" s="19" t="str">
        <f>IFERROR(IF(INDEX(Tasks!$L$2:$L$1500,MATCH($Y33&amp;"|"&amp;1,Tasks!$Z$2:$Z$1500,0))=0,"",INDEX(Tasks!$L$2:$L$1500,MATCH($Y33&amp;"|"&amp;1,Tasks!$Z$2:$Z$1500,0))),"")</f>
        <v/>
      </c>
      <c r="G35" s="21" t="str">
        <f>IFERROR(IF(INDEX(Tasks!$P$2:$P$1500,MATCH($Y33&amp;"|"&amp;1,Tasks!$Z$2:$Z$1500,0))=0,"",INDEX(Tasks!$P$2:$P$1500,MATCH($Y33&amp;"|"&amp;1,Tasks!$Z$2:$Z$1500,0))),"")</f>
        <v/>
      </c>
    </row>
    <row r="36" spans="1:28" ht="17" hidden="1" x14ac:dyDescent="0.5">
      <c r="C36" s="18" t="str">
        <f>IFERROR(INDEX(Tasks!$E$2:$E$1500,MATCH($Y33&amp;"|"&amp;2,Tasks!$Z$2:$Z$1500,0)),"")</f>
        <v/>
      </c>
      <c r="D36" s="19" t="str">
        <f>IFERROR(INDEX(Tasks!$F$2:$F$1500,MATCH($Y33&amp;"|"&amp;2,Tasks!$Z$2:$Z$1500,0)),"")</f>
        <v/>
      </c>
      <c r="E36" s="20" t="str">
        <f>IFERROR(IF(INDEX(Tasks!$K$2:$K$1500,MATCH($Y33&amp;"|"&amp;2,Tasks!$Z$2:$Z$1500,0))=0,"",INDEX(Tasks!$K$2:$K$1500,MATCH($Y33&amp;"|"&amp;2,Tasks!$Z$2:$Z$1500,0))),"")</f>
        <v/>
      </c>
      <c r="F36" s="19" t="str">
        <f>IFERROR(IF(INDEX(Tasks!$L$2:$L$1500,MATCH($Y33&amp;"|"&amp;2,Tasks!$Z$2:$Z$1500,0))=0,"",INDEX(Tasks!$L$2:$L$1500,MATCH($Y33&amp;"|"&amp;2,Tasks!$Z$2:$Z$1500,0))),"")</f>
        <v/>
      </c>
      <c r="G36" s="21" t="str">
        <f>IFERROR(IF(INDEX(Tasks!$P$2:$P$1500,MATCH($Y33&amp;"|"&amp;2,Tasks!$Z$2:$Z$1500,0))=0,"",INDEX(Tasks!$P$2:$P$1500,MATCH($Y33&amp;"|"&amp;2,Tasks!$Z$2:$Z$1500,0))),"")</f>
        <v/>
      </c>
    </row>
    <row r="37" spans="1:28" ht="17" hidden="1" x14ac:dyDescent="0.5">
      <c r="C37" s="18" t="str">
        <f>IFERROR(INDEX(Tasks!$E$2:$E$1500,MATCH($Y33&amp;"|"&amp;3,Tasks!$Z$2:$Z$1500,0)),"")</f>
        <v/>
      </c>
      <c r="D37" s="19" t="str">
        <f>IFERROR(INDEX(Tasks!$F$2:$F$1500,MATCH($Y33&amp;"|"&amp;3,Tasks!$Z$2:$Z$1500,0)),"")</f>
        <v/>
      </c>
      <c r="E37" s="20" t="str">
        <f>IFERROR(IF(INDEX(Tasks!$K$2:$K$1500,MATCH($Y33&amp;"|"&amp;3,Tasks!$Z$2:$Z$1500,0))=0,"",INDEX(Tasks!$K$2:$K$1500,MATCH($Y33&amp;"|"&amp;3,Tasks!$Z$2:$Z$1500,0))),"")</f>
        <v/>
      </c>
      <c r="F37" s="19" t="str">
        <f>IFERROR(IF(INDEX(Tasks!$L$2:$L$1500,MATCH($Y33&amp;"|"&amp;3,Tasks!$Z$2:$Z$1500,0))=0,"",INDEX(Tasks!$L$2:$L$1500,MATCH($Y33&amp;"|"&amp;3,Tasks!$Z$2:$Z$1500,0))),"")</f>
        <v/>
      </c>
      <c r="G37" s="21" t="str">
        <f>IFERROR(IF(INDEX(Tasks!$P$2:$P$1500,MATCH($Y33&amp;"|"&amp;3,Tasks!$Z$2:$Z$1500,0))=0,"",INDEX(Tasks!$P$2:$P$1500,MATCH($Y33&amp;"|"&amp;3,Tasks!$Z$2:$Z$1500,0))),"")</f>
        <v/>
      </c>
    </row>
    <row r="38" spans="1:28" ht="17" hidden="1" x14ac:dyDescent="0.5">
      <c r="C38" s="18" t="str">
        <f>IFERROR(INDEX(Tasks!$E$2:$E$1500,MATCH($Y33&amp;"|"&amp;4,Tasks!$Z$2:$Z$1500,0)),"")</f>
        <v/>
      </c>
      <c r="D38" s="19" t="str">
        <f>IFERROR(INDEX(Tasks!$F$2:$F$1500,MATCH($Y33&amp;"|"&amp;4,Tasks!$Z$2:$Z$1500,0)),"")</f>
        <v/>
      </c>
      <c r="E38" s="20" t="str">
        <f>IFERROR(IF(INDEX(Tasks!$K$2:$K$1500,MATCH($Y33&amp;"|"&amp;4,Tasks!$Z$2:$Z$1500,0))=0,"",INDEX(Tasks!$K$2:$K$1500,MATCH($Y33&amp;"|"&amp;4,Tasks!$Z$2:$Z$1500,0))),"")</f>
        <v/>
      </c>
      <c r="F38" s="19" t="str">
        <f>IFERROR(IF(INDEX(Tasks!$L$2:$L$1500,MATCH($Y33&amp;"|"&amp;4,Tasks!$Z$2:$Z$1500,0))=0,"",INDEX(Tasks!$L$2:$L$1500,MATCH($Y33&amp;"|"&amp;4,Tasks!$Z$2:$Z$1500,0))),"")</f>
        <v/>
      </c>
      <c r="G38" s="21" t="str">
        <f>IFERROR(IF(INDEX(Tasks!$P$2:$P$1500,MATCH($Y33&amp;"|"&amp;4,Tasks!$Z$2:$Z$1500,0))=0,"",INDEX(Tasks!$P$2:$P$1500,MATCH($Y33&amp;"|"&amp;4,Tasks!$Z$2:$Z$1500,0))),"")</f>
        <v/>
      </c>
    </row>
    <row r="39" spans="1:28" ht="17" hidden="1" x14ac:dyDescent="0.5">
      <c r="C39" s="18" t="str">
        <f>IFERROR(INDEX(Tasks!$E$2:$E$1500,MATCH($Y33&amp;"|"&amp;5,Tasks!$Z$2:$Z$1500,0)),"")</f>
        <v/>
      </c>
      <c r="D39" s="19" t="str">
        <f>IFERROR(INDEX(Tasks!$F$2:$F$1500,MATCH($Y33&amp;"|"&amp;5,Tasks!$Z$2:$Z$1500,0)),"")</f>
        <v/>
      </c>
      <c r="E39" s="20" t="str">
        <f>IFERROR(IF(INDEX(Tasks!$K$2:$K$1500,MATCH($Y33&amp;"|"&amp;5,Tasks!$Z$2:$Z$1500,0))=0,"",INDEX(Tasks!$K$2:$K$1500,MATCH($Y33&amp;"|"&amp;5,Tasks!$Z$2:$Z$1500,0))),"")</f>
        <v/>
      </c>
      <c r="F39" s="19" t="str">
        <f>IFERROR(IF(INDEX(Tasks!$L$2:$L$1500,MATCH($Y33&amp;"|"&amp;5,Tasks!$Z$2:$Z$1500,0))=0,"",INDEX(Tasks!$L$2:$L$1500,MATCH($Y33&amp;"|"&amp;5,Tasks!$Z$2:$Z$1500,0))),"")</f>
        <v/>
      </c>
      <c r="G39" s="21" t="str">
        <f>IFERROR(IF(INDEX(Tasks!$P$2:$P$1500,MATCH($Y33&amp;"|"&amp;5,Tasks!$Z$2:$Z$1500,0))=0,"",INDEX(Tasks!$P$2:$P$1500,MATCH($Y33&amp;"|"&amp;5,Tasks!$Z$2:$Z$1500,0))),"")</f>
        <v/>
      </c>
    </row>
    <row r="40" spans="1:28" ht="17" hidden="1" x14ac:dyDescent="0.5">
      <c r="C40" s="18" t="str">
        <f>IFERROR(INDEX(Tasks!$E$2:$E$1500,MATCH($Y33&amp;"|"&amp;6,Tasks!$Z$2:$Z$1500,0)),"")</f>
        <v/>
      </c>
      <c r="D40" s="19" t="str">
        <f>IFERROR(INDEX(Tasks!$F$2:$F$1500,MATCH($Y33&amp;"|"&amp;6,Tasks!$Z$2:$Z$1500,0)),"")</f>
        <v/>
      </c>
      <c r="E40" s="20" t="str">
        <f>IFERROR(IF(INDEX(Tasks!$K$2:$K$1500,MATCH($Y33&amp;"|"&amp;6,Tasks!$Z$2:$Z$1500,0))=0,"",INDEX(Tasks!$K$2:$K$1500,MATCH($Y33&amp;"|"&amp;6,Tasks!$Z$2:$Z$1500,0))),"")</f>
        <v/>
      </c>
      <c r="F40" s="19" t="str">
        <f>IFERROR(IF(INDEX(Tasks!$L$2:$L$1500,MATCH($Y33&amp;"|"&amp;6,Tasks!$Z$2:$Z$1500,0))=0,"",INDEX(Tasks!$L$2:$L$1500,MATCH($Y33&amp;"|"&amp;6,Tasks!$Z$2:$Z$1500,0))),"")</f>
        <v/>
      </c>
      <c r="G40" s="21" t="str">
        <f>IFERROR(IF(INDEX(Tasks!$P$2:$P$1500,MATCH($Y33&amp;"|"&amp;6,Tasks!$Z$2:$Z$1500,0))=0,"",INDEX(Tasks!$P$2:$P$1500,MATCH($Y33&amp;"|"&amp;6,Tasks!$Z$2:$Z$1500,0))),"")</f>
        <v/>
      </c>
    </row>
    <row r="41" spans="1:28" ht="17" hidden="1" x14ac:dyDescent="0.5">
      <c r="C41" s="18" t="str">
        <f>IFERROR(INDEX(Tasks!$E$2:$E$1500,MATCH($Y33&amp;"|"&amp;7,Tasks!$Z$2:$Z$1500,0)),"")</f>
        <v/>
      </c>
      <c r="D41" s="19" t="str">
        <f>IFERROR(INDEX(Tasks!$F$2:$F$1500,MATCH($Y33&amp;"|"&amp;7,Tasks!$Z$2:$Z$1500,0)),"")</f>
        <v/>
      </c>
      <c r="E41" s="20" t="str">
        <f>IFERROR(IF(INDEX(Tasks!$K$2:$K$1500,MATCH($Y33&amp;"|"&amp;7,Tasks!$Z$2:$Z$1500,0))=0,"",INDEX(Tasks!$K$2:$K$1500,MATCH($Y33&amp;"|"&amp;7,Tasks!$Z$2:$Z$1500,0))),"")</f>
        <v/>
      </c>
      <c r="F41" s="19" t="str">
        <f>IFERROR(IF(INDEX(Tasks!$L$2:$L$1500,MATCH($Y33&amp;"|"&amp;7,Tasks!$Z$2:$Z$1500,0))=0,"",INDEX(Tasks!$L$2:$L$1500,MATCH($Y33&amp;"|"&amp;7,Tasks!$Z$2:$Z$1500,0))),"")</f>
        <v/>
      </c>
      <c r="G41" s="21" t="str">
        <f>IFERROR(IF(INDEX(Tasks!$P$2:$P$1500,MATCH($Y33&amp;"|"&amp;7,Tasks!$Z$2:$Z$1500,0))=0,"",INDEX(Tasks!$P$2:$P$1500,MATCH($Y33&amp;"|"&amp;7,Tasks!$Z$2:$Z$1500,0))),"")</f>
        <v/>
      </c>
    </row>
    <row r="42" spans="1:28" ht="17" hidden="1" x14ac:dyDescent="0.5">
      <c r="C42" s="18" t="str">
        <f>IF(N($D33)&gt;8,"+ "&amp;(N($D33)-7)&amp;" more — see Tasks",IFERROR(INDEX(Tasks!$E$2:$E$1500,MATCH($Y33&amp;"|"&amp;8,Tasks!$Z$2:$Z$1500,0)),""))</f>
        <v/>
      </c>
      <c r="D42" s="19" t="str">
        <f>IF(N($D33)&gt;8,"",IFERROR(INDEX(Tasks!$F$2:$F$1500,MATCH($Y33&amp;"|"&amp;8,Tasks!$Z$2:$Z$1500,0)),""))</f>
        <v/>
      </c>
      <c r="E42" s="20" t="str">
        <f>IF(N($D33)&gt;8,"",IFERROR(IF(INDEX(Tasks!$K$2:$K$1500,MATCH($Y33&amp;"|"&amp;8,Tasks!$Z$2:$Z$1500,0))=0,"",INDEX(Tasks!$K$2:$K$1500,MATCH($Y33&amp;"|"&amp;8,Tasks!$Z$2:$Z$1500,0))),""))</f>
        <v/>
      </c>
      <c r="F42" s="19" t="str">
        <f>IF(N($D33)&gt;8,"",IFERROR(IF(INDEX(Tasks!$L$2:$L$1500,MATCH($Y33&amp;"|"&amp;8,Tasks!$Z$2:$Z$1500,0))=0,"",INDEX(Tasks!$L$2:$L$1500,MATCH($Y33&amp;"|"&amp;8,Tasks!$Z$2:$Z$1500,0))),""))</f>
        <v/>
      </c>
      <c r="G42" s="21" t="str">
        <f>IF(N($D33)&gt;8,"",IFERROR(IF(INDEX(Tasks!$P$2:$P$1500,MATCH($Y33&amp;"|"&amp;8,Tasks!$Z$2:$Z$1500,0))=0,"",INDEX(Tasks!$P$2:$P$1500,MATCH($Y33&amp;"|"&amp;8,Tasks!$Z$2:$Z$1500,0))),""))</f>
        <v/>
      </c>
    </row>
    <row r="43" spans="1:28" ht="14.5" x14ac:dyDescent="0.35">
      <c r="A43" s="2"/>
      <c r="B43" s="2"/>
      <c r="C43" s="2"/>
      <c r="D43" s="3" t="str">
        <f>IF(COUNTIFS(Tasks!$V$2:$V$1500,Y43)=0,"",COUNTIFS(Tasks!$V$2:$V$1500,Y43))</f>
        <v/>
      </c>
      <c r="E43" s="13"/>
      <c r="F43" s="13"/>
      <c r="G43" s="2"/>
      <c r="H43" s="14" t="str">
        <f ca="1">IF(OR(E43="",F43=""),"",IF(E43=F43,IF(TODAY()&gt;=E43,1,0),MAX(0,MIN(1,(TODAY()-E43)/(F43-E43)))))</f>
        <v/>
      </c>
      <c r="I43" s="6"/>
      <c r="J43" s="15"/>
      <c r="AA43">
        <f ca="1">IF(TODAY()&lt;E43,E43-TODAY(),F43-TODAY())</f>
        <v>-46311</v>
      </c>
      <c r="AB43" t="str">
        <f ca="1">IF(AND(OR(G43="Planned",G43="Active"),ABS(AA43)&lt;=7),AA43+Y43/1000000,"")</f>
        <v/>
      </c>
    </row>
    <row r="44" spans="1:28" ht="15" hidden="1" x14ac:dyDescent="0.4">
      <c r="C44" s="16" t="s">
        <v>40</v>
      </c>
      <c r="D44" s="17" t="s">
        <v>41</v>
      </c>
      <c r="E44" s="17" t="s">
        <v>15</v>
      </c>
      <c r="F44" s="17" t="s">
        <v>16</v>
      </c>
      <c r="G44" s="17" t="s">
        <v>18</v>
      </c>
    </row>
    <row r="45" spans="1:28" ht="17" hidden="1" x14ac:dyDescent="0.5">
      <c r="C45" s="18" t="str">
        <f>IFERROR(INDEX(Tasks!$E$2:$E$1500,MATCH($Y43&amp;"|"&amp;1,Tasks!$Z$2:$Z$1500,0)),"")</f>
        <v/>
      </c>
      <c r="D45" s="19" t="str">
        <f>IFERROR(INDEX(Tasks!$F$2:$F$1500,MATCH($Y43&amp;"|"&amp;1,Tasks!$Z$2:$Z$1500,0)),"")</f>
        <v/>
      </c>
      <c r="E45" s="20" t="str">
        <f>IFERROR(IF(INDEX(Tasks!$K$2:$K$1500,MATCH($Y43&amp;"|"&amp;1,Tasks!$Z$2:$Z$1500,0))=0,"",INDEX(Tasks!$K$2:$K$1500,MATCH($Y43&amp;"|"&amp;1,Tasks!$Z$2:$Z$1500,0))),"")</f>
        <v/>
      </c>
      <c r="F45" s="19" t="str">
        <f>IFERROR(IF(INDEX(Tasks!$L$2:$L$1500,MATCH($Y43&amp;"|"&amp;1,Tasks!$Z$2:$Z$1500,0))=0,"",INDEX(Tasks!$L$2:$L$1500,MATCH($Y43&amp;"|"&amp;1,Tasks!$Z$2:$Z$1500,0))),"")</f>
        <v/>
      </c>
      <c r="G45" s="21" t="str">
        <f>IFERROR(IF(INDEX(Tasks!$P$2:$P$1500,MATCH($Y43&amp;"|"&amp;1,Tasks!$Z$2:$Z$1500,0))=0,"",INDEX(Tasks!$P$2:$P$1500,MATCH($Y43&amp;"|"&amp;1,Tasks!$Z$2:$Z$1500,0))),"")</f>
        <v/>
      </c>
    </row>
    <row r="46" spans="1:28" ht="17" hidden="1" x14ac:dyDescent="0.5">
      <c r="C46" s="18" t="str">
        <f>IFERROR(INDEX(Tasks!$E$2:$E$1500,MATCH($Y43&amp;"|"&amp;2,Tasks!$Z$2:$Z$1500,0)),"")</f>
        <v/>
      </c>
      <c r="D46" s="19" t="str">
        <f>IFERROR(INDEX(Tasks!$F$2:$F$1500,MATCH($Y43&amp;"|"&amp;2,Tasks!$Z$2:$Z$1500,0)),"")</f>
        <v/>
      </c>
      <c r="E46" s="20" t="str">
        <f>IFERROR(IF(INDEX(Tasks!$K$2:$K$1500,MATCH($Y43&amp;"|"&amp;2,Tasks!$Z$2:$Z$1500,0))=0,"",INDEX(Tasks!$K$2:$K$1500,MATCH($Y43&amp;"|"&amp;2,Tasks!$Z$2:$Z$1500,0))),"")</f>
        <v/>
      </c>
      <c r="F46" s="19" t="str">
        <f>IFERROR(IF(INDEX(Tasks!$L$2:$L$1500,MATCH($Y43&amp;"|"&amp;2,Tasks!$Z$2:$Z$1500,0))=0,"",INDEX(Tasks!$L$2:$L$1500,MATCH($Y43&amp;"|"&amp;2,Tasks!$Z$2:$Z$1500,0))),"")</f>
        <v/>
      </c>
      <c r="G46" s="21" t="str">
        <f>IFERROR(IF(INDEX(Tasks!$P$2:$P$1500,MATCH($Y43&amp;"|"&amp;2,Tasks!$Z$2:$Z$1500,0))=0,"",INDEX(Tasks!$P$2:$P$1500,MATCH($Y43&amp;"|"&amp;2,Tasks!$Z$2:$Z$1500,0))),"")</f>
        <v/>
      </c>
    </row>
    <row r="47" spans="1:28" ht="17" hidden="1" x14ac:dyDescent="0.5">
      <c r="C47" s="18" t="str">
        <f>IFERROR(INDEX(Tasks!$E$2:$E$1500,MATCH($Y43&amp;"|"&amp;3,Tasks!$Z$2:$Z$1500,0)),"")</f>
        <v/>
      </c>
      <c r="D47" s="19" t="str">
        <f>IFERROR(INDEX(Tasks!$F$2:$F$1500,MATCH($Y43&amp;"|"&amp;3,Tasks!$Z$2:$Z$1500,0)),"")</f>
        <v/>
      </c>
      <c r="E47" s="20" t="str">
        <f>IFERROR(IF(INDEX(Tasks!$K$2:$K$1500,MATCH($Y43&amp;"|"&amp;3,Tasks!$Z$2:$Z$1500,0))=0,"",INDEX(Tasks!$K$2:$K$1500,MATCH($Y43&amp;"|"&amp;3,Tasks!$Z$2:$Z$1500,0))),"")</f>
        <v/>
      </c>
      <c r="F47" s="19" t="str">
        <f>IFERROR(IF(INDEX(Tasks!$L$2:$L$1500,MATCH($Y43&amp;"|"&amp;3,Tasks!$Z$2:$Z$1500,0))=0,"",INDEX(Tasks!$L$2:$L$1500,MATCH($Y43&amp;"|"&amp;3,Tasks!$Z$2:$Z$1500,0))),"")</f>
        <v/>
      </c>
      <c r="G47" s="21" t="str">
        <f>IFERROR(IF(INDEX(Tasks!$P$2:$P$1500,MATCH($Y43&amp;"|"&amp;3,Tasks!$Z$2:$Z$1500,0))=0,"",INDEX(Tasks!$P$2:$P$1500,MATCH($Y43&amp;"|"&amp;3,Tasks!$Z$2:$Z$1500,0))),"")</f>
        <v/>
      </c>
    </row>
    <row r="48" spans="1:28" ht="17" hidden="1" x14ac:dyDescent="0.5">
      <c r="C48" s="18" t="str">
        <f>IFERROR(INDEX(Tasks!$E$2:$E$1500,MATCH($Y43&amp;"|"&amp;4,Tasks!$Z$2:$Z$1500,0)),"")</f>
        <v/>
      </c>
      <c r="D48" s="19" t="str">
        <f>IFERROR(INDEX(Tasks!$F$2:$F$1500,MATCH($Y43&amp;"|"&amp;4,Tasks!$Z$2:$Z$1500,0)),"")</f>
        <v/>
      </c>
      <c r="E48" s="20" t="str">
        <f>IFERROR(IF(INDEX(Tasks!$K$2:$K$1500,MATCH($Y43&amp;"|"&amp;4,Tasks!$Z$2:$Z$1500,0))=0,"",INDEX(Tasks!$K$2:$K$1500,MATCH($Y43&amp;"|"&amp;4,Tasks!$Z$2:$Z$1500,0))),"")</f>
        <v/>
      </c>
      <c r="F48" s="19" t="str">
        <f>IFERROR(IF(INDEX(Tasks!$L$2:$L$1500,MATCH($Y43&amp;"|"&amp;4,Tasks!$Z$2:$Z$1500,0))=0,"",INDEX(Tasks!$L$2:$L$1500,MATCH($Y43&amp;"|"&amp;4,Tasks!$Z$2:$Z$1500,0))),"")</f>
        <v/>
      </c>
      <c r="G48" s="21" t="str">
        <f>IFERROR(IF(INDEX(Tasks!$P$2:$P$1500,MATCH($Y43&amp;"|"&amp;4,Tasks!$Z$2:$Z$1500,0))=0,"",INDEX(Tasks!$P$2:$P$1500,MATCH($Y43&amp;"|"&amp;4,Tasks!$Z$2:$Z$1500,0))),"")</f>
        <v/>
      </c>
    </row>
    <row r="49" spans="1:28" ht="17" hidden="1" x14ac:dyDescent="0.5">
      <c r="C49" s="18" t="str">
        <f>IFERROR(INDEX(Tasks!$E$2:$E$1500,MATCH($Y43&amp;"|"&amp;5,Tasks!$Z$2:$Z$1500,0)),"")</f>
        <v/>
      </c>
      <c r="D49" s="19" t="str">
        <f>IFERROR(INDEX(Tasks!$F$2:$F$1500,MATCH($Y43&amp;"|"&amp;5,Tasks!$Z$2:$Z$1500,0)),"")</f>
        <v/>
      </c>
      <c r="E49" s="20" t="str">
        <f>IFERROR(IF(INDEX(Tasks!$K$2:$K$1500,MATCH($Y43&amp;"|"&amp;5,Tasks!$Z$2:$Z$1500,0))=0,"",INDEX(Tasks!$K$2:$K$1500,MATCH($Y43&amp;"|"&amp;5,Tasks!$Z$2:$Z$1500,0))),"")</f>
        <v/>
      </c>
      <c r="F49" s="19" t="str">
        <f>IFERROR(IF(INDEX(Tasks!$L$2:$L$1500,MATCH($Y43&amp;"|"&amp;5,Tasks!$Z$2:$Z$1500,0))=0,"",INDEX(Tasks!$L$2:$L$1500,MATCH($Y43&amp;"|"&amp;5,Tasks!$Z$2:$Z$1500,0))),"")</f>
        <v/>
      </c>
      <c r="G49" s="21" t="str">
        <f>IFERROR(IF(INDEX(Tasks!$P$2:$P$1500,MATCH($Y43&amp;"|"&amp;5,Tasks!$Z$2:$Z$1500,0))=0,"",INDEX(Tasks!$P$2:$P$1500,MATCH($Y43&amp;"|"&amp;5,Tasks!$Z$2:$Z$1500,0))),"")</f>
        <v/>
      </c>
    </row>
    <row r="50" spans="1:28" ht="17" hidden="1" x14ac:dyDescent="0.5">
      <c r="C50" s="18" t="str">
        <f>IFERROR(INDEX(Tasks!$E$2:$E$1500,MATCH($Y43&amp;"|"&amp;6,Tasks!$Z$2:$Z$1500,0)),"")</f>
        <v/>
      </c>
      <c r="D50" s="19" t="str">
        <f>IFERROR(INDEX(Tasks!$F$2:$F$1500,MATCH($Y43&amp;"|"&amp;6,Tasks!$Z$2:$Z$1500,0)),"")</f>
        <v/>
      </c>
      <c r="E50" s="20" t="str">
        <f>IFERROR(IF(INDEX(Tasks!$K$2:$K$1500,MATCH($Y43&amp;"|"&amp;6,Tasks!$Z$2:$Z$1500,0))=0,"",INDEX(Tasks!$K$2:$K$1500,MATCH($Y43&amp;"|"&amp;6,Tasks!$Z$2:$Z$1500,0))),"")</f>
        <v/>
      </c>
      <c r="F50" s="19" t="str">
        <f>IFERROR(IF(INDEX(Tasks!$L$2:$L$1500,MATCH($Y43&amp;"|"&amp;6,Tasks!$Z$2:$Z$1500,0))=0,"",INDEX(Tasks!$L$2:$L$1500,MATCH($Y43&amp;"|"&amp;6,Tasks!$Z$2:$Z$1500,0))),"")</f>
        <v/>
      </c>
      <c r="G50" s="21" t="str">
        <f>IFERROR(IF(INDEX(Tasks!$P$2:$P$1500,MATCH($Y43&amp;"|"&amp;6,Tasks!$Z$2:$Z$1500,0))=0,"",INDEX(Tasks!$P$2:$P$1500,MATCH($Y43&amp;"|"&amp;6,Tasks!$Z$2:$Z$1500,0))),"")</f>
        <v/>
      </c>
    </row>
    <row r="51" spans="1:28" ht="17" hidden="1" x14ac:dyDescent="0.5">
      <c r="C51" s="18" t="str">
        <f>IFERROR(INDEX(Tasks!$E$2:$E$1500,MATCH($Y43&amp;"|"&amp;7,Tasks!$Z$2:$Z$1500,0)),"")</f>
        <v/>
      </c>
      <c r="D51" s="19" t="str">
        <f>IFERROR(INDEX(Tasks!$F$2:$F$1500,MATCH($Y43&amp;"|"&amp;7,Tasks!$Z$2:$Z$1500,0)),"")</f>
        <v/>
      </c>
      <c r="E51" s="20" t="str">
        <f>IFERROR(IF(INDEX(Tasks!$K$2:$K$1500,MATCH($Y43&amp;"|"&amp;7,Tasks!$Z$2:$Z$1500,0))=0,"",INDEX(Tasks!$K$2:$K$1500,MATCH($Y43&amp;"|"&amp;7,Tasks!$Z$2:$Z$1500,0))),"")</f>
        <v/>
      </c>
      <c r="F51" s="19" t="str">
        <f>IFERROR(IF(INDEX(Tasks!$L$2:$L$1500,MATCH($Y43&amp;"|"&amp;7,Tasks!$Z$2:$Z$1500,0))=0,"",INDEX(Tasks!$L$2:$L$1500,MATCH($Y43&amp;"|"&amp;7,Tasks!$Z$2:$Z$1500,0))),"")</f>
        <v/>
      </c>
      <c r="G51" s="21" t="str">
        <f>IFERROR(IF(INDEX(Tasks!$P$2:$P$1500,MATCH($Y43&amp;"|"&amp;7,Tasks!$Z$2:$Z$1500,0))=0,"",INDEX(Tasks!$P$2:$P$1500,MATCH($Y43&amp;"|"&amp;7,Tasks!$Z$2:$Z$1500,0))),"")</f>
        <v/>
      </c>
    </row>
    <row r="52" spans="1:28" ht="17" hidden="1" x14ac:dyDescent="0.5">
      <c r="C52" s="18" t="str">
        <f>IF(N($D43)&gt;8,"+ "&amp;(N($D43)-7)&amp;" more — see Tasks",IFERROR(INDEX(Tasks!$E$2:$E$1500,MATCH($Y43&amp;"|"&amp;8,Tasks!$Z$2:$Z$1500,0)),""))</f>
        <v/>
      </c>
      <c r="D52" s="19" t="str">
        <f>IF(N($D43)&gt;8,"",IFERROR(INDEX(Tasks!$F$2:$F$1500,MATCH($Y43&amp;"|"&amp;8,Tasks!$Z$2:$Z$1500,0)),""))</f>
        <v/>
      </c>
      <c r="E52" s="20" t="str">
        <f>IF(N($D43)&gt;8,"",IFERROR(IF(INDEX(Tasks!$K$2:$K$1500,MATCH($Y43&amp;"|"&amp;8,Tasks!$Z$2:$Z$1500,0))=0,"",INDEX(Tasks!$K$2:$K$1500,MATCH($Y43&amp;"|"&amp;8,Tasks!$Z$2:$Z$1500,0))),""))</f>
        <v/>
      </c>
      <c r="F52" s="19" t="str">
        <f>IF(N($D43)&gt;8,"",IFERROR(IF(INDEX(Tasks!$L$2:$L$1500,MATCH($Y43&amp;"|"&amp;8,Tasks!$Z$2:$Z$1500,0))=0,"",INDEX(Tasks!$L$2:$L$1500,MATCH($Y43&amp;"|"&amp;8,Tasks!$Z$2:$Z$1500,0))),""))</f>
        <v/>
      </c>
      <c r="G52" s="21" t="str">
        <f>IF(N($D43)&gt;8,"",IFERROR(IF(INDEX(Tasks!$P$2:$P$1500,MATCH($Y43&amp;"|"&amp;8,Tasks!$Z$2:$Z$1500,0))=0,"",INDEX(Tasks!$P$2:$P$1500,MATCH($Y43&amp;"|"&amp;8,Tasks!$Z$2:$Z$1500,0))),""))</f>
        <v/>
      </c>
    </row>
    <row r="53" spans="1:28" ht="14.5" x14ac:dyDescent="0.35">
      <c r="A53" s="2"/>
      <c r="B53" s="2"/>
      <c r="C53" s="2"/>
      <c r="D53" s="3" t="str">
        <f>IF(COUNTIFS(Tasks!$V$2:$V$1500,Y53)=0,"",COUNTIFS(Tasks!$V$2:$V$1500,Y53))</f>
        <v/>
      </c>
      <c r="E53" s="13"/>
      <c r="F53" s="13"/>
      <c r="G53" s="2"/>
      <c r="H53" s="14" t="str">
        <f ca="1">IF(OR(E53="",F53=""),"",IF(E53=F53,IF(TODAY()&gt;=E53,1,0),MAX(0,MIN(1,(TODAY()-E53)/(F53-E53)))))</f>
        <v/>
      </c>
      <c r="I53" s="6"/>
      <c r="J53" s="15"/>
      <c r="AA53">
        <f ca="1">IF(TODAY()&lt;E53,E53-TODAY(),F53-TODAY())</f>
        <v>-46311</v>
      </c>
      <c r="AB53" t="str">
        <f ca="1">IF(AND(OR(G53="Planned",G53="Active"),ABS(AA53)&lt;=7),AA53+Y53/1000000,"")</f>
        <v/>
      </c>
    </row>
    <row r="54" spans="1:28" ht="15" hidden="1" x14ac:dyDescent="0.4">
      <c r="C54" s="16" t="s">
        <v>40</v>
      </c>
      <c r="D54" s="17" t="s">
        <v>41</v>
      </c>
      <c r="E54" s="17" t="s">
        <v>15</v>
      </c>
      <c r="F54" s="17" t="s">
        <v>16</v>
      </c>
      <c r="G54" s="17" t="s">
        <v>18</v>
      </c>
    </row>
    <row r="55" spans="1:28" ht="17" hidden="1" x14ac:dyDescent="0.5">
      <c r="C55" s="18" t="str">
        <f>IFERROR(INDEX(Tasks!$E$2:$E$1500,MATCH($Y53&amp;"|"&amp;1,Tasks!$Z$2:$Z$1500,0)),"")</f>
        <v/>
      </c>
      <c r="D55" s="19" t="str">
        <f>IFERROR(INDEX(Tasks!$F$2:$F$1500,MATCH($Y53&amp;"|"&amp;1,Tasks!$Z$2:$Z$1500,0)),"")</f>
        <v/>
      </c>
      <c r="E55" s="20" t="str">
        <f>IFERROR(IF(INDEX(Tasks!$K$2:$K$1500,MATCH($Y53&amp;"|"&amp;1,Tasks!$Z$2:$Z$1500,0))=0,"",INDEX(Tasks!$K$2:$K$1500,MATCH($Y53&amp;"|"&amp;1,Tasks!$Z$2:$Z$1500,0))),"")</f>
        <v/>
      </c>
      <c r="F55" s="19" t="str">
        <f>IFERROR(IF(INDEX(Tasks!$L$2:$L$1500,MATCH($Y53&amp;"|"&amp;1,Tasks!$Z$2:$Z$1500,0))=0,"",INDEX(Tasks!$L$2:$L$1500,MATCH($Y53&amp;"|"&amp;1,Tasks!$Z$2:$Z$1500,0))),"")</f>
        <v/>
      </c>
      <c r="G55" s="21" t="str">
        <f>IFERROR(IF(INDEX(Tasks!$P$2:$P$1500,MATCH($Y53&amp;"|"&amp;1,Tasks!$Z$2:$Z$1500,0))=0,"",INDEX(Tasks!$P$2:$P$1500,MATCH($Y53&amp;"|"&amp;1,Tasks!$Z$2:$Z$1500,0))),"")</f>
        <v/>
      </c>
    </row>
    <row r="56" spans="1:28" ht="17" hidden="1" x14ac:dyDescent="0.5">
      <c r="C56" s="18" t="str">
        <f>IFERROR(INDEX(Tasks!$E$2:$E$1500,MATCH($Y53&amp;"|"&amp;2,Tasks!$Z$2:$Z$1500,0)),"")</f>
        <v/>
      </c>
      <c r="D56" s="19" t="str">
        <f>IFERROR(INDEX(Tasks!$F$2:$F$1500,MATCH($Y53&amp;"|"&amp;2,Tasks!$Z$2:$Z$1500,0)),"")</f>
        <v/>
      </c>
      <c r="E56" s="20" t="str">
        <f>IFERROR(IF(INDEX(Tasks!$K$2:$K$1500,MATCH($Y53&amp;"|"&amp;2,Tasks!$Z$2:$Z$1500,0))=0,"",INDEX(Tasks!$K$2:$K$1500,MATCH($Y53&amp;"|"&amp;2,Tasks!$Z$2:$Z$1500,0))),"")</f>
        <v/>
      </c>
      <c r="F56" s="19" t="str">
        <f>IFERROR(IF(INDEX(Tasks!$L$2:$L$1500,MATCH($Y53&amp;"|"&amp;2,Tasks!$Z$2:$Z$1500,0))=0,"",INDEX(Tasks!$L$2:$L$1500,MATCH($Y53&amp;"|"&amp;2,Tasks!$Z$2:$Z$1500,0))),"")</f>
        <v/>
      </c>
      <c r="G56" s="21" t="str">
        <f>IFERROR(IF(INDEX(Tasks!$P$2:$P$1500,MATCH($Y53&amp;"|"&amp;2,Tasks!$Z$2:$Z$1500,0))=0,"",INDEX(Tasks!$P$2:$P$1500,MATCH($Y53&amp;"|"&amp;2,Tasks!$Z$2:$Z$1500,0))),"")</f>
        <v/>
      </c>
    </row>
    <row r="57" spans="1:28" ht="17" hidden="1" x14ac:dyDescent="0.5">
      <c r="C57" s="18" t="str">
        <f>IFERROR(INDEX(Tasks!$E$2:$E$1500,MATCH($Y53&amp;"|"&amp;3,Tasks!$Z$2:$Z$1500,0)),"")</f>
        <v/>
      </c>
      <c r="D57" s="19" t="str">
        <f>IFERROR(INDEX(Tasks!$F$2:$F$1500,MATCH($Y53&amp;"|"&amp;3,Tasks!$Z$2:$Z$1500,0)),"")</f>
        <v/>
      </c>
      <c r="E57" s="20" t="str">
        <f>IFERROR(IF(INDEX(Tasks!$K$2:$K$1500,MATCH($Y53&amp;"|"&amp;3,Tasks!$Z$2:$Z$1500,0))=0,"",INDEX(Tasks!$K$2:$K$1500,MATCH($Y53&amp;"|"&amp;3,Tasks!$Z$2:$Z$1500,0))),"")</f>
        <v/>
      </c>
      <c r="F57" s="19" t="str">
        <f>IFERROR(IF(INDEX(Tasks!$L$2:$L$1500,MATCH($Y53&amp;"|"&amp;3,Tasks!$Z$2:$Z$1500,0))=0,"",INDEX(Tasks!$L$2:$L$1500,MATCH($Y53&amp;"|"&amp;3,Tasks!$Z$2:$Z$1500,0))),"")</f>
        <v/>
      </c>
      <c r="G57" s="21" t="str">
        <f>IFERROR(IF(INDEX(Tasks!$P$2:$P$1500,MATCH($Y53&amp;"|"&amp;3,Tasks!$Z$2:$Z$1500,0))=0,"",INDEX(Tasks!$P$2:$P$1500,MATCH($Y53&amp;"|"&amp;3,Tasks!$Z$2:$Z$1500,0))),"")</f>
        <v/>
      </c>
    </row>
    <row r="58" spans="1:28" ht="17" hidden="1" x14ac:dyDescent="0.5">
      <c r="C58" s="18" t="str">
        <f>IFERROR(INDEX(Tasks!$E$2:$E$1500,MATCH($Y53&amp;"|"&amp;4,Tasks!$Z$2:$Z$1500,0)),"")</f>
        <v/>
      </c>
      <c r="D58" s="19" t="str">
        <f>IFERROR(INDEX(Tasks!$F$2:$F$1500,MATCH($Y53&amp;"|"&amp;4,Tasks!$Z$2:$Z$1500,0)),"")</f>
        <v/>
      </c>
      <c r="E58" s="20" t="str">
        <f>IFERROR(IF(INDEX(Tasks!$K$2:$K$1500,MATCH($Y53&amp;"|"&amp;4,Tasks!$Z$2:$Z$1500,0))=0,"",INDEX(Tasks!$K$2:$K$1500,MATCH($Y53&amp;"|"&amp;4,Tasks!$Z$2:$Z$1500,0))),"")</f>
        <v/>
      </c>
      <c r="F58" s="19" t="str">
        <f>IFERROR(IF(INDEX(Tasks!$L$2:$L$1500,MATCH($Y53&amp;"|"&amp;4,Tasks!$Z$2:$Z$1500,0))=0,"",INDEX(Tasks!$L$2:$L$1500,MATCH($Y53&amp;"|"&amp;4,Tasks!$Z$2:$Z$1500,0))),"")</f>
        <v/>
      </c>
      <c r="G58" s="21" t="str">
        <f>IFERROR(IF(INDEX(Tasks!$P$2:$P$1500,MATCH($Y53&amp;"|"&amp;4,Tasks!$Z$2:$Z$1500,0))=0,"",INDEX(Tasks!$P$2:$P$1500,MATCH($Y53&amp;"|"&amp;4,Tasks!$Z$2:$Z$1500,0))),"")</f>
        <v/>
      </c>
    </row>
    <row r="59" spans="1:28" ht="17" hidden="1" x14ac:dyDescent="0.5">
      <c r="C59" s="18" t="str">
        <f>IFERROR(INDEX(Tasks!$E$2:$E$1500,MATCH($Y53&amp;"|"&amp;5,Tasks!$Z$2:$Z$1500,0)),"")</f>
        <v/>
      </c>
      <c r="D59" s="19" t="str">
        <f>IFERROR(INDEX(Tasks!$F$2:$F$1500,MATCH($Y53&amp;"|"&amp;5,Tasks!$Z$2:$Z$1500,0)),"")</f>
        <v/>
      </c>
      <c r="E59" s="20" t="str">
        <f>IFERROR(IF(INDEX(Tasks!$K$2:$K$1500,MATCH($Y53&amp;"|"&amp;5,Tasks!$Z$2:$Z$1500,0))=0,"",INDEX(Tasks!$K$2:$K$1500,MATCH($Y53&amp;"|"&amp;5,Tasks!$Z$2:$Z$1500,0))),"")</f>
        <v/>
      </c>
      <c r="F59" s="19" t="str">
        <f>IFERROR(IF(INDEX(Tasks!$L$2:$L$1500,MATCH($Y53&amp;"|"&amp;5,Tasks!$Z$2:$Z$1500,0))=0,"",INDEX(Tasks!$L$2:$L$1500,MATCH($Y53&amp;"|"&amp;5,Tasks!$Z$2:$Z$1500,0))),"")</f>
        <v/>
      </c>
      <c r="G59" s="21" t="str">
        <f>IFERROR(IF(INDEX(Tasks!$P$2:$P$1500,MATCH($Y53&amp;"|"&amp;5,Tasks!$Z$2:$Z$1500,0))=0,"",INDEX(Tasks!$P$2:$P$1500,MATCH($Y53&amp;"|"&amp;5,Tasks!$Z$2:$Z$1500,0))),"")</f>
        <v/>
      </c>
    </row>
    <row r="60" spans="1:28" ht="17" hidden="1" x14ac:dyDescent="0.5">
      <c r="C60" s="18" t="str">
        <f>IFERROR(INDEX(Tasks!$E$2:$E$1500,MATCH($Y53&amp;"|"&amp;6,Tasks!$Z$2:$Z$1500,0)),"")</f>
        <v/>
      </c>
      <c r="D60" s="19" t="str">
        <f>IFERROR(INDEX(Tasks!$F$2:$F$1500,MATCH($Y53&amp;"|"&amp;6,Tasks!$Z$2:$Z$1500,0)),"")</f>
        <v/>
      </c>
      <c r="E60" s="20" t="str">
        <f>IFERROR(IF(INDEX(Tasks!$K$2:$K$1500,MATCH($Y53&amp;"|"&amp;6,Tasks!$Z$2:$Z$1500,0))=0,"",INDEX(Tasks!$K$2:$K$1500,MATCH($Y53&amp;"|"&amp;6,Tasks!$Z$2:$Z$1500,0))),"")</f>
        <v/>
      </c>
      <c r="F60" s="19" t="str">
        <f>IFERROR(IF(INDEX(Tasks!$L$2:$L$1500,MATCH($Y53&amp;"|"&amp;6,Tasks!$Z$2:$Z$1500,0))=0,"",INDEX(Tasks!$L$2:$L$1500,MATCH($Y53&amp;"|"&amp;6,Tasks!$Z$2:$Z$1500,0))),"")</f>
        <v/>
      </c>
      <c r="G60" s="21" t="str">
        <f>IFERROR(IF(INDEX(Tasks!$P$2:$P$1500,MATCH($Y53&amp;"|"&amp;6,Tasks!$Z$2:$Z$1500,0))=0,"",INDEX(Tasks!$P$2:$P$1500,MATCH($Y53&amp;"|"&amp;6,Tasks!$Z$2:$Z$1500,0))),"")</f>
        <v/>
      </c>
    </row>
    <row r="61" spans="1:28" ht="17" hidden="1" x14ac:dyDescent="0.5">
      <c r="C61" s="18" t="str">
        <f>IFERROR(INDEX(Tasks!$E$2:$E$1500,MATCH($Y53&amp;"|"&amp;7,Tasks!$Z$2:$Z$1500,0)),"")</f>
        <v/>
      </c>
      <c r="D61" s="19" t="str">
        <f>IFERROR(INDEX(Tasks!$F$2:$F$1500,MATCH($Y53&amp;"|"&amp;7,Tasks!$Z$2:$Z$1500,0)),"")</f>
        <v/>
      </c>
      <c r="E61" s="20" t="str">
        <f>IFERROR(IF(INDEX(Tasks!$K$2:$K$1500,MATCH($Y53&amp;"|"&amp;7,Tasks!$Z$2:$Z$1500,0))=0,"",INDEX(Tasks!$K$2:$K$1500,MATCH($Y53&amp;"|"&amp;7,Tasks!$Z$2:$Z$1500,0))),"")</f>
        <v/>
      </c>
      <c r="F61" s="19" t="str">
        <f>IFERROR(IF(INDEX(Tasks!$L$2:$L$1500,MATCH($Y53&amp;"|"&amp;7,Tasks!$Z$2:$Z$1500,0))=0,"",INDEX(Tasks!$L$2:$L$1500,MATCH($Y53&amp;"|"&amp;7,Tasks!$Z$2:$Z$1500,0))),"")</f>
        <v/>
      </c>
      <c r="G61" s="21" t="str">
        <f>IFERROR(IF(INDEX(Tasks!$P$2:$P$1500,MATCH($Y53&amp;"|"&amp;7,Tasks!$Z$2:$Z$1500,0))=0,"",INDEX(Tasks!$P$2:$P$1500,MATCH($Y53&amp;"|"&amp;7,Tasks!$Z$2:$Z$1500,0))),"")</f>
        <v/>
      </c>
    </row>
    <row r="62" spans="1:28" ht="17" hidden="1" x14ac:dyDescent="0.5">
      <c r="C62" s="18" t="str">
        <f>IF(N($D53)&gt;8,"+ "&amp;(N($D53)-7)&amp;" more — see Tasks",IFERROR(INDEX(Tasks!$E$2:$E$1500,MATCH($Y53&amp;"|"&amp;8,Tasks!$Z$2:$Z$1500,0)),""))</f>
        <v/>
      </c>
      <c r="D62" s="19" t="str">
        <f>IF(N($D53)&gt;8,"",IFERROR(INDEX(Tasks!$F$2:$F$1500,MATCH($Y53&amp;"|"&amp;8,Tasks!$Z$2:$Z$1500,0)),""))</f>
        <v/>
      </c>
      <c r="E62" s="20" t="str">
        <f>IF(N($D53)&gt;8,"",IFERROR(IF(INDEX(Tasks!$K$2:$K$1500,MATCH($Y53&amp;"|"&amp;8,Tasks!$Z$2:$Z$1500,0))=0,"",INDEX(Tasks!$K$2:$K$1500,MATCH($Y53&amp;"|"&amp;8,Tasks!$Z$2:$Z$1500,0))),""))</f>
        <v/>
      </c>
      <c r="F62" s="19" t="str">
        <f>IF(N($D53)&gt;8,"",IFERROR(IF(INDEX(Tasks!$L$2:$L$1500,MATCH($Y53&amp;"|"&amp;8,Tasks!$Z$2:$Z$1500,0))=0,"",INDEX(Tasks!$L$2:$L$1500,MATCH($Y53&amp;"|"&amp;8,Tasks!$Z$2:$Z$1500,0))),""))</f>
        <v/>
      </c>
      <c r="G62" s="21" t="str">
        <f>IF(N($D53)&gt;8,"",IFERROR(IF(INDEX(Tasks!$P$2:$P$1500,MATCH($Y53&amp;"|"&amp;8,Tasks!$Z$2:$Z$1500,0))=0,"",INDEX(Tasks!$P$2:$P$1500,MATCH($Y53&amp;"|"&amp;8,Tasks!$Z$2:$Z$1500,0))),""))</f>
        <v/>
      </c>
    </row>
    <row r="63" spans="1:28" ht="14.5" x14ac:dyDescent="0.35">
      <c r="A63" s="2"/>
      <c r="B63" s="2"/>
      <c r="C63" s="2"/>
      <c r="D63" s="3" t="str">
        <f>IF(COUNTIFS(Tasks!$V$2:$V$1500,Y63)=0,"",COUNTIFS(Tasks!$V$2:$V$1500,Y63))</f>
        <v/>
      </c>
      <c r="E63" s="13"/>
      <c r="F63" s="13"/>
      <c r="G63" s="2"/>
      <c r="H63" s="14" t="str">
        <f ca="1">IF(OR(E63="",F63=""),"",IF(E63=F63,IF(TODAY()&gt;=E63,1,0),MAX(0,MIN(1,(TODAY()-E63)/(F63-E63)))))</f>
        <v/>
      </c>
      <c r="I63" s="6"/>
      <c r="J63" s="15"/>
      <c r="AA63">
        <f ca="1">IF(TODAY()&lt;E63,E63-TODAY(),F63-TODAY())</f>
        <v>-46311</v>
      </c>
      <c r="AB63" t="str">
        <f ca="1">IF(AND(OR(G63="Planned",G63="Active"),ABS(AA63)&lt;=7),AA63+Y63/1000000,"")</f>
        <v/>
      </c>
    </row>
    <row r="64" spans="1:28" ht="15" hidden="1" x14ac:dyDescent="0.4">
      <c r="C64" s="16" t="s">
        <v>40</v>
      </c>
      <c r="D64" s="17" t="s">
        <v>41</v>
      </c>
      <c r="E64" s="17" t="s">
        <v>15</v>
      </c>
      <c r="F64" s="17" t="s">
        <v>16</v>
      </c>
      <c r="G64" s="17" t="s">
        <v>18</v>
      </c>
    </row>
    <row r="65" spans="1:28" ht="17" hidden="1" x14ac:dyDescent="0.5">
      <c r="C65" s="18" t="str">
        <f>IFERROR(INDEX(Tasks!$E$2:$E$1500,MATCH($Y63&amp;"|"&amp;1,Tasks!$Z$2:$Z$1500,0)),"")</f>
        <v/>
      </c>
      <c r="D65" s="19" t="str">
        <f>IFERROR(INDEX(Tasks!$F$2:$F$1500,MATCH($Y63&amp;"|"&amp;1,Tasks!$Z$2:$Z$1500,0)),"")</f>
        <v/>
      </c>
      <c r="E65" s="20" t="str">
        <f>IFERROR(IF(INDEX(Tasks!$K$2:$K$1500,MATCH($Y63&amp;"|"&amp;1,Tasks!$Z$2:$Z$1500,0))=0,"",INDEX(Tasks!$K$2:$K$1500,MATCH($Y63&amp;"|"&amp;1,Tasks!$Z$2:$Z$1500,0))),"")</f>
        <v/>
      </c>
      <c r="F65" s="19" t="str">
        <f>IFERROR(IF(INDEX(Tasks!$L$2:$L$1500,MATCH($Y63&amp;"|"&amp;1,Tasks!$Z$2:$Z$1500,0))=0,"",INDEX(Tasks!$L$2:$L$1500,MATCH($Y63&amp;"|"&amp;1,Tasks!$Z$2:$Z$1500,0))),"")</f>
        <v/>
      </c>
      <c r="G65" s="21" t="str">
        <f>IFERROR(IF(INDEX(Tasks!$P$2:$P$1500,MATCH($Y63&amp;"|"&amp;1,Tasks!$Z$2:$Z$1500,0))=0,"",INDEX(Tasks!$P$2:$P$1500,MATCH($Y63&amp;"|"&amp;1,Tasks!$Z$2:$Z$1500,0))),"")</f>
        <v/>
      </c>
    </row>
    <row r="66" spans="1:28" ht="17" hidden="1" x14ac:dyDescent="0.5">
      <c r="C66" s="18" t="str">
        <f>IFERROR(INDEX(Tasks!$E$2:$E$1500,MATCH($Y63&amp;"|"&amp;2,Tasks!$Z$2:$Z$1500,0)),"")</f>
        <v/>
      </c>
      <c r="D66" s="19" t="str">
        <f>IFERROR(INDEX(Tasks!$F$2:$F$1500,MATCH($Y63&amp;"|"&amp;2,Tasks!$Z$2:$Z$1500,0)),"")</f>
        <v/>
      </c>
      <c r="E66" s="20" t="str">
        <f>IFERROR(IF(INDEX(Tasks!$K$2:$K$1500,MATCH($Y63&amp;"|"&amp;2,Tasks!$Z$2:$Z$1500,0))=0,"",INDEX(Tasks!$K$2:$K$1500,MATCH($Y63&amp;"|"&amp;2,Tasks!$Z$2:$Z$1500,0))),"")</f>
        <v/>
      </c>
      <c r="F66" s="19" t="str">
        <f>IFERROR(IF(INDEX(Tasks!$L$2:$L$1500,MATCH($Y63&amp;"|"&amp;2,Tasks!$Z$2:$Z$1500,0))=0,"",INDEX(Tasks!$L$2:$L$1500,MATCH($Y63&amp;"|"&amp;2,Tasks!$Z$2:$Z$1500,0))),"")</f>
        <v/>
      </c>
      <c r="G66" s="21" t="str">
        <f>IFERROR(IF(INDEX(Tasks!$P$2:$P$1500,MATCH($Y63&amp;"|"&amp;2,Tasks!$Z$2:$Z$1500,0))=0,"",INDEX(Tasks!$P$2:$P$1500,MATCH($Y63&amp;"|"&amp;2,Tasks!$Z$2:$Z$1500,0))),"")</f>
        <v/>
      </c>
    </row>
    <row r="67" spans="1:28" ht="17" hidden="1" x14ac:dyDescent="0.5">
      <c r="C67" s="18" t="str">
        <f>IFERROR(INDEX(Tasks!$E$2:$E$1500,MATCH($Y63&amp;"|"&amp;3,Tasks!$Z$2:$Z$1500,0)),"")</f>
        <v/>
      </c>
      <c r="D67" s="19" t="str">
        <f>IFERROR(INDEX(Tasks!$F$2:$F$1500,MATCH($Y63&amp;"|"&amp;3,Tasks!$Z$2:$Z$1500,0)),"")</f>
        <v/>
      </c>
      <c r="E67" s="20" t="str">
        <f>IFERROR(IF(INDEX(Tasks!$K$2:$K$1500,MATCH($Y63&amp;"|"&amp;3,Tasks!$Z$2:$Z$1500,0))=0,"",INDEX(Tasks!$K$2:$K$1500,MATCH($Y63&amp;"|"&amp;3,Tasks!$Z$2:$Z$1500,0))),"")</f>
        <v/>
      </c>
      <c r="F67" s="19" t="str">
        <f>IFERROR(IF(INDEX(Tasks!$L$2:$L$1500,MATCH($Y63&amp;"|"&amp;3,Tasks!$Z$2:$Z$1500,0))=0,"",INDEX(Tasks!$L$2:$L$1500,MATCH($Y63&amp;"|"&amp;3,Tasks!$Z$2:$Z$1500,0))),"")</f>
        <v/>
      </c>
      <c r="G67" s="21" t="str">
        <f>IFERROR(IF(INDEX(Tasks!$P$2:$P$1500,MATCH($Y63&amp;"|"&amp;3,Tasks!$Z$2:$Z$1500,0))=0,"",INDEX(Tasks!$P$2:$P$1500,MATCH($Y63&amp;"|"&amp;3,Tasks!$Z$2:$Z$1500,0))),"")</f>
        <v/>
      </c>
    </row>
    <row r="68" spans="1:28" ht="17" hidden="1" x14ac:dyDescent="0.5">
      <c r="C68" s="18" t="str">
        <f>IFERROR(INDEX(Tasks!$E$2:$E$1500,MATCH($Y63&amp;"|"&amp;4,Tasks!$Z$2:$Z$1500,0)),"")</f>
        <v/>
      </c>
      <c r="D68" s="19" t="str">
        <f>IFERROR(INDEX(Tasks!$F$2:$F$1500,MATCH($Y63&amp;"|"&amp;4,Tasks!$Z$2:$Z$1500,0)),"")</f>
        <v/>
      </c>
      <c r="E68" s="20" t="str">
        <f>IFERROR(IF(INDEX(Tasks!$K$2:$K$1500,MATCH($Y63&amp;"|"&amp;4,Tasks!$Z$2:$Z$1500,0))=0,"",INDEX(Tasks!$K$2:$K$1500,MATCH($Y63&amp;"|"&amp;4,Tasks!$Z$2:$Z$1500,0))),"")</f>
        <v/>
      </c>
      <c r="F68" s="19" t="str">
        <f>IFERROR(IF(INDEX(Tasks!$L$2:$L$1500,MATCH($Y63&amp;"|"&amp;4,Tasks!$Z$2:$Z$1500,0))=0,"",INDEX(Tasks!$L$2:$L$1500,MATCH($Y63&amp;"|"&amp;4,Tasks!$Z$2:$Z$1500,0))),"")</f>
        <v/>
      </c>
      <c r="G68" s="21" t="str">
        <f>IFERROR(IF(INDEX(Tasks!$P$2:$P$1500,MATCH($Y63&amp;"|"&amp;4,Tasks!$Z$2:$Z$1500,0))=0,"",INDEX(Tasks!$P$2:$P$1500,MATCH($Y63&amp;"|"&amp;4,Tasks!$Z$2:$Z$1500,0))),"")</f>
        <v/>
      </c>
    </row>
    <row r="69" spans="1:28" ht="17" hidden="1" x14ac:dyDescent="0.5">
      <c r="C69" s="18" t="str">
        <f>IFERROR(INDEX(Tasks!$E$2:$E$1500,MATCH($Y63&amp;"|"&amp;5,Tasks!$Z$2:$Z$1500,0)),"")</f>
        <v/>
      </c>
      <c r="D69" s="19" t="str">
        <f>IFERROR(INDEX(Tasks!$F$2:$F$1500,MATCH($Y63&amp;"|"&amp;5,Tasks!$Z$2:$Z$1500,0)),"")</f>
        <v/>
      </c>
      <c r="E69" s="20" t="str">
        <f>IFERROR(IF(INDEX(Tasks!$K$2:$K$1500,MATCH($Y63&amp;"|"&amp;5,Tasks!$Z$2:$Z$1500,0))=0,"",INDEX(Tasks!$K$2:$K$1500,MATCH($Y63&amp;"|"&amp;5,Tasks!$Z$2:$Z$1500,0))),"")</f>
        <v/>
      </c>
      <c r="F69" s="19" t="str">
        <f>IFERROR(IF(INDEX(Tasks!$L$2:$L$1500,MATCH($Y63&amp;"|"&amp;5,Tasks!$Z$2:$Z$1500,0))=0,"",INDEX(Tasks!$L$2:$L$1500,MATCH($Y63&amp;"|"&amp;5,Tasks!$Z$2:$Z$1500,0))),"")</f>
        <v/>
      </c>
      <c r="G69" s="21" t="str">
        <f>IFERROR(IF(INDEX(Tasks!$P$2:$P$1500,MATCH($Y63&amp;"|"&amp;5,Tasks!$Z$2:$Z$1500,0))=0,"",INDEX(Tasks!$P$2:$P$1500,MATCH($Y63&amp;"|"&amp;5,Tasks!$Z$2:$Z$1500,0))),"")</f>
        <v/>
      </c>
    </row>
    <row r="70" spans="1:28" ht="17" hidden="1" x14ac:dyDescent="0.5">
      <c r="C70" s="18" t="str">
        <f>IFERROR(INDEX(Tasks!$E$2:$E$1500,MATCH($Y63&amp;"|"&amp;6,Tasks!$Z$2:$Z$1500,0)),"")</f>
        <v/>
      </c>
      <c r="D70" s="19" t="str">
        <f>IFERROR(INDEX(Tasks!$F$2:$F$1500,MATCH($Y63&amp;"|"&amp;6,Tasks!$Z$2:$Z$1500,0)),"")</f>
        <v/>
      </c>
      <c r="E70" s="20" t="str">
        <f>IFERROR(IF(INDEX(Tasks!$K$2:$K$1500,MATCH($Y63&amp;"|"&amp;6,Tasks!$Z$2:$Z$1500,0))=0,"",INDEX(Tasks!$K$2:$K$1500,MATCH($Y63&amp;"|"&amp;6,Tasks!$Z$2:$Z$1500,0))),"")</f>
        <v/>
      </c>
      <c r="F70" s="19" t="str">
        <f>IFERROR(IF(INDEX(Tasks!$L$2:$L$1500,MATCH($Y63&amp;"|"&amp;6,Tasks!$Z$2:$Z$1500,0))=0,"",INDEX(Tasks!$L$2:$L$1500,MATCH($Y63&amp;"|"&amp;6,Tasks!$Z$2:$Z$1500,0))),"")</f>
        <v/>
      </c>
      <c r="G70" s="21" t="str">
        <f>IFERROR(IF(INDEX(Tasks!$P$2:$P$1500,MATCH($Y63&amp;"|"&amp;6,Tasks!$Z$2:$Z$1500,0))=0,"",INDEX(Tasks!$P$2:$P$1500,MATCH($Y63&amp;"|"&amp;6,Tasks!$Z$2:$Z$1500,0))),"")</f>
        <v/>
      </c>
    </row>
    <row r="71" spans="1:28" ht="17" hidden="1" x14ac:dyDescent="0.5">
      <c r="C71" s="18" t="str">
        <f>IFERROR(INDEX(Tasks!$E$2:$E$1500,MATCH($Y63&amp;"|"&amp;7,Tasks!$Z$2:$Z$1500,0)),"")</f>
        <v/>
      </c>
      <c r="D71" s="19" t="str">
        <f>IFERROR(INDEX(Tasks!$F$2:$F$1500,MATCH($Y63&amp;"|"&amp;7,Tasks!$Z$2:$Z$1500,0)),"")</f>
        <v/>
      </c>
      <c r="E71" s="20" t="str">
        <f>IFERROR(IF(INDEX(Tasks!$K$2:$K$1500,MATCH($Y63&amp;"|"&amp;7,Tasks!$Z$2:$Z$1500,0))=0,"",INDEX(Tasks!$K$2:$K$1500,MATCH($Y63&amp;"|"&amp;7,Tasks!$Z$2:$Z$1500,0))),"")</f>
        <v/>
      </c>
      <c r="F71" s="19" t="str">
        <f>IFERROR(IF(INDEX(Tasks!$L$2:$L$1500,MATCH($Y63&amp;"|"&amp;7,Tasks!$Z$2:$Z$1500,0))=0,"",INDEX(Tasks!$L$2:$L$1500,MATCH($Y63&amp;"|"&amp;7,Tasks!$Z$2:$Z$1500,0))),"")</f>
        <v/>
      </c>
      <c r="G71" s="21" t="str">
        <f>IFERROR(IF(INDEX(Tasks!$P$2:$P$1500,MATCH($Y63&amp;"|"&amp;7,Tasks!$Z$2:$Z$1500,0))=0,"",INDEX(Tasks!$P$2:$P$1500,MATCH($Y63&amp;"|"&amp;7,Tasks!$Z$2:$Z$1500,0))),"")</f>
        <v/>
      </c>
    </row>
    <row r="72" spans="1:28" ht="17" hidden="1" x14ac:dyDescent="0.5">
      <c r="C72" s="18" t="str">
        <f>IF(N($D63)&gt;8,"+ "&amp;(N($D63)-7)&amp;" more — see Tasks",IFERROR(INDEX(Tasks!$E$2:$E$1500,MATCH($Y63&amp;"|"&amp;8,Tasks!$Z$2:$Z$1500,0)),""))</f>
        <v/>
      </c>
      <c r="D72" s="19" t="str">
        <f>IF(N($D63)&gt;8,"",IFERROR(INDEX(Tasks!$F$2:$F$1500,MATCH($Y63&amp;"|"&amp;8,Tasks!$Z$2:$Z$1500,0)),""))</f>
        <v/>
      </c>
      <c r="E72" s="20" t="str">
        <f>IF(N($D63)&gt;8,"",IFERROR(IF(INDEX(Tasks!$K$2:$K$1500,MATCH($Y63&amp;"|"&amp;8,Tasks!$Z$2:$Z$1500,0))=0,"",INDEX(Tasks!$K$2:$K$1500,MATCH($Y63&amp;"|"&amp;8,Tasks!$Z$2:$Z$1500,0))),""))</f>
        <v/>
      </c>
      <c r="F72" s="19" t="str">
        <f>IF(N($D63)&gt;8,"",IFERROR(IF(INDEX(Tasks!$L$2:$L$1500,MATCH($Y63&amp;"|"&amp;8,Tasks!$Z$2:$Z$1500,0))=0,"",INDEX(Tasks!$L$2:$L$1500,MATCH($Y63&amp;"|"&amp;8,Tasks!$Z$2:$Z$1500,0))),""))</f>
        <v/>
      </c>
      <c r="G72" s="21" t="str">
        <f>IF(N($D63)&gt;8,"",IFERROR(IF(INDEX(Tasks!$P$2:$P$1500,MATCH($Y63&amp;"|"&amp;8,Tasks!$Z$2:$Z$1500,0))=0,"",INDEX(Tasks!$P$2:$P$1500,MATCH($Y63&amp;"|"&amp;8,Tasks!$Z$2:$Z$1500,0))),""))</f>
        <v/>
      </c>
    </row>
    <row r="73" spans="1:28" ht="14.5" x14ac:dyDescent="0.35">
      <c r="A73" s="2"/>
      <c r="B73" s="2"/>
      <c r="C73" s="2"/>
      <c r="D73" s="3" t="str">
        <f>IF(COUNTIFS(Tasks!$V$2:$V$1500,Y73)=0,"",COUNTIFS(Tasks!$V$2:$V$1500,Y73))</f>
        <v/>
      </c>
      <c r="E73" s="13"/>
      <c r="F73" s="13"/>
      <c r="G73" s="2"/>
      <c r="H73" s="14" t="str">
        <f ca="1">IF(OR(E73="",F73=""),"",IF(E73=F73,IF(TODAY()&gt;=E73,1,0),MAX(0,MIN(1,(TODAY()-E73)/(F73-E73)))))</f>
        <v/>
      </c>
      <c r="I73" s="6"/>
      <c r="J73" s="15"/>
      <c r="AA73">
        <f ca="1">IF(TODAY()&lt;E73,E73-TODAY(),F73-TODAY())</f>
        <v>-46311</v>
      </c>
      <c r="AB73" t="str">
        <f ca="1">IF(AND(OR(G73="Planned",G73="Active"),ABS(AA73)&lt;=7),AA73+Y73/1000000,"")</f>
        <v/>
      </c>
    </row>
    <row r="74" spans="1:28" ht="15" hidden="1" x14ac:dyDescent="0.4">
      <c r="C74" s="16" t="s">
        <v>40</v>
      </c>
      <c r="D74" s="17" t="s">
        <v>41</v>
      </c>
      <c r="E74" s="17" t="s">
        <v>15</v>
      </c>
      <c r="F74" s="17" t="s">
        <v>16</v>
      </c>
      <c r="G74" s="17" t="s">
        <v>18</v>
      </c>
    </row>
    <row r="75" spans="1:28" ht="17" hidden="1" x14ac:dyDescent="0.5">
      <c r="C75" s="18" t="str">
        <f>IFERROR(INDEX(Tasks!$E$2:$E$1500,MATCH($Y73&amp;"|"&amp;1,Tasks!$Z$2:$Z$1500,0)),"")</f>
        <v/>
      </c>
      <c r="D75" s="19" t="str">
        <f>IFERROR(INDEX(Tasks!$F$2:$F$1500,MATCH($Y73&amp;"|"&amp;1,Tasks!$Z$2:$Z$1500,0)),"")</f>
        <v/>
      </c>
      <c r="E75" s="20" t="str">
        <f>IFERROR(IF(INDEX(Tasks!$K$2:$K$1500,MATCH($Y73&amp;"|"&amp;1,Tasks!$Z$2:$Z$1500,0))=0,"",INDEX(Tasks!$K$2:$K$1500,MATCH($Y73&amp;"|"&amp;1,Tasks!$Z$2:$Z$1500,0))),"")</f>
        <v/>
      </c>
      <c r="F75" s="19" t="str">
        <f>IFERROR(IF(INDEX(Tasks!$L$2:$L$1500,MATCH($Y73&amp;"|"&amp;1,Tasks!$Z$2:$Z$1500,0))=0,"",INDEX(Tasks!$L$2:$L$1500,MATCH($Y73&amp;"|"&amp;1,Tasks!$Z$2:$Z$1500,0))),"")</f>
        <v/>
      </c>
      <c r="G75" s="21" t="str">
        <f>IFERROR(IF(INDEX(Tasks!$P$2:$P$1500,MATCH($Y73&amp;"|"&amp;1,Tasks!$Z$2:$Z$1500,0))=0,"",INDEX(Tasks!$P$2:$P$1500,MATCH($Y73&amp;"|"&amp;1,Tasks!$Z$2:$Z$1500,0))),"")</f>
        <v/>
      </c>
    </row>
    <row r="76" spans="1:28" ht="17" hidden="1" x14ac:dyDescent="0.5">
      <c r="C76" s="18" t="str">
        <f>IFERROR(INDEX(Tasks!$E$2:$E$1500,MATCH($Y73&amp;"|"&amp;2,Tasks!$Z$2:$Z$1500,0)),"")</f>
        <v/>
      </c>
      <c r="D76" s="19" t="str">
        <f>IFERROR(INDEX(Tasks!$F$2:$F$1500,MATCH($Y73&amp;"|"&amp;2,Tasks!$Z$2:$Z$1500,0)),"")</f>
        <v/>
      </c>
      <c r="E76" s="20" t="str">
        <f>IFERROR(IF(INDEX(Tasks!$K$2:$K$1500,MATCH($Y73&amp;"|"&amp;2,Tasks!$Z$2:$Z$1500,0))=0,"",INDEX(Tasks!$K$2:$K$1500,MATCH($Y73&amp;"|"&amp;2,Tasks!$Z$2:$Z$1500,0))),"")</f>
        <v/>
      </c>
      <c r="F76" s="19" t="str">
        <f>IFERROR(IF(INDEX(Tasks!$L$2:$L$1500,MATCH($Y73&amp;"|"&amp;2,Tasks!$Z$2:$Z$1500,0))=0,"",INDEX(Tasks!$L$2:$L$1500,MATCH($Y73&amp;"|"&amp;2,Tasks!$Z$2:$Z$1500,0))),"")</f>
        <v/>
      </c>
      <c r="G76" s="21" t="str">
        <f>IFERROR(IF(INDEX(Tasks!$P$2:$P$1500,MATCH($Y73&amp;"|"&amp;2,Tasks!$Z$2:$Z$1500,0))=0,"",INDEX(Tasks!$P$2:$P$1500,MATCH($Y73&amp;"|"&amp;2,Tasks!$Z$2:$Z$1500,0))),"")</f>
        <v/>
      </c>
    </row>
    <row r="77" spans="1:28" ht="17" hidden="1" x14ac:dyDescent="0.5">
      <c r="C77" s="18" t="str">
        <f>IFERROR(INDEX(Tasks!$E$2:$E$1500,MATCH($Y73&amp;"|"&amp;3,Tasks!$Z$2:$Z$1500,0)),"")</f>
        <v/>
      </c>
      <c r="D77" s="19" t="str">
        <f>IFERROR(INDEX(Tasks!$F$2:$F$1500,MATCH($Y73&amp;"|"&amp;3,Tasks!$Z$2:$Z$1500,0)),"")</f>
        <v/>
      </c>
      <c r="E77" s="20" t="str">
        <f>IFERROR(IF(INDEX(Tasks!$K$2:$K$1500,MATCH($Y73&amp;"|"&amp;3,Tasks!$Z$2:$Z$1500,0))=0,"",INDEX(Tasks!$K$2:$K$1500,MATCH($Y73&amp;"|"&amp;3,Tasks!$Z$2:$Z$1500,0))),"")</f>
        <v/>
      </c>
      <c r="F77" s="19" t="str">
        <f>IFERROR(IF(INDEX(Tasks!$L$2:$L$1500,MATCH($Y73&amp;"|"&amp;3,Tasks!$Z$2:$Z$1500,0))=0,"",INDEX(Tasks!$L$2:$L$1500,MATCH($Y73&amp;"|"&amp;3,Tasks!$Z$2:$Z$1500,0))),"")</f>
        <v/>
      </c>
      <c r="G77" s="21" t="str">
        <f>IFERROR(IF(INDEX(Tasks!$P$2:$P$1500,MATCH($Y73&amp;"|"&amp;3,Tasks!$Z$2:$Z$1500,0))=0,"",INDEX(Tasks!$P$2:$P$1500,MATCH($Y73&amp;"|"&amp;3,Tasks!$Z$2:$Z$1500,0))),"")</f>
        <v/>
      </c>
    </row>
    <row r="78" spans="1:28" ht="17" hidden="1" x14ac:dyDescent="0.5">
      <c r="C78" s="18" t="str">
        <f>IFERROR(INDEX(Tasks!$E$2:$E$1500,MATCH($Y73&amp;"|"&amp;4,Tasks!$Z$2:$Z$1500,0)),"")</f>
        <v/>
      </c>
      <c r="D78" s="19" t="str">
        <f>IFERROR(INDEX(Tasks!$F$2:$F$1500,MATCH($Y73&amp;"|"&amp;4,Tasks!$Z$2:$Z$1500,0)),"")</f>
        <v/>
      </c>
      <c r="E78" s="20" t="str">
        <f>IFERROR(IF(INDEX(Tasks!$K$2:$K$1500,MATCH($Y73&amp;"|"&amp;4,Tasks!$Z$2:$Z$1500,0))=0,"",INDEX(Tasks!$K$2:$K$1500,MATCH($Y73&amp;"|"&amp;4,Tasks!$Z$2:$Z$1500,0))),"")</f>
        <v/>
      </c>
      <c r="F78" s="19" t="str">
        <f>IFERROR(IF(INDEX(Tasks!$L$2:$L$1500,MATCH($Y73&amp;"|"&amp;4,Tasks!$Z$2:$Z$1500,0))=0,"",INDEX(Tasks!$L$2:$L$1500,MATCH($Y73&amp;"|"&amp;4,Tasks!$Z$2:$Z$1500,0))),"")</f>
        <v/>
      </c>
      <c r="G78" s="21" t="str">
        <f>IFERROR(IF(INDEX(Tasks!$P$2:$P$1500,MATCH($Y73&amp;"|"&amp;4,Tasks!$Z$2:$Z$1500,0))=0,"",INDEX(Tasks!$P$2:$P$1500,MATCH($Y73&amp;"|"&amp;4,Tasks!$Z$2:$Z$1500,0))),"")</f>
        <v/>
      </c>
    </row>
    <row r="79" spans="1:28" ht="17" hidden="1" x14ac:dyDescent="0.5">
      <c r="C79" s="18" t="str">
        <f>IFERROR(INDEX(Tasks!$E$2:$E$1500,MATCH($Y73&amp;"|"&amp;5,Tasks!$Z$2:$Z$1500,0)),"")</f>
        <v/>
      </c>
      <c r="D79" s="19" t="str">
        <f>IFERROR(INDEX(Tasks!$F$2:$F$1500,MATCH($Y73&amp;"|"&amp;5,Tasks!$Z$2:$Z$1500,0)),"")</f>
        <v/>
      </c>
      <c r="E79" s="20" t="str">
        <f>IFERROR(IF(INDEX(Tasks!$K$2:$K$1500,MATCH($Y73&amp;"|"&amp;5,Tasks!$Z$2:$Z$1500,0))=0,"",INDEX(Tasks!$K$2:$K$1500,MATCH($Y73&amp;"|"&amp;5,Tasks!$Z$2:$Z$1500,0))),"")</f>
        <v/>
      </c>
      <c r="F79" s="19" t="str">
        <f>IFERROR(IF(INDEX(Tasks!$L$2:$L$1500,MATCH($Y73&amp;"|"&amp;5,Tasks!$Z$2:$Z$1500,0))=0,"",INDEX(Tasks!$L$2:$L$1500,MATCH($Y73&amp;"|"&amp;5,Tasks!$Z$2:$Z$1500,0))),"")</f>
        <v/>
      </c>
      <c r="G79" s="21" t="str">
        <f>IFERROR(IF(INDEX(Tasks!$P$2:$P$1500,MATCH($Y73&amp;"|"&amp;5,Tasks!$Z$2:$Z$1500,0))=0,"",INDEX(Tasks!$P$2:$P$1500,MATCH($Y73&amp;"|"&amp;5,Tasks!$Z$2:$Z$1500,0))),"")</f>
        <v/>
      </c>
    </row>
    <row r="80" spans="1:28" ht="17" hidden="1" x14ac:dyDescent="0.5">
      <c r="C80" s="18" t="str">
        <f>IFERROR(INDEX(Tasks!$E$2:$E$1500,MATCH($Y73&amp;"|"&amp;6,Tasks!$Z$2:$Z$1500,0)),"")</f>
        <v/>
      </c>
      <c r="D80" s="19" t="str">
        <f>IFERROR(INDEX(Tasks!$F$2:$F$1500,MATCH($Y73&amp;"|"&amp;6,Tasks!$Z$2:$Z$1500,0)),"")</f>
        <v/>
      </c>
      <c r="E80" s="20" t="str">
        <f>IFERROR(IF(INDEX(Tasks!$K$2:$K$1500,MATCH($Y73&amp;"|"&amp;6,Tasks!$Z$2:$Z$1500,0))=0,"",INDEX(Tasks!$K$2:$K$1500,MATCH($Y73&amp;"|"&amp;6,Tasks!$Z$2:$Z$1500,0))),"")</f>
        <v/>
      </c>
      <c r="F80" s="19" t="str">
        <f>IFERROR(IF(INDEX(Tasks!$L$2:$L$1500,MATCH($Y73&amp;"|"&amp;6,Tasks!$Z$2:$Z$1500,0))=0,"",INDEX(Tasks!$L$2:$L$1500,MATCH($Y73&amp;"|"&amp;6,Tasks!$Z$2:$Z$1500,0))),"")</f>
        <v/>
      </c>
      <c r="G80" s="21" t="str">
        <f>IFERROR(IF(INDEX(Tasks!$P$2:$P$1500,MATCH($Y73&amp;"|"&amp;6,Tasks!$Z$2:$Z$1500,0))=0,"",INDEX(Tasks!$P$2:$P$1500,MATCH($Y73&amp;"|"&amp;6,Tasks!$Z$2:$Z$1500,0))),"")</f>
        <v/>
      </c>
    </row>
    <row r="81" spans="1:28" ht="17" hidden="1" x14ac:dyDescent="0.5">
      <c r="C81" s="18" t="str">
        <f>IFERROR(INDEX(Tasks!$E$2:$E$1500,MATCH($Y73&amp;"|"&amp;7,Tasks!$Z$2:$Z$1500,0)),"")</f>
        <v/>
      </c>
      <c r="D81" s="19" t="str">
        <f>IFERROR(INDEX(Tasks!$F$2:$F$1500,MATCH($Y73&amp;"|"&amp;7,Tasks!$Z$2:$Z$1500,0)),"")</f>
        <v/>
      </c>
      <c r="E81" s="20" t="str">
        <f>IFERROR(IF(INDEX(Tasks!$K$2:$K$1500,MATCH($Y73&amp;"|"&amp;7,Tasks!$Z$2:$Z$1500,0))=0,"",INDEX(Tasks!$K$2:$K$1500,MATCH($Y73&amp;"|"&amp;7,Tasks!$Z$2:$Z$1500,0))),"")</f>
        <v/>
      </c>
      <c r="F81" s="19" t="str">
        <f>IFERROR(IF(INDEX(Tasks!$L$2:$L$1500,MATCH($Y73&amp;"|"&amp;7,Tasks!$Z$2:$Z$1500,0))=0,"",INDEX(Tasks!$L$2:$L$1500,MATCH($Y73&amp;"|"&amp;7,Tasks!$Z$2:$Z$1500,0))),"")</f>
        <v/>
      </c>
      <c r="G81" s="21" t="str">
        <f>IFERROR(IF(INDEX(Tasks!$P$2:$P$1500,MATCH($Y73&amp;"|"&amp;7,Tasks!$Z$2:$Z$1500,0))=0,"",INDEX(Tasks!$P$2:$P$1500,MATCH($Y73&amp;"|"&amp;7,Tasks!$Z$2:$Z$1500,0))),"")</f>
        <v/>
      </c>
    </row>
    <row r="82" spans="1:28" ht="17" hidden="1" x14ac:dyDescent="0.5">
      <c r="C82" s="18" t="str">
        <f>IF(N($D73)&gt;8,"+ "&amp;(N($D73)-7)&amp;" more — see Tasks",IFERROR(INDEX(Tasks!$E$2:$E$1500,MATCH($Y73&amp;"|"&amp;8,Tasks!$Z$2:$Z$1500,0)),""))</f>
        <v/>
      </c>
      <c r="D82" s="19" t="str">
        <f>IF(N($D73)&gt;8,"",IFERROR(INDEX(Tasks!$F$2:$F$1500,MATCH($Y73&amp;"|"&amp;8,Tasks!$Z$2:$Z$1500,0)),""))</f>
        <v/>
      </c>
      <c r="E82" s="20" t="str">
        <f>IF(N($D73)&gt;8,"",IFERROR(IF(INDEX(Tasks!$K$2:$K$1500,MATCH($Y73&amp;"|"&amp;8,Tasks!$Z$2:$Z$1500,0))=0,"",INDEX(Tasks!$K$2:$K$1500,MATCH($Y73&amp;"|"&amp;8,Tasks!$Z$2:$Z$1500,0))),""))</f>
        <v/>
      </c>
      <c r="F82" s="19" t="str">
        <f>IF(N($D73)&gt;8,"",IFERROR(IF(INDEX(Tasks!$L$2:$L$1500,MATCH($Y73&amp;"|"&amp;8,Tasks!$Z$2:$Z$1500,0))=0,"",INDEX(Tasks!$L$2:$L$1500,MATCH($Y73&amp;"|"&amp;8,Tasks!$Z$2:$Z$1500,0))),""))</f>
        <v/>
      </c>
      <c r="G82" s="21" t="str">
        <f>IF(N($D73)&gt;8,"",IFERROR(IF(INDEX(Tasks!$P$2:$P$1500,MATCH($Y73&amp;"|"&amp;8,Tasks!$Z$2:$Z$1500,0))=0,"",INDEX(Tasks!$P$2:$P$1500,MATCH($Y73&amp;"|"&amp;8,Tasks!$Z$2:$Z$1500,0))),""))</f>
        <v/>
      </c>
    </row>
    <row r="83" spans="1:28" ht="14.5" x14ac:dyDescent="0.35">
      <c r="A83" s="2"/>
      <c r="B83" s="2"/>
      <c r="C83" s="2"/>
      <c r="D83" s="3" t="str">
        <f>IF(COUNTIFS(Tasks!$V$2:$V$1500,Y83)=0,"",COUNTIFS(Tasks!$V$2:$V$1500,Y83))</f>
        <v/>
      </c>
      <c r="E83" s="13"/>
      <c r="F83" s="13"/>
      <c r="G83" s="2"/>
      <c r="H83" s="14" t="str">
        <f ca="1">IF(OR(E83="",F83=""),"",IF(E83=F83,IF(TODAY()&gt;=E83,1,0),MAX(0,MIN(1,(TODAY()-E83)/(F83-E83)))))</f>
        <v/>
      </c>
      <c r="I83" s="6"/>
      <c r="J83" s="15"/>
      <c r="AA83">
        <f ca="1">IF(TODAY()&lt;E83,E83-TODAY(),F83-TODAY())</f>
        <v>-46311</v>
      </c>
      <c r="AB83" t="str">
        <f ca="1">IF(AND(OR(G83="Planned",G83="Active"),ABS(AA83)&lt;=7),AA83+Y83/1000000,"")</f>
        <v/>
      </c>
    </row>
    <row r="84" spans="1:28" ht="15" hidden="1" x14ac:dyDescent="0.4">
      <c r="C84" s="16" t="s">
        <v>40</v>
      </c>
      <c r="D84" s="17" t="s">
        <v>41</v>
      </c>
      <c r="E84" s="17" t="s">
        <v>15</v>
      </c>
      <c r="F84" s="17" t="s">
        <v>16</v>
      </c>
      <c r="G84" s="17" t="s">
        <v>18</v>
      </c>
    </row>
    <row r="85" spans="1:28" ht="17" hidden="1" x14ac:dyDescent="0.5">
      <c r="C85" s="18" t="str">
        <f>IFERROR(INDEX(Tasks!$E$2:$E$1500,MATCH($Y83&amp;"|"&amp;1,Tasks!$Z$2:$Z$1500,0)),"")</f>
        <v/>
      </c>
      <c r="D85" s="19" t="str">
        <f>IFERROR(INDEX(Tasks!$F$2:$F$1500,MATCH($Y83&amp;"|"&amp;1,Tasks!$Z$2:$Z$1500,0)),"")</f>
        <v/>
      </c>
      <c r="E85" s="20" t="str">
        <f>IFERROR(IF(INDEX(Tasks!$K$2:$K$1500,MATCH($Y83&amp;"|"&amp;1,Tasks!$Z$2:$Z$1500,0))=0,"",INDEX(Tasks!$K$2:$K$1500,MATCH($Y83&amp;"|"&amp;1,Tasks!$Z$2:$Z$1500,0))),"")</f>
        <v/>
      </c>
      <c r="F85" s="19" t="str">
        <f>IFERROR(IF(INDEX(Tasks!$L$2:$L$1500,MATCH($Y83&amp;"|"&amp;1,Tasks!$Z$2:$Z$1500,0))=0,"",INDEX(Tasks!$L$2:$L$1500,MATCH($Y83&amp;"|"&amp;1,Tasks!$Z$2:$Z$1500,0))),"")</f>
        <v/>
      </c>
      <c r="G85" s="21" t="str">
        <f>IFERROR(IF(INDEX(Tasks!$P$2:$P$1500,MATCH($Y83&amp;"|"&amp;1,Tasks!$Z$2:$Z$1500,0))=0,"",INDEX(Tasks!$P$2:$P$1500,MATCH($Y83&amp;"|"&amp;1,Tasks!$Z$2:$Z$1500,0))),"")</f>
        <v/>
      </c>
    </row>
    <row r="86" spans="1:28" ht="17" hidden="1" x14ac:dyDescent="0.5">
      <c r="C86" s="18" t="str">
        <f>IFERROR(INDEX(Tasks!$E$2:$E$1500,MATCH($Y83&amp;"|"&amp;2,Tasks!$Z$2:$Z$1500,0)),"")</f>
        <v/>
      </c>
      <c r="D86" s="19" t="str">
        <f>IFERROR(INDEX(Tasks!$F$2:$F$1500,MATCH($Y83&amp;"|"&amp;2,Tasks!$Z$2:$Z$1500,0)),"")</f>
        <v/>
      </c>
      <c r="E86" s="20" t="str">
        <f>IFERROR(IF(INDEX(Tasks!$K$2:$K$1500,MATCH($Y83&amp;"|"&amp;2,Tasks!$Z$2:$Z$1500,0))=0,"",INDEX(Tasks!$K$2:$K$1500,MATCH($Y83&amp;"|"&amp;2,Tasks!$Z$2:$Z$1500,0))),"")</f>
        <v/>
      </c>
      <c r="F86" s="19" t="str">
        <f>IFERROR(IF(INDEX(Tasks!$L$2:$L$1500,MATCH($Y83&amp;"|"&amp;2,Tasks!$Z$2:$Z$1500,0))=0,"",INDEX(Tasks!$L$2:$L$1500,MATCH($Y83&amp;"|"&amp;2,Tasks!$Z$2:$Z$1500,0))),"")</f>
        <v/>
      </c>
      <c r="G86" s="21" t="str">
        <f>IFERROR(IF(INDEX(Tasks!$P$2:$P$1500,MATCH($Y83&amp;"|"&amp;2,Tasks!$Z$2:$Z$1500,0))=0,"",INDEX(Tasks!$P$2:$P$1500,MATCH($Y83&amp;"|"&amp;2,Tasks!$Z$2:$Z$1500,0))),"")</f>
        <v/>
      </c>
    </row>
    <row r="87" spans="1:28" ht="17" hidden="1" x14ac:dyDescent="0.5">
      <c r="C87" s="18" t="str">
        <f>IFERROR(INDEX(Tasks!$E$2:$E$1500,MATCH($Y83&amp;"|"&amp;3,Tasks!$Z$2:$Z$1500,0)),"")</f>
        <v/>
      </c>
      <c r="D87" s="19" t="str">
        <f>IFERROR(INDEX(Tasks!$F$2:$F$1500,MATCH($Y83&amp;"|"&amp;3,Tasks!$Z$2:$Z$1500,0)),"")</f>
        <v/>
      </c>
      <c r="E87" s="20" t="str">
        <f>IFERROR(IF(INDEX(Tasks!$K$2:$K$1500,MATCH($Y83&amp;"|"&amp;3,Tasks!$Z$2:$Z$1500,0))=0,"",INDEX(Tasks!$K$2:$K$1500,MATCH($Y83&amp;"|"&amp;3,Tasks!$Z$2:$Z$1500,0))),"")</f>
        <v/>
      </c>
      <c r="F87" s="19" t="str">
        <f>IFERROR(IF(INDEX(Tasks!$L$2:$L$1500,MATCH($Y83&amp;"|"&amp;3,Tasks!$Z$2:$Z$1500,0))=0,"",INDEX(Tasks!$L$2:$L$1500,MATCH($Y83&amp;"|"&amp;3,Tasks!$Z$2:$Z$1500,0))),"")</f>
        <v/>
      </c>
      <c r="G87" s="21" t="str">
        <f>IFERROR(IF(INDEX(Tasks!$P$2:$P$1500,MATCH($Y83&amp;"|"&amp;3,Tasks!$Z$2:$Z$1500,0))=0,"",INDEX(Tasks!$P$2:$P$1500,MATCH($Y83&amp;"|"&amp;3,Tasks!$Z$2:$Z$1500,0))),"")</f>
        <v/>
      </c>
    </row>
    <row r="88" spans="1:28" ht="17" hidden="1" x14ac:dyDescent="0.5">
      <c r="C88" s="18" t="str">
        <f>IFERROR(INDEX(Tasks!$E$2:$E$1500,MATCH($Y83&amp;"|"&amp;4,Tasks!$Z$2:$Z$1500,0)),"")</f>
        <v/>
      </c>
      <c r="D88" s="19" t="str">
        <f>IFERROR(INDEX(Tasks!$F$2:$F$1500,MATCH($Y83&amp;"|"&amp;4,Tasks!$Z$2:$Z$1500,0)),"")</f>
        <v/>
      </c>
      <c r="E88" s="20" t="str">
        <f>IFERROR(IF(INDEX(Tasks!$K$2:$K$1500,MATCH($Y83&amp;"|"&amp;4,Tasks!$Z$2:$Z$1500,0))=0,"",INDEX(Tasks!$K$2:$K$1500,MATCH($Y83&amp;"|"&amp;4,Tasks!$Z$2:$Z$1500,0))),"")</f>
        <v/>
      </c>
      <c r="F88" s="19" t="str">
        <f>IFERROR(IF(INDEX(Tasks!$L$2:$L$1500,MATCH($Y83&amp;"|"&amp;4,Tasks!$Z$2:$Z$1500,0))=0,"",INDEX(Tasks!$L$2:$L$1500,MATCH($Y83&amp;"|"&amp;4,Tasks!$Z$2:$Z$1500,0))),"")</f>
        <v/>
      </c>
      <c r="G88" s="21" t="str">
        <f>IFERROR(IF(INDEX(Tasks!$P$2:$P$1500,MATCH($Y83&amp;"|"&amp;4,Tasks!$Z$2:$Z$1500,0))=0,"",INDEX(Tasks!$P$2:$P$1500,MATCH($Y83&amp;"|"&amp;4,Tasks!$Z$2:$Z$1500,0))),"")</f>
        <v/>
      </c>
    </row>
    <row r="89" spans="1:28" ht="17" hidden="1" x14ac:dyDescent="0.5">
      <c r="C89" s="18" t="str">
        <f>IFERROR(INDEX(Tasks!$E$2:$E$1500,MATCH($Y83&amp;"|"&amp;5,Tasks!$Z$2:$Z$1500,0)),"")</f>
        <v/>
      </c>
      <c r="D89" s="19" t="str">
        <f>IFERROR(INDEX(Tasks!$F$2:$F$1500,MATCH($Y83&amp;"|"&amp;5,Tasks!$Z$2:$Z$1500,0)),"")</f>
        <v/>
      </c>
      <c r="E89" s="20" t="str">
        <f>IFERROR(IF(INDEX(Tasks!$K$2:$K$1500,MATCH($Y83&amp;"|"&amp;5,Tasks!$Z$2:$Z$1500,0))=0,"",INDEX(Tasks!$K$2:$K$1500,MATCH($Y83&amp;"|"&amp;5,Tasks!$Z$2:$Z$1500,0))),"")</f>
        <v/>
      </c>
      <c r="F89" s="19" t="str">
        <f>IFERROR(IF(INDEX(Tasks!$L$2:$L$1500,MATCH($Y83&amp;"|"&amp;5,Tasks!$Z$2:$Z$1500,0))=0,"",INDEX(Tasks!$L$2:$L$1500,MATCH($Y83&amp;"|"&amp;5,Tasks!$Z$2:$Z$1500,0))),"")</f>
        <v/>
      </c>
      <c r="G89" s="21" t="str">
        <f>IFERROR(IF(INDEX(Tasks!$P$2:$P$1500,MATCH($Y83&amp;"|"&amp;5,Tasks!$Z$2:$Z$1500,0))=0,"",INDEX(Tasks!$P$2:$P$1500,MATCH($Y83&amp;"|"&amp;5,Tasks!$Z$2:$Z$1500,0))),"")</f>
        <v/>
      </c>
    </row>
    <row r="90" spans="1:28" ht="17" hidden="1" x14ac:dyDescent="0.5">
      <c r="C90" s="18" t="str">
        <f>IFERROR(INDEX(Tasks!$E$2:$E$1500,MATCH($Y83&amp;"|"&amp;6,Tasks!$Z$2:$Z$1500,0)),"")</f>
        <v/>
      </c>
      <c r="D90" s="19" t="str">
        <f>IFERROR(INDEX(Tasks!$F$2:$F$1500,MATCH($Y83&amp;"|"&amp;6,Tasks!$Z$2:$Z$1500,0)),"")</f>
        <v/>
      </c>
      <c r="E90" s="20" t="str">
        <f>IFERROR(IF(INDEX(Tasks!$K$2:$K$1500,MATCH($Y83&amp;"|"&amp;6,Tasks!$Z$2:$Z$1500,0))=0,"",INDEX(Tasks!$K$2:$K$1500,MATCH($Y83&amp;"|"&amp;6,Tasks!$Z$2:$Z$1500,0))),"")</f>
        <v/>
      </c>
      <c r="F90" s="19" t="str">
        <f>IFERROR(IF(INDEX(Tasks!$L$2:$L$1500,MATCH($Y83&amp;"|"&amp;6,Tasks!$Z$2:$Z$1500,0))=0,"",INDEX(Tasks!$L$2:$L$1500,MATCH($Y83&amp;"|"&amp;6,Tasks!$Z$2:$Z$1500,0))),"")</f>
        <v/>
      </c>
      <c r="G90" s="21" t="str">
        <f>IFERROR(IF(INDEX(Tasks!$P$2:$P$1500,MATCH($Y83&amp;"|"&amp;6,Tasks!$Z$2:$Z$1500,0))=0,"",INDEX(Tasks!$P$2:$P$1500,MATCH($Y83&amp;"|"&amp;6,Tasks!$Z$2:$Z$1500,0))),"")</f>
        <v/>
      </c>
    </row>
    <row r="91" spans="1:28" ht="17" hidden="1" x14ac:dyDescent="0.5">
      <c r="C91" s="18" t="str">
        <f>IFERROR(INDEX(Tasks!$E$2:$E$1500,MATCH($Y83&amp;"|"&amp;7,Tasks!$Z$2:$Z$1500,0)),"")</f>
        <v/>
      </c>
      <c r="D91" s="19" t="str">
        <f>IFERROR(INDEX(Tasks!$F$2:$F$1500,MATCH($Y83&amp;"|"&amp;7,Tasks!$Z$2:$Z$1500,0)),"")</f>
        <v/>
      </c>
      <c r="E91" s="20" t="str">
        <f>IFERROR(IF(INDEX(Tasks!$K$2:$K$1500,MATCH($Y83&amp;"|"&amp;7,Tasks!$Z$2:$Z$1500,0))=0,"",INDEX(Tasks!$K$2:$K$1500,MATCH($Y83&amp;"|"&amp;7,Tasks!$Z$2:$Z$1500,0))),"")</f>
        <v/>
      </c>
      <c r="F91" s="19" t="str">
        <f>IFERROR(IF(INDEX(Tasks!$L$2:$L$1500,MATCH($Y83&amp;"|"&amp;7,Tasks!$Z$2:$Z$1500,0))=0,"",INDEX(Tasks!$L$2:$L$1500,MATCH($Y83&amp;"|"&amp;7,Tasks!$Z$2:$Z$1500,0))),"")</f>
        <v/>
      </c>
      <c r="G91" s="21" t="str">
        <f>IFERROR(IF(INDEX(Tasks!$P$2:$P$1500,MATCH($Y83&amp;"|"&amp;7,Tasks!$Z$2:$Z$1500,0))=0,"",INDEX(Tasks!$P$2:$P$1500,MATCH($Y83&amp;"|"&amp;7,Tasks!$Z$2:$Z$1500,0))),"")</f>
        <v/>
      </c>
    </row>
    <row r="92" spans="1:28" ht="17" hidden="1" x14ac:dyDescent="0.5">
      <c r="C92" s="18" t="str">
        <f>IF(N($D83)&gt;8,"+ "&amp;(N($D83)-7)&amp;" more — see Tasks",IFERROR(INDEX(Tasks!$E$2:$E$1500,MATCH($Y83&amp;"|"&amp;8,Tasks!$Z$2:$Z$1500,0)),""))</f>
        <v/>
      </c>
      <c r="D92" s="19" t="str">
        <f>IF(N($D83)&gt;8,"",IFERROR(INDEX(Tasks!$F$2:$F$1500,MATCH($Y83&amp;"|"&amp;8,Tasks!$Z$2:$Z$1500,0)),""))</f>
        <v/>
      </c>
      <c r="E92" s="20" t="str">
        <f>IF(N($D83)&gt;8,"",IFERROR(IF(INDEX(Tasks!$K$2:$K$1500,MATCH($Y83&amp;"|"&amp;8,Tasks!$Z$2:$Z$1500,0))=0,"",INDEX(Tasks!$K$2:$K$1500,MATCH($Y83&amp;"|"&amp;8,Tasks!$Z$2:$Z$1500,0))),""))</f>
        <v/>
      </c>
      <c r="F92" s="19" t="str">
        <f>IF(N($D83)&gt;8,"",IFERROR(IF(INDEX(Tasks!$L$2:$L$1500,MATCH($Y83&amp;"|"&amp;8,Tasks!$Z$2:$Z$1500,0))=0,"",INDEX(Tasks!$L$2:$L$1500,MATCH($Y83&amp;"|"&amp;8,Tasks!$Z$2:$Z$1500,0))),""))</f>
        <v/>
      </c>
      <c r="G92" s="21" t="str">
        <f>IF(N($D83)&gt;8,"",IFERROR(IF(INDEX(Tasks!$P$2:$P$1500,MATCH($Y83&amp;"|"&amp;8,Tasks!$Z$2:$Z$1500,0))=0,"",INDEX(Tasks!$P$2:$P$1500,MATCH($Y83&amp;"|"&amp;8,Tasks!$Z$2:$Z$1500,0))),""))</f>
        <v/>
      </c>
    </row>
    <row r="93" spans="1:28" ht="14.5" x14ac:dyDescent="0.35">
      <c r="A93" s="2"/>
      <c r="B93" s="2"/>
      <c r="C93" s="2"/>
      <c r="D93" s="3" t="str">
        <f>IF(COUNTIFS(Tasks!$V$2:$V$1500,Y93)=0,"",COUNTIFS(Tasks!$V$2:$V$1500,Y93))</f>
        <v/>
      </c>
      <c r="E93" s="13"/>
      <c r="F93" s="13"/>
      <c r="G93" s="2"/>
      <c r="H93" s="14" t="str">
        <f ca="1">IF(OR(E93="",F93=""),"",IF(E93=F93,IF(TODAY()&gt;=E93,1,0),MAX(0,MIN(1,(TODAY()-E93)/(F93-E93)))))</f>
        <v/>
      </c>
      <c r="I93" s="6"/>
      <c r="J93" s="15"/>
      <c r="AA93">
        <f ca="1">IF(TODAY()&lt;E93,E93-TODAY(),F93-TODAY())</f>
        <v>-46311</v>
      </c>
      <c r="AB93" t="str">
        <f ca="1">IF(AND(OR(G93="Planned",G93="Active"),ABS(AA93)&lt;=7),AA93+Y93/1000000,"")</f>
        <v/>
      </c>
    </row>
    <row r="94" spans="1:28" ht="15" hidden="1" x14ac:dyDescent="0.4">
      <c r="C94" s="16" t="s">
        <v>40</v>
      </c>
      <c r="D94" s="17" t="s">
        <v>41</v>
      </c>
      <c r="E94" s="17" t="s">
        <v>15</v>
      </c>
      <c r="F94" s="17" t="s">
        <v>16</v>
      </c>
      <c r="G94" s="17" t="s">
        <v>18</v>
      </c>
    </row>
    <row r="95" spans="1:28" ht="17" hidden="1" x14ac:dyDescent="0.5">
      <c r="C95" s="18" t="str">
        <f>IFERROR(INDEX(Tasks!$E$2:$E$1500,MATCH($Y93&amp;"|"&amp;1,Tasks!$Z$2:$Z$1500,0)),"")</f>
        <v/>
      </c>
      <c r="D95" s="19" t="str">
        <f>IFERROR(INDEX(Tasks!$F$2:$F$1500,MATCH($Y93&amp;"|"&amp;1,Tasks!$Z$2:$Z$1500,0)),"")</f>
        <v/>
      </c>
      <c r="E95" s="20" t="str">
        <f>IFERROR(IF(INDEX(Tasks!$K$2:$K$1500,MATCH($Y93&amp;"|"&amp;1,Tasks!$Z$2:$Z$1500,0))=0,"",INDEX(Tasks!$K$2:$K$1500,MATCH($Y93&amp;"|"&amp;1,Tasks!$Z$2:$Z$1500,0))),"")</f>
        <v/>
      </c>
      <c r="F95" s="19" t="str">
        <f>IFERROR(IF(INDEX(Tasks!$L$2:$L$1500,MATCH($Y93&amp;"|"&amp;1,Tasks!$Z$2:$Z$1500,0))=0,"",INDEX(Tasks!$L$2:$L$1500,MATCH($Y93&amp;"|"&amp;1,Tasks!$Z$2:$Z$1500,0))),"")</f>
        <v/>
      </c>
      <c r="G95" s="21" t="str">
        <f>IFERROR(IF(INDEX(Tasks!$P$2:$P$1500,MATCH($Y93&amp;"|"&amp;1,Tasks!$Z$2:$Z$1500,0))=0,"",INDEX(Tasks!$P$2:$P$1500,MATCH($Y93&amp;"|"&amp;1,Tasks!$Z$2:$Z$1500,0))),"")</f>
        <v/>
      </c>
    </row>
    <row r="96" spans="1:28" ht="17" hidden="1" x14ac:dyDescent="0.5">
      <c r="C96" s="18" t="str">
        <f>IFERROR(INDEX(Tasks!$E$2:$E$1500,MATCH($Y93&amp;"|"&amp;2,Tasks!$Z$2:$Z$1500,0)),"")</f>
        <v/>
      </c>
      <c r="D96" s="19" t="str">
        <f>IFERROR(INDEX(Tasks!$F$2:$F$1500,MATCH($Y93&amp;"|"&amp;2,Tasks!$Z$2:$Z$1500,0)),"")</f>
        <v/>
      </c>
      <c r="E96" s="20" t="str">
        <f>IFERROR(IF(INDEX(Tasks!$K$2:$K$1500,MATCH($Y93&amp;"|"&amp;2,Tasks!$Z$2:$Z$1500,0))=0,"",INDEX(Tasks!$K$2:$K$1500,MATCH($Y93&amp;"|"&amp;2,Tasks!$Z$2:$Z$1500,0))),"")</f>
        <v/>
      </c>
      <c r="F96" s="19" t="str">
        <f>IFERROR(IF(INDEX(Tasks!$L$2:$L$1500,MATCH($Y93&amp;"|"&amp;2,Tasks!$Z$2:$Z$1500,0))=0,"",INDEX(Tasks!$L$2:$L$1500,MATCH($Y93&amp;"|"&amp;2,Tasks!$Z$2:$Z$1500,0))),"")</f>
        <v/>
      </c>
      <c r="G96" s="21" t="str">
        <f>IFERROR(IF(INDEX(Tasks!$P$2:$P$1500,MATCH($Y93&amp;"|"&amp;2,Tasks!$Z$2:$Z$1500,0))=0,"",INDEX(Tasks!$P$2:$P$1500,MATCH($Y93&amp;"|"&amp;2,Tasks!$Z$2:$Z$1500,0))),"")</f>
        <v/>
      </c>
    </row>
    <row r="97" spans="1:28" ht="17" hidden="1" x14ac:dyDescent="0.5">
      <c r="C97" s="18" t="str">
        <f>IFERROR(INDEX(Tasks!$E$2:$E$1500,MATCH($Y93&amp;"|"&amp;3,Tasks!$Z$2:$Z$1500,0)),"")</f>
        <v/>
      </c>
      <c r="D97" s="19" t="str">
        <f>IFERROR(INDEX(Tasks!$F$2:$F$1500,MATCH($Y93&amp;"|"&amp;3,Tasks!$Z$2:$Z$1500,0)),"")</f>
        <v/>
      </c>
      <c r="E97" s="20" t="str">
        <f>IFERROR(IF(INDEX(Tasks!$K$2:$K$1500,MATCH($Y93&amp;"|"&amp;3,Tasks!$Z$2:$Z$1500,0))=0,"",INDEX(Tasks!$K$2:$K$1500,MATCH($Y93&amp;"|"&amp;3,Tasks!$Z$2:$Z$1500,0))),"")</f>
        <v/>
      </c>
      <c r="F97" s="19" t="str">
        <f>IFERROR(IF(INDEX(Tasks!$L$2:$L$1500,MATCH($Y93&amp;"|"&amp;3,Tasks!$Z$2:$Z$1500,0))=0,"",INDEX(Tasks!$L$2:$L$1500,MATCH($Y93&amp;"|"&amp;3,Tasks!$Z$2:$Z$1500,0))),"")</f>
        <v/>
      </c>
      <c r="G97" s="21" t="str">
        <f>IFERROR(IF(INDEX(Tasks!$P$2:$P$1500,MATCH($Y93&amp;"|"&amp;3,Tasks!$Z$2:$Z$1500,0))=0,"",INDEX(Tasks!$P$2:$P$1500,MATCH($Y93&amp;"|"&amp;3,Tasks!$Z$2:$Z$1500,0))),"")</f>
        <v/>
      </c>
    </row>
    <row r="98" spans="1:28" ht="17" hidden="1" x14ac:dyDescent="0.5">
      <c r="C98" s="18" t="str">
        <f>IFERROR(INDEX(Tasks!$E$2:$E$1500,MATCH($Y93&amp;"|"&amp;4,Tasks!$Z$2:$Z$1500,0)),"")</f>
        <v/>
      </c>
      <c r="D98" s="19" t="str">
        <f>IFERROR(INDEX(Tasks!$F$2:$F$1500,MATCH($Y93&amp;"|"&amp;4,Tasks!$Z$2:$Z$1500,0)),"")</f>
        <v/>
      </c>
      <c r="E98" s="20" t="str">
        <f>IFERROR(IF(INDEX(Tasks!$K$2:$K$1500,MATCH($Y93&amp;"|"&amp;4,Tasks!$Z$2:$Z$1500,0))=0,"",INDEX(Tasks!$K$2:$K$1500,MATCH($Y93&amp;"|"&amp;4,Tasks!$Z$2:$Z$1500,0))),"")</f>
        <v/>
      </c>
      <c r="F98" s="19" t="str">
        <f>IFERROR(IF(INDEX(Tasks!$L$2:$L$1500,MATCH($Y93&amp;"|"&amp;4,Tasks!$Z$2:$Z$1500,0))=0,"",INDEX(Tasks!$L$2:$L$1500,MATCH($Y93&amp;"|"&amp;4,Tasks!$Z$2:$Z$1500,0))),"")</f>
        <v/>
      </c>
      <c r="G98" s="21" t="str">
        <f>IFERROR(IF(INDEX(Tasks!$P$2:$P$1500,MATCH($Y93&amp;"|"&amp;4,Tasks!$Z$2:$Z$1500,0))=0,"",INDEX(Tasks!$P$2:$P$1500,MATCH($Y93&amp;"|"&amp;4,Tasks!$Z$2:$Z$1500,0))),"")</f>
        <v/>
      </c>
    </row>
    <row r="99" spans="1:28" ht="17" hidden="1" x14ac:dyDescent="0.5">
      <c r="C99" s="18" t="str">
        <f>IFERROR(INDEX(Tasks!$E$2:$E$1500,MATCH($Y93&amp;"|"&amp;5,Tasks!$Z$2:$Z$1500,0)),"")</f>
        <v/>
      </c>
      <c r="D99" s="19" t="str">
        <f>IFERROR(INDEX(Tasks!$F$2:$F$1500,MATCH($Y93&amp;"|"&amp;5,Tasks!$Z$2:$Z$1500,0)),"")</f>
        <v/>
      </c>
      <c r="E99" s="20" t="str">
        <f>IFERROR(IF(INDEX(Tasks!$K$2:$K$1500,MATCH($Y93&amp;"|"&amp;5,Tasks!$Z$2:$Z$1500,0))=0,"",INDEX(Tasks!$K$2:$K$1500,MATCH($Y93&amp;"|"&amp;5,Tasks!$Z$2:$Z$1500,0))),"")</f>
        <v/>
      </c>
      <c r="F99" s="19" t="str">
        <f>IFERROR(IF(INDEX(Tasks!$L$2:$L$1500,MATCH($Y93&amp;"|"&amp;5,Tasks!$Z$2:$Z$1500,0))=0,"",INDEX(Tasks!$L$2:$L$1500,MATCH($Y93&amp;"|"&amp;5,Tasks!$Z$2:$Z$1500,0))),"")</f>
        <v/>
      </c>
      <c r="G99" s="21" t="str">
        <f>IFERROR(IF(INDEX(Tasks!$P$2:$P$1500,MATCH($Y93&amp;"|"&amp;5,Tasks!$Z$2:$Z$1500,0))=0,"",INDEX(Tasks!$P$2:$P$1500,MATCH($Y93&amp;"|"&amp;5,Tasks!$Z$2:$Z$1500,0))),"")</f>
        <v/>
      </c>
    </row>
    <row r="100" spans="1:28" ht="17" hidden="1" x14ac:dyDescent="0.5">
      <c r="C100" s="18" t="str">
        <f>IFERROR(INDEX(Tasks!$E$2:$E$1500,MATCH($Y93&amp;"|"&amp;6,Tasks!$Z$2:$Z$1500,0)),"")</f>
        <v/>
      </c>
      <c r="D100" s="19" t="str">
        <f>IFERROR(INDEX(Tasks!$F$2:$F$1500,MATCH($Y93&amp;"|"&amp;6,Tasks!$Z$2:$Z$1500,0)),"")</f>
        <v/>
      </c>
      <c r="E100" s="20" t="str">
        <f>IFERROR(IF(INDEX(Tasks!$K$2:$K$1500,MATCH($Y93&amp;"|"&amp;6,Tasks!$Z$2:$Z$1500,0))=0,"",INDEX(Tasks!$K$2:$K$1500,MATCH($Y93&amp;"|"&amp;6,Tasks!$Z$2:$Z$1500,0))),"")</f>
        <v/>
      </c>
      <c r="F100" s="19" t="str">
        <f>IFERROR(IF(INDEX(Tasks!$L$2:$L$1500,MATCH($Y93&amp;"|"&amp;6,Tasks!$Z$2:$Z$1500,0))=0,"",INDEX(Tasks!$L$2:$L$1500,MATCH($Y93&amp;"|"&amp;6,Tasks!$Z$2:$Z$1500,0))),"")</f>
        <v/>
      </c>
      <c r="G100" s="21" t="str">
        <f>IFERROR(IF(INDEX(Tasks!$P$2:$P$1500,MATCH($Y93&amp;"|"&amp;6,Tasks!$Z$2:$Z$1500,0))=0,"",INDEX(Tasks!$P$2:$P$1500,MATCH($Y93&amp;"|"&amp;6,Tasks!$Z$2:$Z$1500,0))),"")</f>
        <v/>
      </c>
    </row>
    <row r="101" spans="1:28" ht="17" hidden="1" x14ac:dyDescent="0.5">
      <c r="C101" s="18" t="str">
        <f>IFERROR(INDEX(Tasks!$E$2:$E$1500,MATCH($Y93&amp;"|"&amp;7,Tasks!$Z$2:$Z$1500,0)),"")</f>
        <v/>
      </c>
      <c r="D101" s="19" t="str">
        <f>IFERROR(INDEX(Tasks!$F$2:$F$1500,MATCH($Y93&amp;"|"&amp;7,Tasks!$Z$2:$Z$1500,0)),"")</f>
        <v/>
      </c>
      <c r="E101" s="20" t="str">
        <f>IFERROR(IF(INDEX(Tasks!$K$2:$K$1500,MATCH($Y93&amp;"|"&amp;7,Tasks!$Z$2:$Z$1500,0))=0,"",INDEX(Tasks!$K$2:$K$1500,MATCH($Y93&amp;"|"&amp;7,Tasks!$Z$2:$Z$1500,0))),"")</f>
        <v/>
      </c>
      <c r="F101" s="19" t="str">
        <f>IFERROR(IF(INDEX(Tasks!$L$2:$L$1500,MATCH($Y93&amp;"|"&amp;7,Tasks!$Z$2:$Z$1500,0))=0,"",INDEX(Tasks!$L$2:$L$1500,MATCH($Y93&amp;"|"&amp;7,Tasks!$Z$2:$Z$1500,0))),"")</f>
        <v/>
      </c>
      <c r="G101" s="21" t="str">
        <f>IFERROR(IF(INDEX(Tasks!$P$2:$P$1500,MATCH($Y93&amp;"|"&amp;7,Tasks!$Z$2:$Z$1500,0))=0,"",INDEX(Tasks!$P$2:$P$1500,MATCH($Y93&amp;"|"&amp;7,Tasks!$Z$2:$Z$1500,0))),"")</f>
        <v/>
      </c>
    </row>
    <row r="102" spans="1:28" ht="17" hidden="1" x14ac:dyDescent="0.5">
      <c r="C102" s="18" t="str">
        <f>IF(N($D93)&gt;8,"+ "&amp;(N($D93)-7)&amp;" more — see Tasks",IFERROR(INDEX(Tasks!$E$2:$E$1500,MATCH($Y93&amp;"|"&amp;8,Tasks!$Z$2:$Z$1500,0)),""))</f>
        <v/>
      </c>
      <c r="D102" s="19" t="str">
        <f>IF(N($D93)&gt;8,"",IFERROR(INDEX(Tasks!$F$2:$F$1500,MATCH($Y93&amp;"|"&amp;8,Tasks!$Z$2:$Z$1500,0)),""))</f>
        <v/>
      </c>
      <c r="E102" s="20" t="str">
        <f>IF(N($D93)&gt;8,"",IFERROR(IF(INDEX(Tasks!$K$2:$K$1500,MATCH($Y93&amp;"|"&amp;8,Tasks!$Z$2:$Z$1500,0))=0,"",INDEX(Tasks!$K$2:$K$1500,MATCH($Y93&amp;"|"&amp;8,Tasks!$Z$2:$Z$1500,0))),""))</f>
        <v/>
      </c>
      <c r="F102" s="19" t="str">
        <f>IF(N($D93)&gt;8,"",IFERROR(IF(INDEX(Tasks!$L$2:$L$1500,MATCH($Y93&amp;"|"&amp;8,Tasks!$Z$2:$Z$1500,0))=0,"",INDEX(Tasks!$L$2:$L$1500,MATCH($Y93&amp;"|"&amp;8,Tasks!$Z$2:$Z$1500,0))),""))</f>
        <v/>
      </c>
      <c r="G102" s="21" t="str">
        <f>IF(N($D93)&gt;8,"",IFERROR(IF(INDEX(Tasks!$P$2:$P$1500,MATCH($Y93&amp;"|"&amp;8,Tasks!$Z$2:$Z$1500,0))=0,"",INDEX(Tasks!$P$2:$P$1500,MATCH($Y93&amp;"|"&amp;8,Tasks!$Z$2:$Z$1500,0))),""))</f>
        <v/>
      </c>
    </row>
    <row r="103" spans="1:28" ht="14.5" x14ac:dyDescent="0.35">
      <c r="A103" s="2"/>
      <c r="B103" s="2"/>
      <c r="C103" s="2"/>
      <c r="D103" s="3" t="str">
        <f>IF(COUNTIFS(Tasks!$V$2:$V$1500,Y103)=0,"",COUNTIFS(Tasks!$V$2:$V$1500,Y103))</f>
        <v/>
      </c>
      <c r="E103" s="13"/>
      <c r="F103" s="13"/>
      <c r="G103" s="2"/>
      <c r="H103" s="14" t="str">
        <f ca="1">IF(OR(E103="",F103=""),"",IF(E103=F103,IF(TODAY()&gt;=E103,1,0),MAX(0,MIN(1,(TODAY()-E103)/(F103-E103)))))</f>
        <v/>
      </c>
      <c r="I103" s="6"/>
      <c r="J103" s="15"/>
      <c r="AA103">
        <f ca="1">IF(TODAY()&lt;E103,E103-TODAY(),F103-TODAY())</f>
        <v>-46311</v>
      </c>
      <c r="AB103" t="str">
        <f ca="1">IF(AND(OR(G103="Planned",G103="Active"),ABS(AA103)&lt;=7),AA103+Y103/1000000,"")</f>
        <v/>
      </c>
    </row>
    <row r="104" spans="1:28" ht="15" hidden="1" x14ac:dyDescent="0.4">
      <c r="C104" s="16" t="s">
        <v>40</v>
      </c>
      <c r="D104" s="17" t="s">
        <v>41</v>
      </c>
      <c r="E104" s="17" t="s">
        <v>15</v>
      </c>
      <c r="F104" s="17" t="s">
        <v>16</v>
      </c>
      <c r="G104" s="17" t="s">
        <v>18</v>
      </c>
    </row>
    <row r="105" spans="1:28" ht="17" hidden="1" x14ac:dyDescent="0.5">
      <c r="C105" s="18" t="str">
        <f>IFERROR(INDEX(Tasks!$E$2:$E$1500,MATCH($Y103&amp;"|"&amp;1,Tasks!$Z$2:$Z$1500,0)),"")</f>
        <v/>
      </c>
      <c r="D105" s="19" t="str">
        <f>IFERROR(INDEX(Tasks!$F$2:$F$1500,MATCH($Y103&amp;"|"&amp;1,Tasks!$Z$2:$Z$1500,0)),"")</f>
        <v/>
      </c>
      <c r="E105" s="20" t="str">
        <f>IFERROR(IF(INDEX(Tasks!$K$2:$K$1500,MATCH($Y103&amp;"|"&amp;1,Tasks!$Z$2:$Z$1500,0))=0,"",INDEX(Tasks!$K$2:$K$1500,MATCH($Y103&amp;"|"&amp;1,Tasks!$Z$2:$Z$1500,0))),"")</f>
        <v/>
      </c>
      <c r="F105" s="19" t="str">
        <f>IFERROR(IF(INDEX(Tasks!$L$2:$L$1500,MATCH($Y103&amp;"|"&amp;1,Tasks!$Z$2:$Z$1500,0))=0,"",INDEX(Tasks!$L$2:$L$1500,MATCH($Y103&amp;"|"&amp;1,Tasks!$Z$2:$Z$1500,0))),"")</f>
        <v/>
      </c>
      <c r="G105" s="21" t="str">
        <f>IFERROR(IF(INDEX(Tasks!$P$2:$P$1500,MATCH($Y103&amp;"|"&amp;1,Tasks!$Z$2:$Z$1500,0))=0,"",INDEX(Tasks!$P$2:$P$1500,MATCH($Y103&amp;"|"&amp;1,Tasks!$Z$2:$Z$1500,0))),"")</f>
        <v/>
      </c>
    </row>
    <row r="106" spans="1:28" ht="17" hidden="1" x14ac:dyDescent="0.5">
      <c r="C106" s="18" t="str">
        <f>IFERROR(INDEX(Tasks!$E$2:$E$1500,MATCH($Y103&amp;"|"&amp;2,Tasks!$Z$2:$Z$1500,0)),"")</f>
        <v/>
      </c>
      <c r="D106" s="19" t="str">
        <f>IFERROR(INDEX(Tasks!$F$2:$F$1500,MATCH($Y103&amp;"|"&amp;2,Tasks!$Z$2:$Z$1500,0)),"")</f>
        <v/>
      </c>
      <c r="E106" s="20" t="str">
        <f>IFERROR(IF(INDEX(Tasks!$K$2:$K$1500,MATCH($Y103&amp;"|"&amp;2,Tasks!$Z$2:$Z$1500,0))=0,"",INDEX(Tasks!$K$2:$K$1500,MATCH($Y103&amp;"|"&amp;2,Tasks!$Z$2:$Z$1500,0))),"")</f>
        <v/>
      </c>
      <c r="F106" s="19" t="str">
        <f>IFERROR(IF(INDEX(Tasks!$L$2:$L$1500,MATCH($Y103&amp;"|"&amp;2,Tasks!$Z$2:$Z$1500,0))=0,"",INDEX(Tasks!$L$2:$L$1500,MATCH($Y103&amp;"|"&amp;2,Tasks!$Z$2:$Z$1500,0))),"")</f>
        <v/>
      </c>
      <c r="G106" s="21" t="str">
        <f>IFERROR(IF(INDEX(Tasks!$P$2:$P$1500,MATCH($Y103&amp;"|"&amp;2,Tasks!$Z$2:$Z$1500,0))=0,"",INDEX(Tasks!$P$2:$P$1500,MATCH($Y103&amp;"|"&amp;2,Tasks!$Z$2:$Z$1500,0))),"")</f>
        <v/>
      </c>
    </row>
    <row r="107" spans="1:28" ht="17" hidden="1" x14ac:dyDescent="0.5">
      <c r="C107" s="18" t="str">
        <f>IFERROR(INDEX(Tasks!$E$2:$E$1500,MATCH($Y103&amp;"|"&amp;3,Tasks!$Z$2:$Z$1500,0)),"")</f>
        <v/>
      </c>
      <c r="D107" s="19" t="str">
        <f>IFERROR(INDEX(Tasks!$F$2:$F$1500,MATCH($Y103&amp;"|"&amp;3,Tasks!$Z$2:$Z$1500,0)),"")</f>
        <v/>
      </c>
      <c r="E107" s="20" t="str">
        <f>IFERROR(IF(INDEX(Tasks!$K$2:$K$1500,MATCH($Y103&amp;"|"&amp;3,Tasks!$Z$2:$Z$1500,0))=0,"",INDEX(Tasks!$K$2:$K$1500,MATCH($Y103&amp;"|"&amp;3,Tasks!$Z$2:$Z$1500,0))),"")</f>
        <v/>
      </c>
      <c r="F107" s="19" t="str">
        <f>IFERROR(IF(INDEX(Tasks!$L$2:$L$1500,MATCH($Y103&amp;"|"&amp;3,Tasks!$Z$2:$Z$1500,0))=0,"",INDEX(Tasks!$L$2:$L$1500,MATCH($Y103&amp;"|"&amp;3,Tasks!$Z$2:$Z$1500,0))),"")</f>
        <v/>
      </c>
      <c r="G107" s="21" t="str">
        <f>IFERROR(IF(INDEX(Tasks!$P$2:$P$1500,MATCH($Y103&amp;"|"&amp;3,Tasks!$Z$2:$Z$1500,0))=0,"",INDEX(Tasks!$P$2:$P$1500,MATCH($Y103&amp;"|"&amp;3,Tasks!$Z$2:$Z$1500,0))),"")</f>
        <v/>
      </c>
    </row>
    <row r="108" spans="1:28" ht="17" hidden="1" x14ac:dyDescent="0.5">
      <c r="C108" s="18" t="str">
        <f>IFERROR(INDEX(Tasks!$E$2:$E$1500,MATCH($Y103&amp;"|"&amp;4,Tasks!$Z$2:$Z$1500,0)),"")</f>
        <v/>
      </c>
      <c r="D108" s="19" t="str">
        <f>IFERROR(INDEX(Tasks!$F$2:$F$1500,MATCH($Y103&amp;"|"&amp;4,Tasks!$Z$2:$Z$1500,0)),"")</f>
        <v/>
      </c>
      <c r="E108" s="20" t="str">
        <f>IFERROR(IF(INDEX(Tasks!$K$2:$K$1500,MATCH($Y103&amp;"|"&amp;4,Tasks!$Z$2:$Z$1500,0))=0,"",INDEX(Tasks!$K$2:$K$1500,MATCH($Y103&amp;"|"&amp;4,Tasks!$Z$2:$Z$1500,0))),"")</f>
        <v/>
      </c>
      <c r="F108" s="19" t="str">
        <f>IFERROR(IF(INDEX(Tasks!$L$2:$L$1500,MATCH($Y103&amp;"|"&amp;4,Tasks!$Z$2:$Z$1500,0))=0,"",INDEX(Tasks!$L$2:$L$1500,MATCH($Y103&amp;"|"&amp;4,Tasks!$Z$2:$Z$1500,0))),"")</f>
        <v/>
      </c>
      <c r="G108" s="21" t="str">
        <f>IFERROR(IF(INDEX(Tasks!$P$2:$P$1500,MATCH($Y103&amp;"|"&amp;4,Tasks!$Z$2:$Z$1500,0))=0,"",INDEX(Tasks!$P$2:$P$1500,MATCH($Y103&amp;"|"&amp;4,Tasks!$Z$2:$Z$1500,0))),"")</f>
        <v/>
      </c>
    </row>
    <row r="109" spans="1:28" ht="17" hidden="1" x14ac:dyDescent="0.5">
      <c r="C109" s="18" t="str">
        <f>IFERROR(INDEX(Tasks!$E$2:$E$1500,MATCH($Y103&amp;"|"&amp;5,Tasks!$Z$2:$Z$1500,0)),"")</f>
        <v/>
      </c>
      <c r="D109" s="19" t="str">
        <f>IFERROR(INDEX(Tasks!$F$2:$F$1500,MATCH($Y103&amp;"|"&amp;5,Tasks!$Z$2:$Z$1500,0)),"")</f>
        <v/>
      </c>
      <c r="E109" s="20" t="str">
        <f>IFERROR(IF(INDEX(Tasks!$K$2:$K$1500,MATCH($Y103&amp;"|"&amp;5,Tasks!$Z$2:$Z$1500,0))=0,"",INDEX(Tasks!$K$2:$K$1500,MATCH($Y103&amp;"|"&amp;5,Tasks!$Z$2:$Z$1500,0))),"")</f>
        <v/>
      </c>
      <c r="F109" s="19" t="str">
        <f>IFERROR(IF(INDEX(Tasks!$L$2:$L$1500,MATCH($Y103&amp;"|"&amp;5,Tasks!$Z$2:$Z$1500,0))=0,"",INDEX(Tasks!$L$2:$L$1500,MATCH($Y103&amp;"|"&amp;5,Tasks!$Z$2:$Z$1500,0))),"")</f>
        <v/>
      </c>
      <c r="G109" s="21" t="str">
        <f>IFERROR(IF(INDEX(Tasks!$P$2:$P$1500,MATCH($Y103&amp;"|"&amp;5,Tasks!$Z$2:$Z$1500,0))=0,"",INDEX(Tasks!$P$2:$P$1500,MATCH($Y103&amp;"|"&amp;5,Tasks!$Z$2:$Z$1500,0))),"")</f>
        <v/>
      </c>
    </row>
    <row r="110" spans="1:28" ht="17" hidden="1" x14ac:dyDescent="0.5">
      <c r="C110" s="18" t="str">
        <f>IFERROR(INDEX(Tasks!$E$2:$E$1500,MATCH($Y103&amp;"|"&amp;6,Tasks!$Z$2:$Z$1500,0)),"")</f>
        <v/>
      </c>
      <c r="D110" s="19" t="str">
        <f>IFERROR(INDEX(Tasks!$F$2:$F$1500,MATCH($Y103&amp;"|"&amp;6,Tasks!$Z$2:$Z$1500,0)),"")</f>
        <v/>
      </c>
      <c r="E110" s="20" t="str">
        <f>IFERROR(IF(INDEX(Tasks!$K$2:$K$1500,MATCH($Y103&amp;"|"&amp;6,Tasks!$Z$2:$Z$1500,0))=0,"",INDEX(Tasks!$K$2:$K$1500,MATCH($Y103&amp;"|"&amp;6,Tasks!$Z$2:$Z$1500,0))),"")</f>
        <v/>
      </c>
      <c r="F110" s="19" t="str">
        <f>IFERROR(IF(INDEX(Tasks!$L$2:$L$1500,MATCH($Y103&amp;"|"&amp;6,Tasks!$Z$2:$Z$1500,0))=0,"",INDEX(Tasks!$L$2:$L$1500,MATCH($Y103&amp;"|"&amp;6,Tasks!$Z$2:$Z$1500,0))),"")</f>
        <v/>
      </c>
      <c r="G110" s="21" t="str">
        <f>IFERROR(IF(INDEX(Tasks!$P$2:$P$1500,MATCH($Y103&amp;"|"&amp;6,Tasks!$Z$2:$Z$1500,0))=0,"",INDEX(Tasks!$P$2:$P$1500,MATCH($Y103&amp;"|"&amp;6,Tasks!$Z$2:$Z$1500,0))),"")</f>
        <v/>
      </c>
    </row>
    <row r="111" spans="1:28" ht="17" hidden="1" x14ac:dyDescent="0.5">
      <c r="C111" s="18" t="str">
        <f>IFERROR(INDEX(Tasks!$E$2:$E$1500,MATCH($Y103&amp;"|"&amp;7,Tasks!$Z$2:$Z$1500,0)),"")</f>
        <v/>
      </c>
      <c r="D111" s="19" t="str">
        <f>IFERROR(INDEX(Tasks!$F$2:$F$1500,MATCH($Y103&amp;"|"&amp;7,Tasks!$Z$2:$Z$1500,0)),"")</f>
        <v/>
      </c>
      <c r="E111" s="20" t="str">
        <f>IFERROR(IF(INDEX(Tasks!$K$2:$K$1500,MATCH($Y103&amp;"|"&amp;7,Tasks!$Z$2:$Z$1500,0))=0,"",INDEX(Tasks!$K$2:$K$1500,MATCH($Y103&amp;"|"&amp;7,Tasks!$Z$2:$Z$1500,0))),"")</f>
        <v/>
      </c>
      <c r="F111" s="19" t="str">
        <f>IFERROR(IF(INDEX(Tasks!$L$2:$L$1500,MATCH($Y103&amp;"|"&amp;7,Tasks!$Z$2:$Z$1500,0))=0,"",INDEX(Tasks!$L$2:$L$1500,MATCH($Y103&amp;"|"&amp;7,Tasks!$Z$2:$Z$1500,0))),"")</f>
        <v/>
      </c>
      <c r="G111" s="21" t="str">
        <f>IFERROR(IF(INDEX(Tasks!$P$2:$P$1500,MATCH($Y103&amp;"|"&amp;7,Tasks!$Z$2:$Z$1500,0))=0,"",INDEX(Tasks!$P$2:$P$1500,MATCH($Y103&amp;"|"&amp;7,Tasks!$Z$2:$Z$1500,0))),"")</f>
        <v/>
      </c>
    </row>
    <row r="112" spans="1:28" ht="17" hidden="1" x14ac:dyDescent="0.5">
      <c r="C112" s="18" t="str">
        <f>IF(N($D103)&gt;8,"+ "&amp;(N($D103)-7)&amp;" more — see Tasks",IFERROR(INDEX(Tasks!$E$2:$E$1500,MATCH($Y103&amp;"|"&amp;8,Tasks!$Z$2:$Z$1500,0)),""))</f>
        <v/>
      </c>
      <c r="D112" s="19" t="str">
        <f>IF(N($D103)&gt;8,"",IFERROR(INDEX(Tasks!$F$2:$F$1500,MATCH($Y103&amp;"|"&amp;8,Tasks!$Z$2:$Z$1500,0)),""))</f>
        <v/>
      </c>
      <c r="E112" s="20" t="str">
        <f>IF(N($D103)&gt;8,"",IFERROR(IF(INDEX(Tasks!$K$2:$K$1500,MATCH($Y103&amp;"|"&amp;8,Tasks!$Z$2:$Z$1500,0))=0,"",INDEX(Tasks!$K$2:$K$1500,MATCH($Y103&amp;"|"&amp;8,Tasks!$Z$2:$Z$1500,0))),""))</f>
        <v/>
      </c>
      <c r="F112" s="19" t="str">
        <f>IF(N($D103)&gt;8,"",IFERROR(IF(INDEX(Tasks!$L$2:$L$1500,MATCH($Y103&amp;"|"&amp;8,Tasks!$Z$2:$Z$1500,0))=0,"",INDEX(Tasks!$L$2:$L$1500,MATCH($Y103&amp;"|"&amp;8,Tasks!$Z$2:$Z$1500,0))),""))</f>
        <v/>
      </c>
      <c r="G112" s="21" t="str">
        <f>IF(N($D103)&gt;8,"",IFERROR(IF(INDEX(Tasks!$P$2:$P$1500,MATCH($Y103&amp;"|"&amp;8,Tasks!$Z$2:$Z$1500,0))=0,"",INDEX(Tasks!$P$2:$P$1500,MATCH($Y103&amp;"|"&amp;8,Tasks!$Z$2:$Z$1500,0))),""))</f>
        <v/>
      </c>
    </row>
    <row r="113" spans="1:28" ht="14.5" x14ac:dyDescent="0.35">
      <c r="A113" s="2"/>
      <c r="B113" s="2"/>
      <c r="C113" s="2"/>
      <c r="D113" s="3" t="str">
        <f>IF(COUNTIFS(Tasks!$V$2:$V$1500,Y113)=0,"",COUNTIFS(Tasks!$V$2:$V$1500,Y113))</f>
        <v/>
      </c>
      <c r="E113" s="13"/>
      <c r="F113" s="13"/>
      <c r="G113" s="2"/>
      <c r="H113" s="14" t="str">
        <f ca="1">IF(OR(E113="",F113=""),"",IF(E113=F113,IF(TODAY()&gt;=E113,1,0),MAX(0,MIN(1,(TODAY()-E113)/(F113-E113)))))</f>
        <v/>
      </c>
      <c r="I113" s="6"/>
      <c r="J113" s="15"/>
      <c r="AA113">
        <f ca="1">IF(TODAY()&lt;E113,E113-TODAY(),F113-TODAY())</f>
        <v>-46311</v>
      </c>
      <c r="AB113" t="str">
        <f ca="1">IF(AND(OR(G113="Planned",G113="Active"),ABS(AA113)&lt;=7),AA113+Y113/1000000,"")</f>
        <v/>
      </c>
    </row>
    <row r="114" spans="1:28" ht="15" hidden="1" x14ac:dyDescent="0.4">
      <c r="C114" s="16" t="s">
        <v>40</v>
      </c>
      <c r="D114" s="17" t="s">
        <v>41</v>
      </c>
      <c r="E114" s="17" t="s">
        <v>15</v>
      </c>
      <c r="F114" s="17" t="s">
        <v>16</v>
      </c>
      <c r="G114" s="17" t="s">
        <v>18</v>
      </c>
    </row>
    <row r="115" spans="1:28" ht="17" hidden="1" x14ac:dyDescent="0.5">
      <c r="C115" s="18" t="str">
        <f>IFERROR(INDEX(Tasks!$E$2:$E$1500,MATCH($Y113&amp;"|"&amp;1,Tasks!$Z$2:$Z$1500,0)),"")</f>
        <v/>
      </c>
      <c r="D115" s="19" t="str">
        <f>IFERROR(INDEX(Tasks!$F$2:$F$1500,MATCH($Y113&amp;"|"&amp;1,Tasks!$Z$2:$Z$1500,0)),"")</f>
        <v/>
      </c>
      <c r="E115" s="20" t="str">
        <f>IFERROR(IF(INDEX(Tasks!$K$2:$K$1500,MATCH($Y113&amp;"|"&amp;1,Tasks!$Z$2:$Z$1500,0))=0,"",INDEX(Tasks!$K$2:$K$1500,MATCH($Y113&amp;"|"&amp;1,Tasks!$Z$2:$Z$1500,0))),"")</f>
        <v/>
      </c>
      <c r="F115" s="19" t="str">
        <f>IFERROR(IF(INDEX(Tasks!$L$2:$L$1500,MATCH($Y113&amp;"|"&amp;1,Tasks!$Z$2:$Z$1500,0))=0,"",INDEX(Tasks!$L$2:$L$1500,MATCH($Y113&amp;"|"&amp;1,Tasks!$Z$2:$Z$1500,0))),"")</f>
        <v/>
      </c>
      <c r="G115" s="21" t="str">
        <f>IFERROR(IF(INDEX(Tasks!$P$2:$P$1500,MATCH($Y113&amp;"|"&amp;1,Tasks!$Z$2:$Z$1500,0))=0,"",INDEX(Tasks!$P$2:$P$1500,MATCH($Y113&amp;"|"&amp;1,Tasks!$Z$2:$Z$1500,0))),"")</f>
        <v/>
      </c>
    </row>
    <row r="116" spans="1:28" ht="17" hidden="1" x14ac:dyDescent="0.5">
      <c r="C116" s="18" t="str">
        <f>IFERROR(INDEX(Tasks!$E$2:$E$1500,MATCH($Y113&amp;"|"&amp;2,Tasks!$Z$2:$Z$1500,0)),"")</f>
        <v/>
      </c>
      <c r="D116" s="19" t="str">
        <f>IFERROR(INDEX(Tasks!$F$2:$F$1500,MATCH($Y113&amp;"|"&amp;2,Tasks!$Z$2:$Z$1500,0)),"")</f>
        <v/>
      </c>
      <c r="E116" s="20" t="str">
        <f>IFERROR(IF(INDEX(Tasks!$K$2:$K$1500,MATCH($Y113&amp;"|"&amp;2,Tasks!$Z$2:$Z$1500,0))=0,"",INDEX(Tasks!$K$2:$K$1500,MATCH($Y113&amp;"|"&amp;2,Tasks!$Z$2:$Z$1500,0))),"")</f>
        <v/>
      </c>
      <c r="F116" s="19" t="str">
        <f>IFERROR(IF(INDEX(Tasks!$L$2:$L$1500,MATCH($Y113&amp;"|"&amp;2,Tasks!$Z$2:$Z$1500,0))=0,"",INDEX(Tasks!$L$2:$L$1500,MATCH($Y113&amp;"|"&amp;2,Tasks!$Z$2:$Z$1500,0))),"")</f>
        <v/>
      </c>
      <c r="G116" s="21" t="str">
        <f>IFERROR(IF(INDEX(Tasks!$P$2:$P$1500,MATCH($Y113&amp;"|"&amp;2,Tasks!$Z$2:$Z$1500,0))=0,"",INDEX(Tasks!$P$2:$P$1500,MATCH($Y113&amp;"|"&amp;2,Tasks!$Z$2:$Z$1500,0))),"")</f>
        <v/>
      </c>
    </row>
    <row r="117" spans="1:28" ht="17" hidden="1" x14ac:dyDescent="0.5">
      <c r="C117" s="18" t="str">
        <f>IFERROR(INDEX(Tasks!$E$2:$E$1500,MATCH($Y113&amp;"|"&amp;3,Tasks!$Z$2:$Z$1500,0)),"")</f>
        <v/>
      </c>
      <c r="D117" s="19" t="str">
        <f>IFERROR(INDEX(Tasks!$F$2:$F$1500,MATCH($Y113&amp;"|"&amp;3,Tasks!$Z$2:$Z$1500,0)),"")</f>
        <v/>
      </c>
      <c r="E117" s="20" t="str">
        <f>IFERROR(IF(INDEX(Tasks!$K$2:$K$1500,MATCH($Y113&amp;"|"&amp;3,Tasks!$Z$2:$Z$1500,0))=0,"",INDEX(Tasks!$K$2:$K$1500,MATCH($Y113&amp;"|"&amp;3,Tasks!$Z$2:$Z$1500,0))),"")</f>
        <v/>
      </c>
      <c r="F117" s="19" t="str">
        <f>IFERROR(IF(INDEX(Tasks!$L$2:$L$1500,MATCH($Y113&amp;"|"&amp;3,Tasks!$Z$2:$Z$1500,0))=0,"",INDEX(Tasks!$L$2:$L$1500,MATCH($Y113&amp;"|"&amp;3,Tasks!$Z$2:$Z$1500,0))),"")</f>
        <v/>
      </c>
      <c r="G117" s="21" t="str">
        <f>IFERROR(IF(INDEX(Tasks!$P$2:$P$1500,MATCH($Y113&amp;"|"&amp;3,Tasks!$Z$2:$Z$1500,0))=0,"",INDEX(Tasks!$P$2:$P$1500,MATCH($Y113&amp;"|"&amp;3,Tasks!$Z$2:$Z$1500,0))),"")</f>
        <v/>
      </c>
    </row>
    <row r="118" spans="1:28" ht="17" hidden="1" x14ac:dyDescent="0.5">
      <c r="C118" s="18" t="str">
        <f>IFERROR(INDEX(Tasks!$E$2:$E$1500,MATCH($Y113&amp;"|"&amp;4,Tasks!$Z$2:$Z$1500,0)),"")</f>
        <v/>
      </c>
      <c r="D118" s="19" t="str">
        <f>IFERROR(INDEX(Tasks!$F$2:$F$1500,MATCH($Y113&amp;"|"&amp;4,Tasks!$Z$2:$Z$1500,0)),"")</f>
        <v/>
      </c>
      <c r="E118" s="20" t="str">
        <f>IFERROR(IF(INDEX(Tasks!$K$2:$K$1500,MATCH($Y113&amp;"|"&amp;4,Tasks!$Z$2:$Z$1500,0))=0,"",INDEX(Tasks!$K$2:$K$1500,MATCH($Y113&amp;"|"&amp;4,Tasks!$Z$2:$Z$1500,0))),"")</f>
        <v/>
      </c>
      <c r="F118" s="19" t="str">
        <f>IFERROR(IF(INDEX(Tasks!$L$2:$L$1500,MATCH($Y113&amp;"|"&amp;4,Tasks!$Z$2:$Z$1500,0))=0,"",INDEX(Tasks!$L$2:$L$1500,MATCH($Y113&amp;"|"&amp;4,Tasks!$Z$2:$Z$1500,0))),"")</f>
        <v/>
      </c>
      <c r="G118" s="21" t="str">
        <f>IFERROR(IF(INDEX(Tasks!$P$2:$P$1500,MATCH($Y113&amp;"|"&amp;4,Tasks!$Z$2:$Z$1500,0))=0,"",INDEX(Tasks!$P$2:$P$1500,MATCH($Y113&amp;"|"&amp;4,Tasks!$Z$2:$Z$1500,0))),"")</f>
        <v/>
      </c>
    </row>
    <row r="119" spans="1:28" ht="17" hidden="1" x14ac:dyDescent="0.5">
      <c r="C119" s="18" t="str">
        <f>IFERROR(INDEX(Tasks!$E$2:$E$1500,MATCH($Y113&amp;"|"&amp;5,Tasks!$Z$2:$Z$1500,0)),"")</f>
        <v/>
      </c>
      <c r="D119" s="19" t="str">
        <f>IFERROR(INDEX(Tasks!$F$2:$F$1500,MATCH($Y113&amp;"|"&amp;5,Tasks!$Z$2:$Z$1500,0)),"")</f>
        <v/>
      </c>
      <c r="E119" s="20" t="str">
        <f>IFERROR(IF(INDEX(Tasks!$K$2:$K$1500,MATCH($Y113&amp;"|"&amp;5,Tasks!$Z$2:$Z$1500,0))=0,"",INDEX(Tasks!$K$2:$K$1500,MATCH($Y113&amp;"|"&amp;5,Tasks!$Z$2:$Z$1500,0))),"")</f>
        <v/>
      </c>
      <c r="F119" s="19" t="str">
        <f>IFERROR(IF(INDEX(Tasks!$L$2:$L$1500,MATCH($Y113&amp;"|"&amp;5,Tasks!$Z$2:$Z$1500,0))=0,"",INDEX(Tasks!$L$2:$L$1500,MATCH($Y113&amp;"|"&amp;5,Tasks!$Z$2:$Z$1500,0))),"")</f>
        <v/>
      </c>
      <c r="G119" s="21" t="str">
        <f>IFERROR(IF(INDEX(Tasks!$P$2:$P$1500,MATCH($Y113&amp;"|"&amp;5,Tasks!$Z$2:$Z$1500,0))=0,"",INDEX(Tasks!$P$2:$P$1500,MATCH($Y113&amp;"|"&amp;5,Tasks!$Z$2:$Z$1500,0))),"")</f>
        <v/>
      </c>
    </row>
    <row r="120" spans="1:28" ht="17" hidden="1" x14ac:dyDescent="0.5">
      <c r="C120" s="18" t="str">
        <f>IFERROR(INDEX(Tasks!$E$2:$E$1500,MATCH($Y113&amp;"|"&amp;6,Tasks!$Z$2:$Z$1500,0)),"")</f>
        <v/>
      </c>
      <c r="D120" s="19" t="str">
        <f>IFERROR(INDEX(Tasks!$F$2:$F$1500,MATCH($Y113&amp;"|"&amp;6,Tasks!$Z$2:$Z$1500,0)),"")</f>
        <v/>
      </c>
      <c r="E120" s="20" t="str">
        <f>IFERROR(IF(INDEX(Tasks!$K$2:$K$1500,MATCH($Y113&amp;"|"&amp;6,Tasks!$Z$2:$Z$1500,0))=0,"",INDEX(Tasks!$K$2:$K$1500,MATCH($Y113&amp;"|"&amp;6,Tasks!$Z$2:$Z$1500,0))),"")</f>
        <v/>
      </c>
      <c r="F120" s="19" t="str">
        <f>IFERROR(IF(INDEX(Tasks!$L$2:$L$1500,MATCH($Y113&amp;"|"&amp;6,Tasks!$Z$2:$Z$1500,0))=0,"",INDEX(Tasks!$L$2:$L$1500,MATCH($Y113&amp;"|"&amp;6,Tasks!$Z$2:$Z$1500,0))),"")</f>
        <v/>
      </c>
      <c r="G120" s="21" t="str">
        <f>IFERROR(IF(INDEX(Tasks!$P$2:$P$1500,MATCH($Y113&amp;"|"&amp;6,Tasks!$Z$2:$Z$1500,0))=0,"",INDEX(Tasks!$P$2:$P$1500,MATCH($Y113&amp;"|"&amp;6,Tasks!$Z$2:$Z$1500,0))),"")</f>
        <v/>
      </c>
    </row>
    <row r="121" spans="1:28" ht="17" hidden="1" x14ac:dyDescent="0.5">
      <c r="C121" s="18" t="str">
        <f>IFERROR(INDEX(Tasks!$E$2:$E$1500,MATCH($Y113&amp;"|"&amp;7,Tasks!$Z$2:$Z$1500,0)),"")</f>
        <v/>
      </c>
      <c r="D121" s="19" t="str">
        <f>IFERROR(INDEX(Tasks!$F$2:$F$1500,MATCH($Y113&amp;"|"&amp;7,Tasks!$Z$2:$Z$1500,0)),"")</f>
        <v/>
      </c>
      <c r="E121" s="20" t="str">
        <f>IFERROR(IF(INDEX(Tasks!$K$2:$K$1500,MATCH($Y113&amp;"|"&amp;7,Tasks!$Z$2:$Z$1500,0))=0,"",INDEX(Tasks!$K$2:$K$1500,MATCH($Y113&amp;"|"&amp;7,Tasks!$Z$2:$Z$1500,0))),"")</f>
        <v/>
      </c>
      <c r="F121" s="19" t="str">
        <f>IFERROR(IF(INDEX(Tasks!$L$2:$L$1500,MATCH($Y113&amp;"|"&amp;7,Tasks!$Z$2:$Z$1500,0))=0,"",INDEX(Tasks!$L$2:$L$1500,MATCH($Y113&amp;"|"&amp;7,Tasks!$Z$2:$Z$1500,0))),"")</f>
        <v/>
      </c>
      <c r="G121" s="21" t="str">
        <f>IFERROR(IF(INDEX(Tasks!$P$2:$P$1500,MATCH($Y113&amp;"|"&amp;7,Tasks!$Z$2:$Z$1500,0))=0,"",INDEX(Tasks!$P$2:$P$1500,MATCH($Y113&amp;"|"&amp;7,Tasks!$Z$2:$Z$1500,0))),"")</f>
        <v/>
      </c>
    </row>
    <row r="122" spans="1:28" ht="17" hidden="1" x14ac:dyDescent="0.5">
      <c r="C122" s="18" t="str">
        <f>IF(N($D113)&gt;8,"+ "&amp;(N($D113)-7)&amp;" more — see Tasks",IFERROR(INDEX(Tasks!$E$2:$E$1500,MATCH($Y113&amp;"|"&amp;8,Tasks!$Z$2:$Z$1500,0)),""))</f>
        <v/>
      </c>
      <c r="D122" s="19" t="str">
        <f>IF(N($D113)&gt;8,"",IFERROR(INDEX(Tasks!$F$2:$F$1500,MATCH($Y113&amp;"|"&amp;8,Tasks!$Z$2:$Z$1500,0)),""))</f>
        <v/>
      </c>
      <c r="E122" s="20" t="str">
        <f>IF(N($D113)&gt;8,"",IFERROR(IF(INDEX(Tasks!$K$2:$K$1500,MATCH($Y113&amp;"|"&amp;8,Tasks!$Z$2:$Z$1500,0))=0,"",INDEX(Tasks!$K$2:$K$1500,MATCH($Y113&amp;"|"&amp;8,Tasks!$Z$2:$Z$1500,0))),""))</f>
        <v/>
      </c>
      <c r="F122" s="19" t="str">
        <f>IF(N($D113)&gt;8,"",IFERROR(IF(INDEX(Tasks!$L$2:$L$1500,MATCH($Y113&amp;"|"&amp;8,Tasks!$Z$2:$Z$1500,0))=0,"",INDEX(Tasks!$L$2:$L$1500,MATCH($Y113&amp;"|"&amp;8,Tasks!$Z$2:$Z$1500,0))),""))</f>
        <v/>
      </c>
      <c r="G122" s="21" t="str">
        <f>IF(N($D113)&gt;8,"",IFERROR(IF(INDEX(Tasks!$P$2:$P$1500,MATCH($Y113&amp;"|"&amp;8,Tasks!$Z$2:$Z$1500,0))=0,"",INDEX(Tasks!$P$2:$P$1500,MATCH($Y113&amp;"|"&amp;8,Tasks!$Z$2:$Z$1500,0))),""))</f>
        <v/>
      </c>
    </row>
    <row r="123" spans="1:28" ht="14.5" x14ac:dyDescent="0.35">
      <c r="A123" s="2"/>
      <c r="B123" s="2"/>
      <c r="C123" s="2"/>
      <c r="D123" s="3" t="str">
        <f>IF(COUNTIFS(Tasks!$V$2:$V$1500,Y123)=0,"",COUNTIFS(Tasks!$V$2:$V$1500,Y123))</f>
        <v/>
      </c>
      <c r="E123" s="13"/>
      <c r="F123" s="13"/>
      <c r="G123" s="2"/>
      <c r="H123" s="14" t="str">
        <f ca="1">IF(OR(E123="",F123=""),"",IF(E123=F123,IF(TODAY()&gt;=E123,1,0),MAX(0,MIN(1,(TODAY()-E123)/(F123-E123)))))</f>
        <v/>
      </c>
      <c r="I123" s="6"/>
      <c r="J123" s="15"/>
      <c r="AA123">
        <f ca="1">IF(TODAY()&lt;E123,E123-TODAY(),F123-TODAY())</f>
        <v>-46311</v>
      </c>
      <c r="AB123" t="str">
        <f ca="1">IF(AND(OR(G123="Planned",G123="Active"),ABS(AA123)&lt;=7),AA123+Y123/1000000,"")</f>
        <v/>
      </c>
    </row>
    <row r="124" spans="1:28" ht="15" hidden="1" x14ac:dyDescent="0.4">
      <c r="C124" s="16" t="s">
        <v>40</v>
      </c>
      <c r="D124" s="17" t="s">
        <v>41</v>
      </c>
      <c r="E124" s="17" t="s">
        <v>15</v>
      </c>
      <c r="F124" s="17" t="s">
        <v>16</v>
      </c>
      <c r="G124" s="17" t="s">
        <v>18</v>
      </c>
    </row>
    <row r="125" spans="1:28" ht="17" hidden="1" x14ac:dyDescent="0.5">
      <c r="C125" s="18" t="str">
        <f>IFERROR(INDEX(Tasks!$E$2:$E$1500,MATCH($Y123&amp;"|"&amp;1,Tasks!$Z$2:$Z$1500,0)),"")</f>
        <v/>
      </c>
      <c r="D125" s="19" t="str">
        <f>IFERROR(INDEX(Tasks!$F$2:$F$1500,MATCH($Y123&amp;"|"&amp;1,Tasks!$Z$2:$Z$1500,0)),"")</f>
        <v/>
      </c>
      <c r="E125" s="20" t="str">
        <f>IFERROR(IF(INDEX(Tasks!$K$2:$K$1500,MATCH($Y123&amp;"|"&amp;1,Tasks!$Z$2:$Z$1500,0))=0,"",INDEX(Tasks!$K$2:$K$1500,MATCH($Y123&amp;"|"&amp;1,Tasks!$Z$2:$Z$1500,0))),"")</f>
        <v/>
      </c>
      <c r="F125" s="19" t="str">
        <f>IFERROR(IF(INDEX(Tasks!$L$2:$L$1500,MATCH($Y123&amp;"|"&amp;1,Tasks!$Z$2:$Z$1500,0))=0,"",INDEX(Tasks!$L$2:$L$1500,MATCH($Y123&amp;"|"&amp;1,Tasks!$Z$2:$Z$1500,0))),"")</f>
        <v/>
      </c>
      <c r="G125" s="21" t="str">
        <f>IFERROR(IF(INDEX(Tasks!$P$2:$P$1500,MATCH($Y123&amp;"|"&amp;1,Tasks!$Z$2:$Z$1500,0))=0,"",INDEX(Tasks!$P$2:$P$1500,MATCH($Y123&amp;"|"&amp;1,Tasks!$Z$2:$Z$1500,0))),"")</f>
        <v/>
      </c>
    </row>
    <row r="126" spans="1:28" ht="17" hidden="1" x14ac:dyDescent="0.5">
      <c r="C126" s="18" t="str">
        <f>IFERROR(INDEX(Tasks!$E$2:$E$1500,MATCH($Y123&amp;"|"&amp;2,Tasks!$Z$2:$Z$1500,0)),"")</f>
        <v/>
      </c>
      <c r="D126" s="19" t="str">
        <f>IFERROR(INDEX(Tasks!$F$2:$F$1500,MATCH($Y123&amp;"|"&amp;2,Tasks!$Z$2:$Z$1500,0)),"")</f>
        <v/>
      </c>
      <c r="E126" s="20" t="str">
        <f>IFERROR(IF(INDEX(Tasks!$K$2:$K$1500,MATCH($Y123&amp;"|"&amp;2,Tasks!$Z$2:$Z$1500,0))=0,"",INDEX(Tasks!$K$2:$K$1500,MATCH($Y123&amp;"|"&amp;2,Tasks!$Z$2:$Z$1500,0))),"")</f>
        <v/>
      </c>
      <c r="F126" s="19" t="str">
        <f>IFERROR(IF(INDEX(Tasks!$L$2:$L$1500,MATCH($Y123&amp;"|"&amp;2,Tasks!$Z$2:$Z$1500,0))=0,"",INDEX(Tasks!$L$2:$L$1500,MATCH($Y123&amp;"|"&amp;2,Tasks!$Z$2:$Z$1500,0))),"")</f>
        <v/>
      </c>
      <c r="G126" s="21" t="str">
        <f>IFERROR(IF(INDEX(Tasks!$P$2:$P$1500,MATCH($Y123&amp;"|"&amp;2,Tasks!$Z$2:$Z$1500,0))=0,"",INDEX(Tasks!$P$2:$P$1500,MATCH($Y123&amp;"|"&amp;2,Tasks!$Z$2:$Z$1500,0))),"")</f>
        <v/>
      </c>
    </row>
    <row r="127" spans="1:28" ht="17" hidden="1" x14ac:dyDescent="0.5">
      <c r="C127" s="18" t="str">
        <f>IFERROR(INDEX(Tasks!$E$2:$E$1500,MATCH($Y123&amp;"|"&amp;3,Tasks!$Z$2:$Z$1500,0)),"")</f>
        <v/>
      </c>
      <c r="D127" s="19" t="str">
        <f>IFERROR(INDEX(Tasks!$F$2:$F$1500,MATCH($Y123&amp;"|"&amp;3,Tasks!$Z$2:$Z$1500,0)),"")</f>
        <v/>
      </c>
      <c r="E127" s="20" t="str">
        <f>IFERROR(IF(INDEX(Tasks!$K$2:$K$1500,MATCH($Y123&amp;"|"&amp;3,Tasks!$Z$2:$Z$1500,0))=0,"",INDEX(Tasks!$K$2:$K$1500,MATCH($Y123&amp;"|"&amp;3,Tasks!$Z$2:$Z$1500,0))),"")</f>
        <v/>
      </c>
      <c r="F127" s="19" t="str">
        <f>IFERROR(IF(INDEX(Tasks!$L$2:$L$1500,MATCH($Y123&amp;"|"&amp;3,Tasks!$Z$2:$Z$1500,0))=0,"",INDEX(Tasks!$L$2:$L$1500,MATCH($Y123&amp;"|"&amp;3,Tasks!$Z$2:$Z$1500,0))),"")</f>
        <v/>
      </c>
      <c r="G127" s="21" t="str">
        <f>IFERROR(IF(INDEX(Tasks!$P$2:$P$1500,MATCH($Y123&amp;"|"&amp;3,Tasks!$Z$2:$Z$1500,0))=0,"",INDEX(Tasks!$P$2:$P$1500,MATCH($Y123&amp;"|"&amp;3,Tasks!$Z$2:$Z$1500,0))),"")</f>
        <v/>
      </c>
    </row>
    <row r="128" spans="1:28" ht="17" hidden="1" x14ac:dyDescent="0.5">
      <c r="C128" s="18" t="str">
        <f>IFERROR(INDEX(Tasks!$E$2:$E$1500,MATCH($Y123&amp;"|"&amp;4,Tasks!$Z$2:$Z$1500,0)),"")</f>
        <v/>
      </c>
      <c r="D128" s="19" t="str">
        <f>IFERROR(INDEX(Tasks!$F$2:$F$1500,MATCH($Y123&amp;"|"&amp;4,Tasks!$Z$2:$Z$1500,0)),"")</f>
        <v/>
      </c>
      <c r="E128" s="20" t="str">
        <f>IFERROR(IF(INDEX(Tasks!$K$2:$K$1500,MATCH($Y123&amp;"|"&amp;4,Tasks!$Z$2:$Z$1500,0))=0,"",INDEX(Tasks!$K$2:$K$1500,MATCH($Y123&amp;"|"&amp;4,Tasks!$Z$2:$Z$1500,0))),"")</f>
        <v/>
      </c>
      <c r="F128" s="19" t="str">
        <f>IFERROR(IF(INDEX(Tasks!$L$2:$L$1500,MATCH($Y123&amp;"|"&amp;4,Tasks!$Z$2:$Z$1500,0))=0,"",INDEX(Tasks!$L$2:$L$1500,MATCH($Y123&amp;"|"&amp;4,Tasks!$Z$2:$Z$1500,0))),"")</f>
        <v/>
      </c>
      <c r="G128" s="21" t="str">
        <f>IFERROR(IF(INDEX(Tasks!$P$2:$P$1500,MATCH($Y123&amp;"|"&amp;4,Tasks!$Z$2:$Z$1500,0))=0,"",INDEX(Tasks!$P$2:$P$1500,MATCH($Y123&amp;"|"&amp;4,Tasks!$Z$2:$Z$1500,0))),"")</f>
        <v/>
      </c>
    </row>
    <row r="129" spans="1:28" ht="17" hidden="1" x14ac:dyDescent="0.5">
      <c r="C129" s="18" t="str">
        <f>IFERROR(INDEX(Tasks!$E$2:$E$1500,MATCH($Y123&amp;"|"&amp;5,Tasks!$Z$2:$Z$1500,0)),"")</f>
        <v/>
      </c>
      <c r="D129" s="19" t="str">
        <f>IFERROR(INDEX(Tasks!$F$2:$F$1500,MATCH($Y123&amp;"|"&amp;5,Tasks!$Z$2:$Z$1500,0)),"")</f>
        <v/>
      </c>
      <c r="E129" s="20" t="str">
        <f>IFERROR(IF(INDEX(Tasks!$K$2:$K$1500,MATCH($Y123&amp;"|"&amp;5,Tasks!$Z$2:$Z$1500,0))=0,"",INDEX(Tasks!$K$2:$K$1500,MATCH($Y123&amp;"|"&amp;5,Tasks!$Z$2:$Z$1500,0))),"")</f>
        <v/>
      </c>
      <c r="F129" s="19" t="str">
        <f>IFERROR(IF(INDEX(Tasks!$L$2:$L$1500,MATCH($Y123&amp;"|"&amp;5,Tasks!$Z$2:$Z$1500,0))=0,"",INDEX(Tasks!$L$2:$L$1500,MATCH($Y123&amp;"|"&amp;5,Tasks!$Z$2:$Z$1500,0))),"")</f>
        <v/>
      </c>
      <c r="G129" s="21" t="str">
        <f>IFERROR(IF(INDEX(Tasks!$P$2:$P$1500,MATCH($Y123&amp;"|"&amp;5,Tasks!$Z$2:$Z$1500,0))=0,"",INDEX(Tasks!$P$2:$P$1500,MATCH($Y123&amp;"|"&amp;5,Tasks!$Z$2:$Z$1500,0))),"")</f>
        <v/>
      </c>
    </row>
    <row r="130" spans="1:28" ht="17" hidden="1" x14ac:dyDescent="0.5">
      <c r="C130" s="18" t="str">
        <f>IFERROR(INDEX(Tasks!$E$2:$E$1500,MATCH($Y123&amp;"|"&amp;6,Tasks!$Z$2:$Z$1500,0)),"")</f>
        <v/>
      </c>
      <c r="D130" s="19" t="str">
        <f>IFERROR(INDEX(Tasks!$F$2:$F$1500,MATCH($Y123&amp;"|"&amp;6,Tasks!$Z$2:$Z$1500,0)),"")</f>
        <v/>
      </c>
      <c r="E130" s="20" t="str">
        <f>IFERROR(IF(INDEX(Tasks!$K$2:$K$1500,MATCH($Y123&amp;"|"&amp;6,Tasks!$Z$2:$Z$1500,0))=0,"",INDEX(Tasks!$K$2:$K$1500,MATCH($Y123&amp;"|"&amp;6,Tasks!$Z$2:$Z$1500,0))),"")</f>
        <v/>
      </c>
      <c r="F130" s="19" t="str">
        <f>IFERROR(IF(INDEX(Tasks!$L$2:$L$1500,MATCH($Y123&amp;"|"&amp;6,Tasks!$Z$2:$Z$1500,0))=0,"",INDEX(Tasks!$L$2:$L$1500,MATCH($Y123&amp;"|"&amp;6,Tasks!$Z$2:$Z$1500,0))),"")</f>
        <v/>
      </c>
      <c r="G130" s="21" t="str">
        <f>IFERROR(IF(INDEX(Tasks!$P$2:$P$1500,MATCH($Y123&amp;"|"&amp;6,Tasks!$Z$2:$Z$1500,0))=0,"",INDEX(Tasks!$P$2:$P$1500,MATCH($Y123&amp;"|"&amp;6,Tasks!$Z$2:$Z$1500,0))),"")</f>
        <v/>
      </c>
    </row>
    <row r="131" spans="1:28" ht="17" hidden="1" x14ac:dyDescent="0.5">
      <c r="C131" s="18" t="str">
        <f>IFERROR(INDEX(Tasks!$E$2:$E$1500,MATCH($Y123&amp;"|"&amp;7,Tasks!$Z$2:$Z$1500,0)),"")</f>
        <v/>
      </c>
      <c r="D131" s="19" t="str">
        <f>IFERROR(INDEX(Tasks!$F$2:$F$1500,MATCH($Y123&amp;"|"&amp;7,Tasks!$Z$2:$Z$1500,0)),"")</f>
        <v/>
      </c>
      <c r="E131" s="20" t="str">
        <f>IFERROR(IF(INDEX(Tasks!$K$2:$K$1500,MATCH($Y123&amp;"|"&amp;7,Tasks!$Z$2:$Z$1500,0))=0,"",INDEX(Tasks!$K$2:$K$1500,MATCH($Y123&amp;"|"&amp;7,Tasks!$Z$2:$Z$1500,0))),"")</f>
        <v/>
      </c>
      <c r="F131" s="19" t="str">
        <f>IFERROR(IF(INDEX(Tasks!$L$2:$L$1500,MATCH($Y123&amp;"|"&amp;7,Tasks!$Z$2:$Z$1500,0))=0,"",INDEX(Tasks!$L$2:$L$1500,MATCH($Y123&amp;"|"&amp;7,Tasks!$Z$2:$Z$1500,0))),"")</f>
        <v/>
      </c>
      <c r="G131" s="21" t="str">
        <f>IFERROR(IF(INDEX(Tasks!$P$2:$P$1500,MATCH($Y123&amp;"|"&amp;7,Tasks!$Z$2:$Z$1500,0))=0,"",INDEX(Tasks!$P$2:$P$1500,MATCH($Y123&amp;"|"&amp;7,Tasks!$Z$2:$Z$1500,0))),"")</f>
        <v/>
      </c>
    </row>
    <row r="132" spans="1:28" ht="17" hidden="1" x14ac:dyDescent="0.5">
      <c r="C132" s="18" t="str">
        <f>IF(N($D123)&gt;8,"+ "&amp;(N($D123)-7)&amp;" more — see Tasks",IFERROR(INDEX(Tasks!$E$2:$E$1500,MATCH($Y123&amp;"|"&amp;8,Tasks!$Z$2:$Z$1500,0)),""))</f>
        <v/>
      </c>
      <c r="D132" s="19" t="str">
        <f>IF(N($D123)&gt;8,"",IFERROR(INDEX(Tasks!$F$2:$F$1500,MATCH($Y123&amp;"|"&amp;8,Tasks!$Z$2:$Z$1500,0)),""))</f>
        <v/>
      </c>
      <c r="E132" s="20" t="str">
        <f>IF(N($D123)&gt;8,"",IFERROR(IF(INDEX(Tasks!$K$2:$K$1500,MATCH($Y123&amp;"|"&amp;8,Tasks!$Z$2:$Z$1500,0))=0,"",INDEX(Tasks!$K$2:$K$1500,MATCH($Y123&amp;"|"&amp;8,Tasks!$Z$2:$Z$1500,0))),""))</f>
        <v/>
      </c>
      <c r="F132" s="19" t="str">
        <f>IF(N($D123)&gt;8,"",IFERROR(IF(INDEX(Tasks!$L$2:$L$1500,MATCH($Y123&amp;"|"&amp;8,Tasks!$Z$2:$Z$1500,0))=0,"",INDEX(Tasks!$L$2:$L$1500,MATCH($Y123&amp;"|"&amp;8,Tasks!$Z$2:$Z$1500,0))),""))</f>
        <v/>
      </c>
      <c r="G132" s="21" t="str">
        <f>IF(N($D123)&gt;8,"",IFERROR(IF(INDEX(Tasks!$P$2:$P$1500,MATCH($Y123&amp;"|"&amp;8,Tasks!$Z$2:$Z$1500,0))=0,"",INDEX(Tasks!$P$2:$P$1500,MATCH($Y123&amp;"|"&amp;8,Tasks!$Z$2:$Z$1500,0))),""))</f>
        <v/>
      </c>
    </row>
    <row r="133" spans="1:28" ht="14.5" x14ac:dyDescent="0.35">
      <c r="A133" s="2"/>
      <c r="B133" s="2"/>
      <c r="C133" s="2"/>
      <c r="D133" s="3" t="str">
        <f>IF(COUNTIFS(Tasks!$V$2:$V$1500,Y133)=0,"",COUNTIFS(Tasks!$V$2:$V$1500,Y133))</f>
        <v/>
      </c>
      <c r="E133" s="13"/>
      <c r="F133" s="13"/>
      <c r="G133" s="2"/>
      <c r="H133" s="14" t="str">
        <f ca="1">IF(OR(E133="",F133=""),"",IF(E133=F133,IF(TODAY()&gt;=E133,1,0),MAX(0,MIN(1,(TODAY()-E133)/(F133-E133)))))</f>
        <v/>
      </c>
      <c r="I133" s="6"/>
      <c r="J133" s="15"/>
      <c r="AA133">
        <f ca="1">IF(TODAY()&lt;E133,E133-TODAY(),F133-TODAY())</f>
        <v>-46311</v>
      </c>
      <c r="AB133" t="str">
        <f ca="1">IF(AND(OR(G133="Planned",G133="Active"),ABS(AA133)&lt;=7),AA133+Y133/1000000,"")</f>
        <v/>
      </c>
    </row>
    <row r="134" spans="1:28" ht="15" hidden="1" x14ac:dyDescent="0.4">
      <c r="C134" s="16" t="s">
        <v>40</v>
      </c>
      <c r="D134" s="17" t="s">
        <v>41</v>
      </c>
      <c r="E134" s="17" t="s">
        <v>15</v>
      </c>
      <c r="F134" s="17" t="s">
        <v>16</v>
      </c>
      <c r="G134" s="17" t="s">
        <v>18</v>
      </c>
    </row>
    <row r="135" spans="1:28" ht="17" hidden="1" x14ac:dyDescent="0.5">
      <c r="C135" s="18" t="str">
        <f>IFERROR(INDEX(Tasks!$E$2:$E$1500,MATCH($Y133&amp;"|"&amp;1,Tasks!$Z$2:$Z$1500,0)),"")</f>
        <v/>
      </c>
      <c r="D135" s="19" t="str">
        <f>IFERROR(INDEX(Tasks!$F$2:$F$1500,MATCH($Y133&amp;"|"&amp;1,Tasks!$Z$2:$Z$1500,0)),"")</f>
        <v/>
      </c>
      <c r="E135" s="20" t="str">
        <f>IFERROR(IF(INDEX(Tasks!$K$2:$K$1500,MATCH($Y133&amp;"|"&amp;1,Tasks!$Z$2:$Z$1500,0))=0,"",INDEX(Tasks!$K$2:$K$1500,MATCH($Y133&amp;"|"&amp;1,Tasks!$Z$2:$Z$1500,0))),"")</f>
        <v/>
      </c>
      <c r="F135" s="19" t="str">
        <f>IFERROR(IF(INDEX(Tasks!$L$2:$L$1500,MATCH($Y133&amp;"|"&amp;1,Tasks!$Z$2:$Z$1500,0))=0,"",INDEX(Tasks!$L$2:$L$1500,MATCH($Y133&amp;"|"&amp;1,Tasks!$Z$2:$Z$1500,0))),"")</f>
        <v/>
      </c>
      <c r="G135" s="21" t="str">
        <f>IFERROR(IF(INDEX(Tasks!$P$2:$P$1500,MATCH($Y133&amp;"|"&amp;1,Tasks!$Z$2:$Z$1500,0))=0,"",INDEX(Tasks!$P$2:$P$1500,MATCH($Y133&amp;"|"&amp;1,Tasks!$Z$2:$Z$1500,0))),"")</f>
        <v/>
      </c>
    </row>
    <row r="136" spans="1:28" ht="17" hidden="1" x14ac:dyDescent="0.5">
      <c r="C136" s="18" t="str">
        <f>IFERROR(INDEX(Tasks!$E$2:$E$1500,MATCH($Y133&amp;"|"&amp;2,Tasks!$Z$2:$Z$1500,0)),"")</f>
        <v/>
      </c>
      <c r="D136" s="19" t="str">
        <f>IFERROR(INDEX(Tasks!$F$2:$F$1500,MATCH($Y133&amp;"|"&amp;2,Tasks!$Z$2:$Z$1500,0)),"")</f>
        <v/>
      </c>
      <c r="E136" s="20" t="str">
        <f>IFERROR(IF(INDEX(Tasks!$K$2:$K$1500,MATCH($Y133&amp;"|"&amp;2,Tasks!$Z$2:$Z$1500,0))=0,"",INDEX(Tasks!$K$2:$K$1500,MATCH($Y133&amp;"|"&amp;2,Tasks!$Z$2:$Z$1500,0))),"")</f>
        <v/>
      </c>
      <c r="F136" s="19" t="str">
        <f>IFERROR(IF(INDEX(Tasks!$L$2:$L$1500,MATCH($Y133&amp;"|"&amp;2,Tasks!$Z$2:$Z$1500,0))=0,"",INDEX(Tasks!$L$2:$L$1500,MATCH($Y133&amp;"|"&amp;2,Tasks!$Z$2:$Z$1500,0))),"")</f>
        <v/>
      </c>
      <c r="G136" s="21" t="str">
        <f>IFERROR(IF(INDEX(Tasks!$P$2:$P$1500,MATCH($Y133&amp;"|"&amp;2,Tasks!$Z$2:$Z$1500,0))=0,"",INDEX(Tasks!$P$2:$P$1500,MATCH($Y133&amp;"|"&amp;2,Tasks!$Z$2:$Z$1500,0))),"")</f>
        <v/>
      </c>
    </row>
    <row r="137" spans="1:28" ht="17" hidden="1" x14ac:dyDescent="0.5">
      <c r="C137" s="18" t="str">
        <f>IFERROR(INDEX(Tasks!$E$2:$E$1500,MATCH($Y133&amp;"|"&amp;3,Tasks!$Z$2:$Z$1500,0)),"")</f>
        <v/>
      </c>
      <c r="D137" s="19" t="str">
        <f>IFERROR(INDEX(Tasks!$F$2:$F$1500,MATCH($Y133&amp;"|"&amp;3,Tasks!$Z$2:$Z$1500,0)),"")</f>
        <v/>
      </c>
      <c r="E137" s="20" t="str">
        <f>IFERROR(IF(INDEX(Tasks!$K$2:$K$1500,MATCH($Y133&amp;"|"&amp;3,Tasks!$Z$2:$Z$1500,0))=0,"",INDEX(Tasks!$K$2:$K$1500,MATCH($Y133&amp;"|"&amp;3,Tasks!$Z$2:$Z$1500,0))),"")</f>
        <v/>
      </c>
      <c r="F137" s="19" t="str">
        <f>IFERROR(IF(INDEX(Tasks!$L$2:$L$1500,MATCH($Y133&amp;"|"&amp;3,Tasks!$Z$2:$Z$1500,0))=0,"",INDEX(Tasks!$L$2:$L$1500,MATCH($Y133&amp;"|"&amp;3,Tasks!$Z$2:$Z$1500,0))),"")</f>
        <v/>
      </c>
      <c r="G137" s="21" t="str">
        <f>IFERROR(IF(INDEX(Tasks!$P$2:$P$1500,MATCH($Y133&amp;"|"&amp;3,Tasks!$Z$2:$Z$1500,0))=0,"",INDEX(Tasks!$P$2:$P$1500,MATCH($Y133&amp;"|"&amp;3,Tasks!$Z$2:$Z$1500,0))),"")</f>
        <v/>
      </c>
    </row>
    <row r="138" spans="1:28" ht="17" hidden="1" x14ac:dyDescent="0.5">
      <c r="C138" s="18" t="str">
        <f>IFERROR(INDEX(Tasks!$E$2:$E$1500,MATCH($Y133&amp;"|"&amp;4,Tasks!$Z$2:$Z$1500,0)),"")</f>
        <v/>
      </c>
      <c r="D138" s="19" t="str">
        <f>IFERROR(INDEX(Tasks!$F$2:$F$1500,MATCH($Y133&amp;"|"&amp;4,Tasks!$Z$2:$Z$1500,0)),"")</f>
        <v/>
      </c>
      <c r="E138" s="20" t="str">
        <f>IFERROR(IF(INDEX(Tasks!$K$2:$K$1500,MATCH($Y133&amp;"|"&amp;4,Tasks!$Z$2:$Z$1500,0))=0,"",INDEX(Tasks!$K$2:$K$1500,MATCH($Y133&amp;"|"&amp;4,Tasks!$Z$2:$Z$1500,0))),"")</f>
        <v/>
      </c>
      <c r="F138" s="19" t="str">
        <f>IFERROR(IF(INDEX(Tasks!$L$2:$L$1500,MATCH($Y133&amp;"|"&amp;4,Tasks!$Z$2:$Z$1500,0))=0,"",INDEX(Tasks!$L$2:$L$1500,MATCH($Y133&amp;"|"&amp;4,Tasks!$Z$2:$Z$1500,0))),"")</f>
        <v/>
      </c>
      <c r="G138" s="21" t="str">
        <f>IFERROR(IF(INDEX(Tasks!$P$2:$P$1500,MATCH($Y133&amp;"|"&amp;4,Tasks!$Z$2:$Z$1500,0))=0,"",INDEX(Tasks!$P$2:$P$1500,MATCH($Y133&amp;"|"&amp;4,Tasks!$Z$2:$Z$1500,0))),"")</f>
        <v/>
      </c>
    </row>
    <row r="139" spans="1:28" ht="17" hidden="1" x14ac:dyDescent="0.5">
      <c r="C139" s="18" t="str">
        <f>IFERROR(INDEX(Tasks!$E$2:$E$1500,MATCH($Y133&amp;"|"&amp;5,Tasks!$Z$2:$Z$1500,0)),"")</f>
        <v/>
      </c>
      <c r="D139" s="19" t="str">
        <f>IFERROR(INDEX(Tasks!$F$2:$F$1500,MATCH($Y133&amp;"|"&amp;5,Tasks!$Z$2:$Z$1500,0)),"")</f>
        <v/>
      </c>
      <c r="E139" s="20" t="str">
        <f>IFERROR(IF(INDEX(Tasks!$K$2:$K$1500,MATCH($Y133&amp;"|"&amp;5,Tasks!$Z$2:$Z$1500,0))=0,"",INDEX(Tasks!$K$2:$K$1500,MATCH($Y133&amp;"|"&amp;5,Tasks!$Z$2:$Z$1500,0))),"")</f>
        <v/>
      </c>
      <c r="F139" s="19" t="str">
        <f>IFERROR(IF(INDEX(Tasks!$L$2:$L$1500,MATCH($Y133&amp;"|"&amp;5,Tasks!$Z$2:$Z$1500,0))=0,"",INDEX(Tasks!$L$2:$L$1500,MATCH($Y133&amp;"|"&amp;5,Tasks!$Z$2:$Z$1500,0))),"")</f>
        <v/>
      </c>
      <c r="G139" s="21" t="str">
        <f>IFERROR(IF(INDEX(Tasks!$P$2:$P$1500,MATCH($Y133&amp;"|"&amp;5,Tasks!$Z$2:$Z$1500,0))=0,"",INDEX(Tasks!$P$2:$P$1500,MATCH($Y133&amp;"|"&amp;5,Tasks!$Z$2:$Z$1500,0))),"")</f>
        <v/>
      </c>
    </row>
    <row r="140" spans="1:28" ht="17" hidden="1" x14ac:dyDescent="0.5">
      <c r="C140" s="18" t="str">
        <f>IFERROR(INDEX(Tasks!$E$2:$E$1500,MATCH($Y133&amp;"|"&amp;6,Tasks!$Z$2:$Z$1500,0)),"")</f>
        <v/>
      </c>
      <c r="D140" s="19" t="str">
        <f>IFERROR(INDEX(Tasks!$F$2:$F$1500,MATCH($Y133&amp;"|"&amp;6,Tasks!$Z$2:$Z$1500,0)),"")</f>
        <v/>
      </c>
      <c r="E140" s="20" t="str">
        <f>IFERROR(IF(INDEX(Tasks!$K$2:$K$1500,MATCH($Y133&amp;"|"&amp;6,Tasks!$Z$2:$Z$1500,0))=0,"",INDEX(Tasks!$K$2:$K$1500,MATCH($Y133&amp;"|"&amp;6,Tasks!$Z$2:$Z$1500,0))),"")</f>
        <v/>
      </c>
      <c r="F140" s="19" t="str">
        <f>IFERROR(IF(INDEX(Tasks!$L$2:$L$1500,MATCH($Y133&amp;"|"&amp;6,Tasks!$Z$2:$Z$1500,0))=0,"",INDEX(Tasks!$L$2:$L$1500,MATCH($Y133&amp;"|"&amp;6,Tasks!$Z$2:$Z$1500,0))),"")</f>
        <v/>
      </c>
      <c r="G140" s="21" t="str">
        <f>IFERROR(IF(INDEX(Tasks!$P$2:$P$1500,MATCH($Y133&amp;"|"&amp;6,Tasks!$Z$2:$Z$1500,0))=0,"",INDEX(Tasks!$P$2:$P$1500,MATCH($Y133&amp;"|"&amp;6,Tasks!$Z$2:$Z$1500,0))),"")</f>
        <v/>
      </c>
    </row>
    <row r="141" spans="1:28" ht="17" hidden="1" x14ac:dyDescent="0.5">
      <c r="C141" s="18" t="str">
        <f>IFERROR(INDEX(Tasks!$E$2:$E$1500,MATCH($Y133&amp;"|"&amp;7,Tasks!$Z$2:$Z$1500,0)),"")</f>
        <v/>
      </c>
      <c r="D141" s="19" t="str">
        <f>IFERROR(INDEX(Tasks!$F$2:$F$1500,MATCH($Y133&amp;"|"&amp;7,Tasks!$Z$2:$Z$1500,0)),"")</f>
        <v/>
      </c>
      <c r="E141" s="20" t="str">
        <f>IFERROR(IF(INDEX(Tasks!$K$2:$K$1500,MATCH($Y133&amp;"|"&amp;7,Tasks!$Z$2:$Z$1500,0))=0,"",INDEX(Tasks!$K$2:$K$1500,MATCH($Y133&amp;"|"&amp;7,Tasks!$Z$2:$Z$1500,0))),"")</f>
        <v/>
      </c>
      <c r="F141" s="19" t="str">
        <f>IFERROR(IF(INDEX(Tasks!$L$2:$L$1500,MATCH($Y133&amp;"|"&amp;7,Tasks!$Z$2:$Z$1500,0))=0,"",INDEX(Tasks!$L$2:$L$1500,MATCH($Y133&amp;"|"&amp;7,Tasks!$Z$2:$Z$1500,0))),"")</f>
        <v/>
      </c>
      <c r="G141" s="21" t="str">
        <f>IFERROR(IF(INDEX(Tasks!$P$2:$P$1500,MATCH($Y133&amp;"|"&amp;7,Tasks!$Z$2:$Z$1500,0))=0,"",INDEX(Tasks!$P$2:$P$1500,MATCH($Y133&amp;"|"&amp;7,Tasks!$Z$2:$Z$1500,0))),"")</f>
        <v/>
      </c>
    </row>
    <row r="142" spans="1:28" ht="17" hidden="1" x14ac:dyDescent="0.5">
      <c r="C142" s="18" t="str">
        <f>IF(N($D133)&gt;8,"+ "&amp;(N($D133)-7)&amp;" more — see Tasks",IFERROR(INDEX(Tasks!$E$2:$E$1500,MATCH($Y133&amp;"|"&amp;8,Tasks!$Z$2:$Z$1500,0)),""))</f>
        <v/>
      </c>
      <c r="D142" s="19" t="str">
        <f>IF(N($D133)&gt;8,"",IFERROR(INDEX(Tasks!$F$2:$F$1500,MATCH($Y133&amp;"|"&amp;8,Tasks!$Z$2:$Z$1500,0)),""))</f>
        <v/>
      </c>
      <c r="E142" s="20" t="str">
        <f>IF(N($D133)&gt;8,"",IFERROR(IF(INDEX(Tasks!$K$2:$K$1500,MATCH($Y133&amp;"|"&amp;8,Tasks!$Z$2:$Z$1500,0))=0,"",INDEX(Tasks!$K$2:$K$1500,MATCH($Y133&amp;"|"&amp;8,Tasks!$Z$2:$Z$1500,0))),""))</f>
        <v/>
      </c>
      <c r="F142" s="19" t="str">
        <f>IF(N($D133)&gt;8,"",IFERROR(IF(INDEX(Tasks!$L$2:$L$1500,MATCH($Y133&amp;"|"&amp;8,Tasks!$Z$2:$Z$1500,0))=0,"",INDEX(Tasks!$L$2:$L$1500,MATCH($Y133&amp;"|"&amp;8,Tasks!$Z$2:$Z$1500,0))),""))</f>
        <v/>
      </c>
      <c r="G142" s="21" t="str">
        <f>IF(N($D133)&gt;8,"",IFERROR(IF(INDEX(Tasks!$P$2:$P$1500,MATCH($Y133&amp;"|"&amp;8,Tasks!$Z$2:$Z$1500,0))=0,"",INDEX(Tasks!$P$2:$P$1500,MATCH($Y133&amp;"|"&amp;8,Tasks!$Z$2:$Z$1500,0))),""))</f>
        <v/>
      </c>
    </row>
    <row r="143" spans="1:28" ht="14.5" x14ac:dyDescent="0.35">
      <c r="A143" s="2"/>
      <c r="B143" s="2"/>
      <c r="C143" s="2"/>
      <c r="D143" s="3" t="str">
        <f>IF(COUNTIFS(Tasks!$V$2:$V$1500,Y143)=0,"",COUNTIFS(Tasks!$V$2:$V$1500,Y143))</f>
        <v/>
      </c>
      <c r="E143" s="13"/>
      <c r="F143" s="13"/>
      <c r="G143" s="2"/>
      <c r="H143" s="14" t="str">
        <f ca="1">IF(OR(E143="",F143=""),"",IF(E143=F143,IF(TODAY()&gt;=E143,1,0),MAX(0,MIN(1,(TODAY()-E143)/(F143-E143)))))</f>
        <v/>
      </c>
      <c r="I143" s="6"/>
      <c r="J143" s="15"/>
      <c r="AA143">
        <f ca="1">IF(TODAY()&lt;E143,E143-TODAY(),F143-TODAY())</f>
        <v>-46311</v>
      </c>
      <c r="AB143" t="str">
        <f ca="1">IF(AND(OR(G143="Planned",G143="Active"),ABS(AA143)&lt;=7),AA143+Y143/1000000,"")</f>
        <v/>
      </c>
    </row>
    <row r="144" spans="1:28" ht="15" hidden="1" x14ac:dyDescent="0.4">
      <c r="C144" s="16" t="s">
        <v>40</v>
      </c>
      <c r="D144" s="17" t="s">
        <v>41</v>
      </c>
      <c r="E144" s="17" t="s">
        <v>15</v>
      </c>
      <c r="F144" s="17" t="s">
        <v>16</v>
      </c>
      <c r="G144" s="17" t="s">
        <v>18</v>
      </c>
    </row>
    <row r="145" spans="1:28" ht="17" hidden="1" x14ac:dyDescent="0.5">
      <c r="C145" s="18" t="str">
        <f>IFERROR(INDEX(Tasks!$E$2:$E$1500,MATCH($Y143&amp;"|"&amp;1,Tasks!$Z$2:$Z$1500,0)),"")</f>
        <v/>
      </c>
      <c r="D145" s="19" t="str">
        <f>IFERROR(INDEX(Tasks!$F$2:$F$1500,MATCH($Y143&amp;"|"&amp;1,Tasks!$Z$2:$Z$1500,0)),"")</f>
        <v/>
      </c>
      <c r="E145" s="20" t="str">
        <f>IFERROR(IF(INDEX(Tasks!$K$2:$K$1500,MATCH($Y143&amp;"|"&amp;1,Tasks!$Z$2:$Z$1500,0))=0,"",INDEX(Tasks!$K$2:$K$1500,MATCH($Y143&amp;"|"&amp;1,Tasks!$Z$2:$Z$1500,0))),"")</f>
        <v/>
      </c>
      <c r="F145" s="19" t="str">
        <f>IFERROR(IF(INDEX(Tasks!$L$2:$L$1500,MATCH($Y143&amp;"|"&amp;1,Tasks!$Z$2:$Z$1500,0))=0,"",INDEX(Tasks!$L$2:$L$1500,MATCH($Y143&amp;"|"&amp;1,Tasks!$Z$2:$Z$1500,0))),"")</f>
        <v/>
      </c>
      <c r="G145" s="21" t="str">
        <f>IFERROR(IF(INDEX(Tasks!$P$2:$P$1500,MATCH($Y143&amp;"|"&amp;1,Tasks!$Z$2:$Z$1500,0))=0,"",INDEX(Tasks!$P$2:$P$1500,MATCH($Y143&amp;"|"&amp;1,Tasks!$Z$2:$Z$1500,0))),"")</f>
        <v/>
      </c>
    </row>
    <row r="146" spans="1:28" ht="17" hidden="1" x14ac:dyDescent="0.5">
      <c r="C146" s="18" t="str">
        <f>IFERROR(INDEX(Tasks!$E$2:$E$1500,MATCH($Y143&amp;"|"&amp;2,Tasks!$Z$2:$Z$1500,0)),"")</f>
        <v/>
      </c>
      <c r="D146" s="19" t="str">
        <f>IFERROR(INDEX(Tasks!$F$2:$F$1500,MATCH($Y143&amp;"|"&amp;2,Tasks!$Z$2:$Z$1500,0)),"")</f>
        <v/>
      </c>
      <c r="E146" s="20" t="str">
        <f>IFERROR(IF(INDEX(Tasks!$K$2:$K$1500,MATCH($Y143&amp;"|"&amp;2,Tasks!$Z$2:$Z$1500,0))=0,"",INDEX(Tasks!$K$2:$K$1500,MATCH($Y143&amp;"|"&amp;2,Tasks!$Z$2:$Z$1500,0))),"")</f>
        <v/>
      </c>
      <c r="F146" s="19" t="str">
        <f>IFERROR(IF(INDEX(Tasks!$L$2:$L$1500,MATCH($Y143&amp;"|"&amp;2,Tasks!$Z$2:$Z$1500,0))=0,"",INDEX(Tasks!$L$2:$L$1500,MATCH($Y143&amp;"|"&amp;2,Tasks!$Z$2:$Z$1500,0))),"")</f>
        <v/>
      </c>
      <c r="G146" s="21" t="str">
        <f>IFERROR(IF(INDEX(Tasks!$P$2:$P$1500,MATCH($Y143&amp;"|"&amp;2,Tasks!$Z$2:$Z$1500,0))=0,"",INDEX(Tasks!$P$2:$P$1500,MATCH($Y143&amp;"|"&amp;2,Tasks!$Z$2:$Z$1500,0))),"")</f>
        <v/>
      </c>
    </row>
    <row r="147" spans="1:28" ht="17" hidden="1" x14ac:dyDescent="0.5">
      <c r="C147" s="18" t="str">
        <f>IFERROR(INDEX(Tasks!$E$2:$E$1500,MATCH($Y143&amp;"|"&amp;3,Tasks!$Z$2:$Z$1500,0)),"")</f>
        <v/>
      </c>
      <c r="D147" s="19" t="str">
        <f>IFERROR(INDEX(Tasks!$F$2:$F$1500,MATCH($Y143&amp;"|"&amp;3,Tasks!$Z$2:$Z$1500,0)),"")</f>
        <v/>
      </c>
      <c r="E147" s="20" t="str">
        <f>IFERROR(IF(INDEX(Tasks!$K$2:$K$1500,MATCH($Y143&amp;"|"&amp;3,Tasks!$Z$2:$Z$1500,0))=0,"",INDEX(Tasks!$K$2:$K$1500,MATCH($Y143&amp;"|"&amp;3,Tasks!$Z$2:$Z$1500,0))),"")</f>
        <v/>
      </c>
      <c r="F147" s="19" t="str">
        <f>IFERROR(IF(INDEX(Tasks!$L$2:$L$1500,MATCH($Y143&amp;"|"&amp;3,Tasks!$Z$2:$Z$1500,0))=0,"",INDEX(Tasks!$L$2:$L$1500,MATCH($Y143&amp;"|"&amp;3,Tasks!$Z$2:$Z$1500,0))),"")</f>
        <v/>
      </c>
      <c r="G147" s="21" t="str">
        <f>IFERROR(IF(INDEX(Tasks!$P$2:$P$1500,MATCH($Y143&amp;"|"&amp;3,Tasks!$Z$2:$Z$1500,0))=0,"",INDEX(Tasks!$P$2:$P$1500,MATCH($Y143&amp;"|"&amp;3,Tasks!$Z$2:$Z$1500,0))),"")</f>
        <v/>
      </c>
    </row>
    <row r="148" spans="1:28" ht="17" hidden="1" x14ac:dyDescent="0.5">
      <c r="C148" s="18" t="str">
        <f>IFERROR(INDEX(Tasks!$E$2:$E$1500,MATCH($Y143&amp;"|"&amp;4,Tasks!$Z$2:$Z$1500,0)),"")</f>
        <v/>
      </c>
      <c r="D148" s="19" t="str">
        <f>IFERROR(INDEX(Tasks!$F$2:$F$1500,MATCH($Y143&amp;"|"&amp;4,Tasks!$Z$2:$Z$1500,0)),"")</f>
        <v/>
      </c>
      <c r="E148" s="20" t="str">
        <f>IFERROR(IF(INDEX(Tasks!$K$2:$K$1500,MATCH($Y143&amp;"|"&amp;4,Tasks!$Z$2:$Z$1500,0))=0,"",INDEX(Tasks!$K$2:$K$1500,MATCH($Y143&amp;"|"&amp;4,Tasks!$Z$2:$Z$1500,0))),"")</f>
        <v/>
      </c>
      <c r="F148" s="19" t="str">
        <f>IFERROR(IF(INDEX(Tasks!$L$2:$L$1500,MATCH($Y143&amp;"|"&amp;4,Tasks!$Z$2:$Z$1500,0))=0,"",INDEX(Tasks!$L$2:$L$1500,MATCH($Y143&amp;"|"&amp;4,Tasks!$Z$2:$Z$1500,0))),"")</f>
        <v/>
      </c>
      <c r="G148" s="21" t="str">
        <f>IFERROR(IF(INDEX(Tasks!$P$2:$P$1500,MATCH($Y143&amp;"|"&amp;4,Tasks!$Z$2:$Z$1500,0))=0,"",INDEX(Tasks!$P$2:$P$1500,MATCH($Y143&amp;"|"&amp;4,Tasks!$Z$2:$Z$1500,0))),"")</f>
        <v/>
      </c>
    </row>
    <row r="149" spans="1:28" ht="17" hidden="1" x14ac:dyDescent="0.5">
      <c r="C149" s="18" t="str">
        <f>IFERROR(INDEX(Tasks!$E$2:$E$1500,MATCH($Y143&amp;"|"&amp;5,Tasks!$Z$2:$Z$1500,0)),"")</f>
        <v/>
      </c>
      <c r="D149" s="19" t="str">
        <f>IFERROR(INDEX(Tasks!$F$2:$F$1500,MATCH($Y143&amp;"|"&amp;5,Tasks!$Z$2:$Z$1500,0)),"")</f>
        <v/>
      </c>
      <c r="E149" s="20" t="str">
        <f>IFERROR(IF(INDEX(Tasks!$K$2:$K$1500,MATCH($Y143&amp;"|"&amp;5,Tasks!$Z$2:$Z$1500,0))=0,"",INDEX(Tasks!$K$2:$K$1500,MATCH($Y143&amp;"|"&amp;5,Tasks!$Z$2:$Z$1500,0))),"")</f>
        <v/>
      </c>
      <c r="F149" s="19" t="str">
        <f>IFERROR(IF(INDEX(Tasks!$L$2:$L$1500,MATCH($Y143&amp;"|"&amp;5,Tasks!$Z$2:$Z$1500,0))=0,"",INDEX(Tasks!$L$2:$L$1500,MATCH($Y143&amp;"|"&amp;5,Tasks!$Z$2:$Z$1500,0))),"")</f>
        <v/>
      </c>
      <c r="G149" s="21" t="str">
        <f>IFERROR(IF(INDEX(Tasks!$P$2:$P$1500,MATCH($Y143&amp;"|"&amp;5,Tasks!$Z$2:$Z$1500,0))=0,"",INDEX(Tasks!$P$2:$P$1500,MATCH($Y143&amp;"|"&amp;5,Tasks!$Z$2:$Z$1500,0))),"")</f>
        <v/>
      </c>
    </row>
    <row r="150" spans="1:28" ht="17" hidden="1" x14ac:dyDescent="0.5">
      <c r="C150" s="18" t="str">
        <f>IFERROR(INDEX(Tasks!$E$2:$E$1500,MATCH($Y143&amp;"|"&amp;6,Tasks!$Z$2:$Z$1500,0)),"")</f>
        <v/>
      </c>
      <c r="D150" s="19" t="str">
        <f>IFERROR(INDEX(Tasks!$F$2:$F$1500,MATCH($Y143&amp;"|"&amp;6,Tasks!$Z$2:$Z$1500,0)),"")</f>
        <v/>
      </c>
      <c r="E150" s="20" t="str">
        <f>IFERROR(IF(INDEX(Tasks!$K$2:$K$1500,MATCH($Y143&amp;"|"&amp;6,Tasks!$Z$2:$Z$1500,0))=0,"",INDEX(Tasks!$K$2:$K$1500,MATCH($Y143&amp;"|"&amp;6,Tasks!$Z$2:$Z$1500,0))),"")</f>
        <v/>
      </c>
      <c r="F150" s="19" t="str">
        <f>IFERROR(IF(INDEX(Tasks!$L$2:$L$1500,MATCH($Y143&amp;"|"&amp;6,Tasks!$Z$2:$Z$1500,0))=0,"",INDEX(Tasks!$L$2:$L$1500,MATCH($Y143&amp;"|"&amp;6,Tasks!$Z$2:$Z$1500,0))),"")</f>
        <v/>
      </c>
      <c r="G150" s="21" t="str">
        <f>IFERROR(IF(INDEX(Tasks!$P$2:$P$1500,MATCH($Y143&amp;"|"&amp;6,Tasks!$Z$2:$Z$1500,0))=0,"",INDEX(Tasks!$P$2:$P$1500,MATCH($Y143&amp;"|"&amp;6,Tasks!$Z$2:$Z$1500,0))),"")</f>
        <v/>
      </c>
    </row>
    <row r="151" spans="1:28" ht="17" hidden="1" x14ac:dyDescent="0.5">
      <c r="C151" s="18" t="str">
        <f>IFERROR(INDEX(Tasks!$E$2:$E$1500,MATCH($Y143&amp;"|"&amp;7,Tasks!$Z$2:$Z$1500,0)),"")</f>
        <v/>
      </c>
      <c r="D151" s="19" t="str">
        <f>IFERROR(INDEX(Tasks!$F$2:$F$1500,MATCH($Y143&amp;"|"&amp;7,Tasks!$Z$2:$Z$1500,0)),"")</f>
        <v/>
      </c>
      <c r="E151" s="20" t="str">
        <f>IFERROR(IF(INDEX(Tasks!$K$2:$K$1500,MATCH($Y143&amp;"|"&amp;7,Tasks!$Z$2:$Z$1500,0))=0,"",INDEX(Tasks!$K$2:$K$1500,MATCH($Y143&amp;"|"&amp;7,Tasks!$Z$2:$Z$1500,0))),"")</f>
        <v/>
      </c>
      <c r="F151" s="19" t="str">
        <f>IFERROR(IF(INDEX(Tasks!$L$2:$L$1500,MATCH($Y143&amp;"|"&amp;7,Tasks!$Z$2:$Z$1500,0))=0,"",INDEX(Tasks!$L$2:$L$1500,MATCH($Y143&amp;"|"&amp;7,Tasks!$Z$2:$Z$1500,0))),"")</f>
        <v/>
      </c>
      <c r="G151" s="21" t="str">
        <f>IFERROR(IF(INDEX(Tasks!$P$2:$P$1500,MATCH($Y143&amp;"|"&amp;7,Tasks!$Z$2:$Z$1500,0))=0,"",INDEX(Tasks!$P$2:$P$1500,MATCH($Y143&amp;"|"&amp;7,Tasks!$Z$2:$Z$1500,0))),"")</f>
        <v/>
      </c>
    </row>
    <row r="152" spans="1:28" ht="17" hidden="1" x14ac:dyDescent="0.5">
      <c r="C152" s="18" t="str">
        <f>IF(N($D143)&gt;8,"+ "&amp;(N($D143)-7)&amp;" more — see Tasks",IFERROR(INDEX(Tasks!$E$2:$E$1500,MATCH($Y143&amp;"|"&amp;8,Tasks!$Z$2:$Z$1500,0)),""))</f>
        <v/>
      </c>
      <c r="D152" s="19" t="str">
        <f>IF(N($D143)&gt;8,"",IFERROR(INDEX(Tasks!$F$2:$F$1500,MATCH($Y143&amp;"|"&amp;8,Tasks!$Z$2:$Z$1500,0)),""))</f>
        <v/>
      </c>
      <c r="E152" s="20" t="str">
        <f>IF(N($D143)&gt;8,"",IFERROR(IF(INDEX(Tasks!$K$2:$K$1500,MATCH($Y143&amp;"|"&amp;8,Tasks!$Z$2:$Z$1500,0))=0,"",INDEX(Tasks!$K$2:$K$1500,MATCH($Y143&amp;"|"&amp;8,Tasks!$Z$2:$Z$1500,0))),""))</f>
        <v/>
      </c>
      <c r="F152" s="19" t="str">
        <f>IF(N($D143)&gt;8,"",IFERROR(IF(INDEX(Tasks!$L$2:$L$1500,MATCH($Y143&amp;"|"&amp;8,Tasks!$Z$2:$Z$1500,0))=0,"",INDEX(Tasks!$L$2:$L$1500,MATCH($Y143&amp;"|"&amp;8,Tasks!$Z$2:$Z$1500,0))),""))</f>
        <v/>
      </c>
      <c r="G152" s="21" t="str">
        <f>IF(N($D143)&gt;8,"",IFERROR(IF(INDEX(Tasks!$P$2:$P$1500,MATCH($Y143&amp;"|"&amp;8,Tasks!$Z$2:$Z$1500,0))=0,"",INDEX(Tasks!$P$2:$P$1500,MATCH($Y143&amp;"|"&amp;8,Tasks!$Z$2:$Z$1500,0))),""))</f>
        <v/>
      </c>
    </row>
    <row r="153" spans="1:28" ht="14.5" x14ac:dyDescent="0.35">
      <c r="A153" s="2"/>
      <c r="B153" s="2"/>
      <c r="C153" s="2"/>
      <c r="D153" s="3" t="str">
        <f>IF(COUNTIFS(Tasks!$V$2:$V$1500,Y153)=0,"",COUNTIFS(Tasks!$V$2:$V$1500,Y153))</f>
        <v/>
      </c>
      <c r="E153" s="13"/>
      <c r="F153" s="13"/>
      <c r="G153" s="2"/>
      <c r="H153" s="14" t="str">
        <f ca="1">IF(OR(E153="",F153=""),"",IF(E153=F153,IF(TODAY()&gt;=E153,1,0),MAX(0,MIN(1,(TODAY()-E153)/(F153-E153)))))</f>
        <v/>
      </c>
      <c r="I153" s="6"/>
      <c r="J153" s="15"/>
      <c r="AA153">
        <f ca="1">IF(TODAY()&lt;E153,E153-TODAY(),F153-TODAY())</f>
        <v>-46311</v>
      </c>
      <c r="AB153" t="str">
        <f ca="1">IF(AND(OR(G153="Planned",G153="Active"),ABS(AA153)&lt;=7),AA153+Y153/1000000,"")</f>
        <v/>
      </c>
    </row>
    <row r="154" spans="1:28" ht="15" hidden="1" x14ac:dyDescent="0.4">
      <c r="C154" s="16" t="s">
        <v>40</v>
      </c>
      <c r="D154" s="17" t="s">
        <v>41</v>
      </c>
      <c r="E154" s="17" t="s">
        <v>15</v>
      </c>
      <c r="F154" s="17" t="s">
        <v>16</v>
      </c>
      <c r="G154" s="17" t="s">
        <v>18</v>
      </c>
    </row>
    <row r="155" spans="1:28" ht="17" hidden="1" x14ac:dyDescent="0.5">
      <c r="C155" s="18" t="str">
        <f>IFERROR(INDEX(Tasks!$E$2:$E$1500,MATCH($Y153&amp;"|"&amp;1,Tasks!$Z$2:$Z$1500,0)),"")</f>
        <v/>
      </c>
      <c r="D155" s="19" t="str">
        <f>IFERROR(INDEX(Tasks!$F$2:$F$1500,MATCH($Y153&amp;"|"&amp;1,Tasks!$Z$2:$Z$1500,0)),"")</f>
        <v/>
      </c>
      <c r="E155" s="20" t="str">
        <f>IFERROR(IF(INDEX(Tasks!$K$2:$K$1500,MATCH($Y153&amp;"|"&amp;1,Tasks!$Z$2:$Z$1500,0))=0,"",INDEX(Tasks!$K$2:$K$1500,MATCH($Y153&amp;"|"&amp;1,Tasks!$Z$2:$Z$1500,0))),"")</f>
        <v/>
      </c>
      <c r="F155" s="19" t="str">
        <f>IFERROR(IF(INDEX(Tasks!$L$2:$L$1500,MATCH($Y153&amp;"|"&amp;1,Tasks!$Z$2:$Z$1500,0))=0,"",INDEX(Tasks!$L$2:$L$1500,MATCH($Y153&amp;"|"&amp;1,Tasks!$Z$2:$Z$1500,0))),"")</f>
        <v/>
      </c>
      <c r="G155" s="21" t="str">
        <f>IFERROR(IF(INDEX(Tasks!$P$2:$P$1500,MATCH($Y153&amp;"|"&amp;1,Tasks!$Z$2:$Z$1500,0))=0,"",INDEX(Tasks!$P$2:$P$1500,MATCH($Y153&amp;"|"&amp;1,Tasks!$Z$2:$Z$1500,0))),"")</f>
        <v/>
      </c>
    </row>
    <row r="156" spans="1:28" ht="17" hidden="1" x14ac:dyDescent="0.5">
      <c r="C156" s="18" t="str">
        <f>IFERROR(INDEX(Tasks!$E$2:$E$1500,MATCH($Y153&amp;"|"&amp;2,Tasks!$Z$2:$Z$1500,0)),"")</f>
        <v/>
      </c>
      <c r="D156" s="19" t="str">
        <f>IFERROR(INDEX(Tasks!$F$2:$F$1500,MATCH($Y153&amp;"|"&amp;2,Tasks!$Z$2:$Z$1500,0)),"")</f>
        <v/>
      </c>
      <c r="E156" s="20" t="str">
        <f>IFERROR(IF(INDEX(Tasks!$K$2:$K$1500,MATCH($Y153&amp;"|"&amp;2,Tasks!$Z$2:$Z$1500,0))=0,"",INDEX(Tasks!$K$2:$K$1500,MATCH($Y153&amp;"|"&amp;2,Tasks!$Z$2:$Z$1500,0))),"")</f>
        <v/>
      </c>
      <c r="F156" s="19" t="str">
        <f>IFERROR(IF(INDEX(Tasks!$L$2:$L$1500,MATCH($Y153&amp;"|"&amp;2,Tasks!$Z$2:$Z$1500,0))=0,"",INDEX(Tasks!$L$2:$L$1500,MATCH($Y153&amp;"|"&amp;2,Tasks!$Z$2:$Z$1500,0))),"")</f>
        <v/>
      </c>
      <c r="G156" s="21" t="str">
        <f>IFERROR(IF(INDEX(Tasks!$P$2:$P$1500,MATCH($Y153&amp;"|"&amp;2,Tasks!$Z$2:$Z$1500,0))=0,"",INDEX(Tasks!$P$2:$P$1500,MATCH($Y153&amp;"|"&amp;2,Tasks!$Z$2:$Z$1500,0))),"")</f>
        <v/>
      </c>
    </row>
    <row r="157" spans="1:28" ht="17" hidden="1" x14ac:dyDescent="0.5">
      <c r="C157" s="18" t="str">
        <f>IFERROR(INDEX(Tasks!$E$2:$E$1500,MATCH($Y153&amp;"|"&amp;3,Tasks!$Z$2:$Z$1500,0)),"")</f>
        <v/>
      </c>
      <c r="D157" s="19" t="str">
        <f>IFERROR(INDEX(Tasks!$F$2:$F$1500,MATCH($Y153&amp;"|"&amp;3,Tasks!$Z$2:$Z$1500,0)),"")</f>
        <v/>
      </c>
      <c r="E157" s="20" t="str">
        <f>IFERROR(IF(INDEX(Tasks!$K$2:$K$1500,MATCH($Y153&amp;"|"&amp;3,Tasks!$Z$2:$Z$1500,0))=0,"",INDEX(Tasks!$K$2:$K$1500,MATCH($Y153&amp;"|"&amp;3,Tasks!$Z$2:$Z$1500,0))),"")</f>
        <v/>
      </c>
      <c r="F157" s="19" t="str">
        <f>IFERROR(IF(INDEX(Tasks!$L$2:$L$1500,MATCH($Y153&amp;"|"&amp;3,Tasks!$Z$2:$Z$1500,0))=0,"",INDEX(Tasks!$L$2:$L$1500,MATCH($Y153&amp;"|"&amp;3,Tasks!$Z$2:$Z$1500,0))),"")</f>
        <v/>
      </c>
      <c r="G157" s="21" t="str">
        <f>IFERROR(IF(INDEX(Tasks!$P$2:$P$1500,MATCH($Y153&amp;"|"&amp;3,Tasks!$Z$2:$Z$1500,0))=0,"",INDEX(Tasks!$P$2:$P$1500,MATCH($Y153&amp;"|"&amp;3,Tasks!$Z$2:$Z$1500,0))),"")</f>
        <v/>
      </c>
    </row>
    <row r="158" spans="1:28" ht="17" hidden="1" x14ac:dyDescent="0.5">
      <c r="C158" s="18" t="str">
        <f>IFERROR(INDEX(Tasks!$E$2:$E$1500,MATCH($Y153&amp;"|"&amp;4,Tasks!$Z$2:$Z$1500,0)),"")</f>
        <v/>
      </c>
      <c r="D158" s="19" t="str">
        <f>IFERROR(INDEX(Tasks!$F$2:$F$1500,MATCH($Y153&amp;"|"&amp;4,Tasks!$Z$2:$Z$1500,0)),"")</f>
        <v/>
      </c>
      <c r="E158" s="20" t="str">
        <f>IFERROR(IF(INDEX(Tasks!$K$2:$K$1500,MATCH($Y153&amp;"|"&amp;4,Tasks!$Z$2:$Z$1500,0))=0,"",INDEX(Tasks!$K$2:$K$1500,MATCH($Y153&amp;"|"&amp;4,Tasks!$Z$2:$Z$1500,0))),"")</f>
        <v/>
      </c>
      <c r="F158" s="19" t="str">
        <f>IFERROR(IF(INDEX(Tasks!$L$2:$L$1500,MATCH($Y153&amp;"|"&amp;4,Tasks!$Z$2:$Z$1500,0))=0,"",INDEX(Tasks!$L$2:$L$1500,MATCH($Y153&amp;"|"&amp;4,Tasks!$Z$2:$Z$1500,0))),"")</f>
        <v/>
      </c>
      <c r="G158" s="21" t="str">
        <f>IFERROR(IF(INDEX(Tasks!$P$2:$P$1500,MATCH($Y153&amp;"|"&amp;4,Tasks!$Z$2:$Z$1500,0))=0,"",INDEX(Tasks!$P$2:$P$1500,MATCH($Y153&amp;"|"&amp;4,Tasks!$Z$2:$Z$1500,0))),"")</f>
        <v/>
      </c>
    </row>
    <row r="159" spans="1:28" ht="17" hidden="1" x14ac:dyDescent="0.5">
      <c r="C159" s="18" t="str">
        <f>IFERROR(INDEX(Tasks!$E$2:$E$1500,MATCH($Y153&amp;"|"&amp;5,Tasks!$Z$2:$Z$1500,0)),"")</f>
        <v/>
      </c>
      <c r="D159" s="19" t="str">
        <f>IFERROR(INDEX(Tasks!$F$2:$F$1500,MATCH($Y153&amp;"|"&amp;5,Tasks!$Z$2:$Z$1500,0)),"")</f>
        <v/>
      </c>
      <c r="E159" s="20" t="str">
        <f>IFERROR(IF(INDEX(Tasks!$K$2:$K$1500,MATCH($Y153&amp;"|"&amp;5,Tasks!$Z$2:$Z$1500,0))=0,"",INDEX(Tasks!$K$2:$K$1500,MATCH($Y153&amp;"|"&amp;5,Tasks!$Z$2:$Z$1500,0))),"")</f>
        <v/>
      </c>
      <c r="F159" s="19" t="str">
        <f>IFERROR(IF(INDEX(Tasks!$L$2:$L$1500,MATCH($Y153&amp;"|"&amp;5,Tasks!$Z$2:$Z$1500,0))=0,"",INDEX(Tasks!$L$2:$L$1500,MATCH($Y153&amp;"|"&amp;5,Tasks!$Z$2:$Z$1500,0))),"")</f>
        <v/>
      </c>
      <c r="G159" s="21" t="str">
        <f>IFERROR(IF(INDEX(Tasks!$P$2:$P$1500,MATCH($Y153&amp;"|"&amp;5,Tasks!$Z$2:$Z$1500,0))=0,"",INDEX(Tasks!$P$2:$P$1500,MATCH($Y153&amp;"|"&amp;5,Tasks!$Z$2:$Z$1500,0))),"")</f>
        <v/>
      </c>
    </row>
    <row r="160" spans="1:28" ht="17" hidden="1" x14ac:dyDescent="0.5">
      <c r="C160" s="18" t="str">
        <f>IFERROR(INDEX(Tasks!$E$2:$E$1500,MATCH($Y153&amp;"|"&amp;6,Tasks!$Z$2:$Z$1500,0)),"")</f>
        <v/>
      </c>
      <c r="D160" s="19" t="str">
        <f>IFERROR(INDEX(Tasks!$F$2:$F$1500,MATCH($Y153&amp;"|"&amp;6,Tasks!$Z$2:$Z$1500,0)),"")</f>
        <v/>
      </c>
      <c r="E160" s="20" t="str">
        <f>IFERROR(IF(INDEX(Tasks!$K$2:$K$1500,MATCH($Y153&amp;"|"&amp;6,Tasks!$Z$2:$Z$1500,0))=0,"",INDEX(Tasks!$K$2:$K$1500,MATCH($Y153&amp;"|"&amp;6,Tasks!$Z$2:$Z$1500,0))),"")</f>
        <v/>
      </c>
      <c r="F160" s="19" t="str">
        <f>IFERROR(IF(INDEX(Tasks!$L$2:$L$1500,MATCH($Y153&amp;"|"&amp;6,Tasks!$Z$2:$Z$1500,0))=0,"",INDEX(Tasks!$L$2:$L$1500,MATCH($Y153&amp;"|"&amp;6,Tasks!$Z$2:$Z$1500,0))),"")</f>
        <v/>
      </c>
      <c r="G160" s="21" t="str">
        <f>IFERROR(IF(INDEX(Tasks!$P$2:$P$1500,MATCH($Y153&amp;"|"&amp;6,Tasks!$Z$2:$Z$1500,0))=0,"",INDEX(Tasks!$P$2:$P$1500,MATCH($Y153&amp;"|"&amp;6,Tasks!$Z$2:$Z$1500,0))),"")</f>
        <v/>
      </c>
    </row>
    <row r="161" spans="1:28" ht="17" hidden="1" x14ac:dyDescent="0.5">
      <c r="C161" s="18" t="str">
        <f>IFERROR(INDEX(Tasks!$E$2:$E$1500,MATCH($Y153&amp;"|"&amp;7,Tasks!$Z$2:$Z$1500,0)),"")</f>
        <v/>
      </c>
      <c r="D161" s="19" t="str">
        <f>IFERROR(INDEX(Tasks!$F$2:$F$1500,MATCH($Y153&amp;"|"&amp;7,Tasks!$Z$2:$Z$1500,0)),"")</f>
        <v/>
      </c>
      <c r="E161" s="20" t="str">
        <f>IFERROR(IF(INDEX(Tasks!$K$2:$K$1500,MATCH($Y153&amp;"|"&amp;7,Tasks!$Z$2:$Z$1500,0))=0,"",INDEX(Tasks!$K$2:$K$1500,MATCH($Y153&amp;"|"&amp;7,Tasks!$Z$2:$Z$1500,0))),"")</f>
        <v/>
      </c>
      <c r="F161" s="19" t="str">
        <f>IFERROR(IF(INDEX(Tasks!$L$2:$L$1500,MATCH($Y153&amp;"|"&amp;7,Tasks!$Z$2:$Z$1500,0))=0,"",INDEX(Tasks!$L$2:$L$1500,MATCH($Y153&amp;"|"&amp;7,Tasks!$Z$2:$Z$1500,0))),"")</f>
        <v/>
      </c>
      <c r="G161" s="21" t="str">
        <f>IFERROR(IF(INDEX(Tasks!$P$2:$P$1500,MATCH($Y153&amp;"|"&amp;7,Tasks!$Z$2:$Z$1500,0))=0,"",INDEX(Tasks!$P$2:$P$1500,MATCH($Y153&amp;"|"&amp;7,Tasks!$Z$2:$Z$1500,0))),"")</f>
        <v/>
      </c>
    </row>
    <row r="162" spans="1:28" ht="17" hidden="1" x14ac:dyDescent="0.5">
      <c r="C162" s="18" t="str">
        <f>IF(N($D153)&gt;8,"+ "&amp;(N($D153)-7)&amp;" more — see Tasks",IFERROR(INDEX(Tasks!$E$2:$E$1500,MATCH($Y153&amp;"|"&amp;8,Tasks!$Z$2:$Z$1500,0)),""))</f>
        <v/>
      </c>
      <c r="D162" s="19" t="str">
        <f>IF(N($D153)&gt;8,"",IFERROR(INDEX(Tasks!$F$2:$F$1500,MATCH($Y153&amp;"|"&amp;8,Tasks!$Z$2:$Z$1500,0)),""))</f>
        <v/>
      </c>
      <c r="E162" s="20" t="str">
        <f>IF(N($D153)&gt;8,"",IFERROR(IF(INDEX(Tasks!$K$2:$K$1500,MATCH($Y153&amp;"|"&amp;8,Tasks!$Z$2:$Z$1500,0))=0,"",INDEX(Tasks!$K$2:$K$1500,MATCH($Y153&amp;"|"&amp;8,Tasks!$Z$2:$Z$1500,0))),""))</f>
        <v/>
      </c>
      <c r="F162" s="19" t="str">
        <f>IF(N($D153)&gt;8,"",IFERROR(IF(INDEX(Tasks!$L$2:$L$1500,MATCH($Y153&amp;"|"&amp;8,Tasks!$Z$2:$Z$1500,0))=0,"",INDEX(Tasks!$L$2:$L$1500,MATCH($Y153&amp;"|"&amp;8,Tasks!$Z$2:$Z$1500,0))),""))</f>
        <v/>
      </c>
      <c r="G162" s="21" t="str">
        <f>IF(N($D153)&gt;8,"",IFERROR(IF(INDEX(Tasks!$P$2:$P$1500,MATCH($Y153&amp;"|"&amp;8,Tasks!$Z$2:$Z$1500,0))=0,"",INDEX(Tasks!$P$2:$P$1500,MATCH($Y153&amp;"|"&amp;8,Tasks!$Z$2:$Z$1500,0))),""))</f>
        <v/>
      </c>
    </row>
    <row r="163" spans="1:28" ht="14.5" x14ac:dyDescent="0.35">
      <c r="A163" s="2"/>
      <c r="B163" s="2"/>
      <c r="C163" s="2"/>
      <c r="D163" s="3" t="str">
        <f>IF(COUNTIFS(Tasks!$V$2:$V$1500,Y163)=0,"",COUNTIFS(Tasks!$V$2:$V$1500,Y163))</f>
        <v/>
      </c>
      <c r="E163" s="13"/>
      <c r="F163" s="13"/>
      <c r="G163" s="2"/>
      <c r="H163" s="14" t="str">
        <f ca="1">IF(OR(E163="",F163=""),"",IF(E163=F163,IF(TODAY()&gt;=E163,1,0),MAX(0,MIN(1,(TODAY()-E163)/(F163-E163)))))</f>
        <v/>
      </c>
      <c r="I163" s="6"/>
      <c r="J163" s="15"/>
      <c r="AA163">
        <f ca="1">IF(TODAY()&lt;E163,E163-TODAY(),F163-TODAY())</f>
        <v>-46311</v>
      </c>
      <c r="AB163" t="str">
        <f ca="1">IF(AND(OR(G163="Planned",G163="Active"),ABS(AA163)&lt;=7),AA163+Y163/1000000,"")</f>
        <v/>
      </c>
    </row>
    <row r="164" spans="1:28" ht="15" hidden="1" x14ac:dyDescent="0.4">
      <c r="C164" s="16" t="s">
        <v>40</v>
      </c>
      <c r="D164" s="17" t="s">
        <v>41</v>
      </c>
      <c r="E164" s="17" t="s">
        <v>15</v>
      </c>
      <c r="F164" s="17" t="s">
        <v>16</v>
      </c>
      <c r="G164" s="17" t="s">
        <v>18</v>
      </c>
    </row>
    <row r="165" spans="1:28" ht="17" hidden="1" x14ac:dyDescent="0.5">
      <c r="C165" s="18" t="str">
        <f>IFERROR(INDEX(Tasks!$E$2:$E$1500,MATCH($Y163&amp;"|"&amp;1,Tasks!$Z$2:$Z$1500,0)),"")</f>
        <v/>
      </c>
      <c r="D165" s="19" t="str">
        <f>IFERROR(INDEX(Tasks!$F$2:$F$1500,MATCH($Y163&amp;"|"&amp;1,Tasks!$Z$2:$Z$1500,0)),"")</f>
        <v/>
      </c>
      <c r="E165" s="20" t="str">
        <f>IFERROR(IF(INDEX(Tasks!$K$2:$K$1500,MATCH($Y163&amp;"|"&amp;1,Tasks!$Z$2:$Z$1500,0))=0,"",INDEX(Tasks!$K$2:$K$1500,MATCH($Y163&amp;"|"&amp;1,Tasks!$Z$2:$Z$1500,0))),"")</f>
        <v/>
      </c>
      <c r="F165" s="19" t="str">
        <f>IFERROR(IF(INDEX(Tasks!$L$2:$L$1500,MATCH($Y163&amp;"|"&amp;1,Tasks!$Z$2:$Z$1500,0))=0,"",INDEX(Tasks!$L$2:$L$1500,MATCH($Y163&amp;"|"&amp;1,Tasks!$Z$2:$Z$1500,0))),"")</f>
        <v/>
      </c>
      <c r="G165" s="21" t="str">
        <f>IFERROR(IF(INDEX(Tasks!$P$2:$P$1500,MATCH($Y163&amp;"|"&amp;1,Tasks!$Z$2:$Z$1500,0))=0,"",INDEX(Tasks!$P$2:$P$1500,MATCH($Y163&amp;"|"&amp;1,Tasks!$Z$2:$Z$1500,0))),"")</f>
        <v/>
      </c>
    </row>
    <row r="166" spans="1:28" ht="17" hidden="1" x14ac:dyDescent="0.5">
      <c r="C166" s="18" t="str">
        <f>IFERROR(INDEX(Tasks!$E$2:$E$1500,MATCH($Y163&amp;"|"&amp;2,Tasks!$Z$2:$Z$1500,0)),"")</f>
        <v/>
      </c>
      <c r="D166" s="19" t="str">
        <f>IFERROR(INDEX(Tasks!$F$2:$F$1500,MATCH($Y163&amp;"|"&amp;2,Tasks!$Z$2:$Z$1500,0)),"")</f>
        <v/>
      </c>
      <c r="E166" s="20" t="str">
        <f>IFERROR(IF(INDEX(Tasks!$K$2:$K$1500,MATCH($Y163&amp;"|"&amp;2,Tasks!$Z$2:$Z$1500,0))=0,"",INDEX(Tasks!$K$2:$K$1500,MATCH($Y163&amp;"|"&amp;2,Tasks!$Z$2:$Z$1500,0))),"")</f>
        <v/>
      </c>
      <c r="F166" s="19" t="str">
        <f>IFERROR(IF(INDEX(Tasks!$L$2:$L$1500,MATCH($Y163&amp;"|"&amp;2,Tasks!$Z$2:$Z$1500,0))=0,"",INDEX(Tasks!$L$2:$L$1500,MATCH($Y163&amp;"|"&amp;2,Tasks!$Z$2:$Z$1500,0))),"")</f>
        <v/>
      </c>
      <c r="G166" s="21" t="str">
        <f>IFERROR(IF(INDEX(Tasks!$P$2:$P$1500,MATCH($Y163&amp;"|"&amp;2,Tasks!$Z$2:$Z$1500,0))=0,"",INDEX(Tasks!$P$2:$P$1500,MATCH($Y163&amp;"|"&amp;2,Tasks!$Z$2:$Z$1500,0))),"")</f>
        <v/>
      </c>
    </row>
    <row r="167" spans="1:28" ht="17" hidden="1" x14ac:dyDescent="0.5">
      <c r="C167" s="18" t="str">
        <f>IFERROR(INDEX(Tasks!$E$2:$E$1500,MATCH($Y163&amp;"|"&amp;3,Tasks!$Z$2:$Z$1500,0)),"")</f>
        <v/>
      </c>
      <c r="D167" s="19" t="str">
        <f>IFERROR(INDEX(Tasks!$F$2:$F$1500,MATCH($Y163&amp;"|"&amp;3,Tasks!$Z$2:$Z$1500,0)),"")</f>
        <v/>
      </c>
      <c r="E167" s="20" t="str">
        <f>IFERROR(IF(INDEX(Tasks!$K$2:$K$1500,MATCH($Y163&amp;"|"&amp;3,Tasks!$Z$2:$Z$1500,0))=0,"",INDEX(Tasks!$K$2:$K$1500,MATCH($Y163&amp;"|"&amp;3,Tasks!$Z$2:$Z$1500,0))),"")</f>
        <v/>
      </c>
      <c r="F167" s="19" t="str">
        <f>IFERROR(IF(INDEX(Tasks!$L$2:$L$1500,MATCH($Y163&amp;"|"&amp;3,Tasks!$Z$2:$Z$1500,0))=0,"",INDEX(Tasks!$L$2:$L$1500,MATCH($Y163&amp;"|"&amp;3,Tasks!$Z$2:$Z$1500,0))),"")</f>
        <v/>
      </c>
      <c r="G167" s="21" t="str">
        <f>IFERROR(IF(INDEX(Tasks!$P$2:$P$1500,MATCH($Y163&amp;"|"&amp;3,Tasks!$Z$2:$Z$1500,0))=0,"",INDEX(Tasks!$P$2:$P$1500,MATCH($Y163&amp;"|"&amp;3,Tasks!$Z$2:$Z$1500,0))),"")</f>
        <v/>
      </c>
    </row>
    <row r="168" spans="1:28" ht="17" hidden="1" x14ac:dyDescent="0.5">
      <c r="C168" s="18" t="str">
        <f>IFERROR(INDEX(Tasks!$E$2:$E$1500,MATCH($Y163&amp;"|"&amp;4,Tasks!$Z$2:$Z$1500,0)),"")</f>
        <v/>
      </c>
      <c r="D168" s="19" t="str">
        <f>IFERROR(INDEX(Tasks!$F$2:$F$1500,MATCH($Y163&amp;"|"&amp;4,Tasks!$Z$2:$Z$1500,0)),"")</f>
        <v/>
      </c>
      <c r="E168" s="20" t="str">
        <f>IFERROR(IF(INDEX(Tasks!$K$2:$K$1500,MATCH($Y163&amp;"|"&amp;4,Tasks!$Z$2:$Z$1500,0))=0,"",INDEX(Tasks!$K$2:$K$1500,MATCH($Y163&amp;"|"&amp;4,Tasks!$Z$2:$Z$1500,0))),"")</f>
        <v/>
      </c>
      <c r="F168" s="19" t="str">
        <f>IFERROR(IF(INDEX(Tasks!$L$2:$L$1500,MATCH($Y163&amp;"|"&amp;4,Tasks!$Z$2:$Z$1500,0))=0,"",INDEX(Tasks!$L$2:$L$1500,MATCH($Y163&amp;"|"&amp;4,Tasks!$Z$2:$Z$1500,0))),"")</f>
        <v/>
      </c>
      <c r="G168" s="21" t="str">
        <f>IFERROR(IF(INDEX(Tasks!$P$2:$P$1500,MATCH($Y163&amp;"|"&amp;4,Tasks!$Z$2:$Z$1500,0))=0,"",INDEX(Tasks!$P$2:$P$1500,MATCH($Y163&amp;"|"&amp;4,Tasks!$Z$2:$Z$1500,0))),"")</f>
        <v/>
      </c>
    </row>
    <row r="169" spans="1:28" ht="17" hidden="1" x14ac:dyDescent="0.5">
      <c r="C169" s="18" t="str">
        <f>IFERROR(INDEX(Tasks!$E$2:$E$1500,MATCH($Y163&amp;"|"&amp;5,Tasks!$Z$2:$Z$1500,0)),"")</f>
        <v/>
      </c>
      <c r="D169" s="19" t="str">
        <f>IFERROR(INDEX(Tasks!$F$2:$F$1500,MATCH($Y163&amp;"|"&amp;5,Tasks!$Z$2:$Z$1500,0)),"")</f>
        <v/>
      </c>
      <c r="E169" s="20" t="str">
        <f>IFERROR(IF(INDEX(Tasks!$K$2:$K$1500,MATCH($Y163&amp;"|"&amp;5,Tasks!$Z$2:$Z$1500,0))=0,"",INDEX(Tasks!$K$2:$K$1500,MATCH($Y163&amp;"|"&amp;5,Tasks!$Z$2:$Z$1500,0))),"")</f>
        <v/>
      </c>
      <c r="F169" s="19" t="str">
        <f>IFERROR(IF(INDEX(Tasks!$L$2:$L$1500,MATCH($Y163&amp;"|"&amp;5,Tasks!$Z$2:$Z$1500,0))=0,"",INDEX(Tasks!$L$2:$L$1500,MATCH($Y163&amp;"|"&amp;5,Tasks!$Z$2:$Z$1500,0))),"")</f>
        <v/>
      </c>
      <c r="G169" s="21" t="str">
        <f>IFERROR(IF(INDEX(Tasks!$P$2:$P$1500,MATCH($Y163&amp;"|"&amp;5,Tasks!$Z$2:$Z$1500,0))=0,"",INDEX(Tasks!$P$2:$P$1500,MATCH($Y163&amp;"|"&amp;5,Tasks!$Z$2:$Z$1500,0))),"")</f>
        <v/>
      </c>
    </row>
    <row r="170" spans="1:28" ht="17" hidden="1" x14ac:dyDescent="0.5">
      <c r="C170" s="18" t="str">
        <f>IFERROR(INDEX(Tasks!$E$2:$E$1500,MATCH($Y163&amp;"|"&amp;6,Tasks!$Z$2:$Z$1500,0)),"")</f>
        <v/>
      </c>
      <c r="D170" s="19" t="str">
        <f>IFERROR(INDEX(Tasks!$F$2:$F$1500,MATCH($Y163&amp;"|"&amp;6,Tasks!$Z$2:$Z$1500,0)),"")</f>
        <v/>
      </c>
      <c r="E170" s="20" t="str">
        <f>IFERROR(IF(INDEX(Tasks!$K$2:$K$1500,MATCH($Y163&amp;"|"&amp;6,Tasks!$Z$2:$Z$1500,0))=0,"",INDEX(Tasks!$K$2:$K$1500,MATCH($Y163&amp;"|"&amp;6,Tasks!$Z$2:$Z$1500,0))),"")</f>
        <v/>
      </c>
      <c r="F170" s="19" t="str">
        <f>IFERROR(IF(INDEX(Tasks!$L$2:$L$1500,MATCH($Y163&amp;"|"&amp;6,Tasks!$Z$2:$Z$1500,0))=0,"",INDEX(Tasks!$L$2:$L$1500,MATCH($Y163&amp;"|"&amp;6,Tasks!$Z$2:$Z$1500,0))),"")</f>
        <v/>
      </c>
      <c r="G170" s="21" t="str">
        <f>IFERROR(IF(INDEX(Tasks!$P$2:$P$1500,MATCH($Y163&amp;"|"&amp;6,Tasks!$Z$2:$Z$1500,0))=0,"",INDEX(Tasks!$P$2:$P$1500,MATCH($Y163&amp;"|"&amp;6,Tasks!$Z$2:$Z$1500,0))),"")</f>
        <v/>
      </c>
    </row>
    <row r="171" spans="1:28" ht="17" hidden="1" x14ac:dyDescent="0.5">
      <c r="C171" s="18" t="str">
        <f>IFERROR(INDEX(Tasks!$E$2:$E$1500,MATCH($Y163&amp;"|"&amp;7,Tasks!$Z$2:$Z$1500,0)),"")</f>
        <v/>
      </c>
      <c r="D171" s="19" t="str">
        <f>IFERROR(INDEX(Tasks!$F$2:$F$1500,MATCH($Y163&amp;"|"&amp;7,Tasks!$Z$2:$Z$1500,0)),"")</f>
        <v/>
      </c>
      <c r="E171" s="20" t="str">
        <f>IFERROR(IF(INDEX(Tasks!$K$2:$K$1500,MATCH($Y163&amp;"|"&amp;7,Tasks!$Z$2:$Z$1500,0))=0,"",INDEX(Tasks!$K$2:$K$1500,MATCH($Y163&amp;"|"&amp;7,Tasks!$Z$2:$Z$1500,0))),"")</f>
        <v/>
      </c>
      <c r="F171" s="19" t="str">
        <f>IFERROR(IF(INDEX(Tasks!$L$2:$L$1500,MATCH($Y163&amp;"|"&amp;7,Tasks!$Z$2:$Z$1500,0))=0,"",INDEX(Tasks!$L$2:$L$1500,MATCH($Y163&amp;"|"&amp;7,Tasks!$Z$2:$Z$1500,0))),"")</f>
        <v/>
      </c>
      <c r="G171" s="21" t="str">
        <f>IFERROR(IF(INDEX(Tasks!$P$2:$P$1500,MATCH($Y163&amp;"|"&amp;7,Tasks!$Z$2:$Z$1500,0))=0,"",INDEX(Tasks!$P$2:$P$1500,MATCH($Y163&amp;"|"&amp;7,Tasks!$Z$2:$Z$1500,0))),"")</f>
        <v/>
      </c>
    </row>
    <row r="172" spans="1:28" ht="17" hidden="1" x14ac:dyDescent="0.5">
      <c r="C172" s="18" t="str">
        <f>IF(N($D163)&gt;8,"+ "&amp;(N($D163)-7)&amp;" more — see Tasks",IFERROR(INDEX(Tasks!$E$2:$E$1500,MATCH($Y163&amp;"|"&amp;8,Tasks!$Z$2:$Z$1500,0)),""))</f>
        <v/>
      </c>
      <c r="D172" s="19" t="str">
        <f>IF(N($D163)&gt;8,"",IFERROR(INDEX(Tasks!$F$2:$F$1500,MATCH($Y163&amp;"|"&amp;8,Tasks!$Z$2:$Z$1500,0)),""))</f>
        <v/>
      </c>
      <c r="E172" s="20" t="str">
        <f>IF(N($D163)&gt;8,"",IFERROR(IF(INDEX(Tasks!$K$2:$K$1500,MATCH($Y163&amp;"|"&amp;8,Tasks!$Z$2:$Z$1500,0))=0,"",INDEX(Tasks!$K$2:$K$1500,MATCH($Y163&amp;"|"&amp;8,Tasks!$Z$2:$Z$1500,0))),""))</f>
        <v/>
      </c>
      <c r="F172" s="19" t="str">
        <f>IF(N($D163)&gt;8,"",IFERROR(IF(INDEX(Tasks!$L$2:$L$1500,MATCH($Y163&amp;"|"&amp;8,Tasks!$Z$2:$Z$1500,0))=0,"",INDEX(Tasks!$L$2:$L$1500,MATCH($Y163&amp;"|"&amp;8,Tasks!$Z$2:$Z$1500,0))),""))</f>
        <v/>
      </c>
      <c r="G172" s="21" t="str">
        <f>IF(N($D163)&gt;8,"",IFERROR(IF(INDEX(Tasks!$P$2:$P$1500,MATCH($Y163&amp;"|"&amp;8,Tasks!$Z$2:$Z$1500,0))=0,"",INDEX(Tasks!$P$2:$P$1500,MATCH($Y163&amp;"|"&amp;8,Tasks!$Z$2:$Z$1500,0))),""))</f>
        <v/>
      </c>
    </row>
    <row r="173" spans="1:28" ht="14.5" x14ac:dyDescent="0.35">
      <c r="A173" s="2"/>
      <c r="B173" s="2"/>
      <c r="C173" s="2"/>
      <c r="D173" s="3" t="str">
        <f>IF(COUNTIFS(Tasks!$V$2:$V$1500,Y173)=0,"",COUNTIFS(Tasks!$V$2:$V$1500,Y173))</f>
        <v/>
      </c>
      <c r="E173" s="13"/>
      <c r="F173" s="13"/>
      <c r="G173" s="2"/>
      <c r="H173" s="14" t="str">
        <f ca="1">IF(OR(E173="",F173=""),"",IF(E173=F173,IF(TODAY()&gt;=E173,1,0),MAX(0,MIN(1,(TODAY()-E173)/(F173-E173)))))</f>
        <v/>
      </c>
      <c r="I173" s="6"/>
      <c r="J173" s="15"/>
      <c r="AA173">
        <f ca="1">IF(TODAY()&lt;E173,E173-TODAY(),F173-TODAY())</f>
        <v>-46311</v>
      </c>
      <c r="AB173" t="str">
        <f ca="1">IF(AND(OR(G173="Planned",G173="Active"),ABS(AA173)&lt;=7),AA173+Y173/1000000,"")</f>
        <v/>
      </c>
    </row>
    <row r="174" spans="1:28" ht="15" hidden="1" x14ac:dyDescent="0.4">
      <c r="C174" s="16" t="s">
        <v>40</v>
      </c>
      <c r="D174" s="17" t="s">
        <v>41</v>
      </c>
      <c r="E174" s="17" t="s">
        <v>15</v>
      </c>
      <c r="F174" s="17" t="s">
        <v>16</v>
      </c>
      <c r="G174" s="17" t="s">
        <v>18</v>
      </c>
    </row>
    <row r="175" spans="1:28" ht="17" hidden="1" x14ac:dyDescent="0.5">
      <c r="C175" s="18" t="str">
        <f>IFERROR(INDEX(Tasks!$E$2:$E$1500,MATCH($Y173&amp;"|"&amp;1,Tasks!$Z$2:$Z$1500,0)),"")</f>
        <v/>
      </c>
      <c r="D175" s="19" t="str">
        <f>IFERROR(INDEX(Tasks!$F$2:$F$1500,MATCH($Y173&amp;"|"&amp;1,Tasks!$Z$2:$Z$1500,0)),"")</f>
        <v/>
      </c>
      <c r="E175" s="20" t="str">
        <f>IFERROR(IF(INDEX(Tasks!$K$2:$K$1500,MATCH($Y173&amp;"|"&amp;1,Tasks!$Z$2:$Z$1500,0))=0,"",INDEX(Tasks!$K$2:$K$1500,MATCH($Y173&amp;"|"&amp;1,Tasks!$Z$2:$Z$1500,0))),"")</f>
        <v/>
      </c>
      <c r="F175" s="19" t="str">
        <f>IFERROR(IF(INDEX(Tasks!$L$2:$L$1500,MATCH($Y173&amp;"|"&amp;1,Tasks!$Z$2:$Z$1500,0))=0,"",INDEX(Tasks!$L$2:$L$1500,MATCH($Y173&amp;"|"&amp;1,Tasks!$Z$2:$Z$1500,0))),"")</f>
        <v/>
      </c>
      <c r="G175" s="21" t="str">
        <f>IFERROR(IF(INDEX(Tasks!$P$2:$P$1500,MATCH($Y173&amp;"|"&amp;1,Tasks!$Z$2:$Z$1500,0))=0,"",INDEX(Tasks!$P$2:$P$1500,MATCH($Y173&amp;"|"&amp;1,Tasks!$Z$2:$Z$1500,0))),"")</f>
        <v/>
      </c>
    </row>
    <row r="176" spans="1:28" ht="17" hidden="1" x14ac:dyDescent="0.5">
      <c r="C176" s="18" t="str">
        <f>IFERROR(INDEX(Tasks!$E$2:$E$1500,MATCH($Y173&amp;"|"&amp;2,Tasks!$Z$2:$Z$1500,0)),"")</f>
        <v/>
      </c>
      <c r="D176" s="19" t="str">
        <f>IFERROR(INDEX(Tasks!$F$2:$F$1500,MATCH($Y173&amp;"|"&amp;2,Tasks!$Z$2:$Z$1500,0)),"")</f>
        <v/>
      </c>
      <c r="E176" s="20" t="str">
        <f>IFERROR(IF(INDEX(Tasks!$K$2:$K$1500,MATCH($Y173&amp;"|"&amp;2,Tasks!$Z$2:$Z$1500,0))=0,"",INDEX(Tasks!$K$2:$K$1500,MATCH($Y173&amp;"|"&amp;2,Tasks!$Z$2:$Z$1500,0))),"")</f>
        <v/>
      </c>
      <c r="F176" s="19" t="str">
        <f>IFERROR(IF(INDEX(Tasks!$L$2:$L$1500,MATCH($Y173&amp;"|"&amp;2,Tasks!$Z$2:$Z$1500,0))=0,"",INDEX(Tasks!$L$2:$L$1500,MATCH($Y173&amp;"|"&amp;2,Tasks!$Z$2:$Z$1500,0))),"")</f>
        <v/>
      </c>
      <c r="G176" s="21" t="str">
        <f>IFERROR(IF(INDEX(Tasks!$P$2:$P$1500,MATCH($Y173&amp;"|"&amp;2,Tasks!$Z$2:$Z$1500,0))=0,"",INDEX(Tasks!$P$2:$P$1500,MATCH($Y173&amp;"|"&amp;2,Tasks!$Z$2:$Z$1500,0))),"")</f>
        <v/>
      </c>
    </row>
    <row r="177" spans="1:28" ht="17" hidden="1" x14ac:dyDescent="0.5">
      <c r="C177" s="18" t="str">
        <f>IFERROR(INDEX(Tasks!$E$2:$E$1500,MATCH($Y173&amp;"|"&amp;3,Tasks!$Z$2:$Z$1500,0)),"")</f>
        <v/>
      </c>
      <c r="D177" s="19" t="str">
        <f>IFERROR(INDEX(Tasks!$F$2:$F$1500,MATCH($Y173&amp;"|"&amp;3,Tasks!$Z$2:$Z$1500,0)),"")</f>
        <v/>
      </c>
      <c r="E177" s="20" t="str">
        <f>IFERROR(IF(INDEX(Tasks!$K$2:$K$1500,MATCH($Y173&amp;"|"&amp;3,Tasks!$Z$2:$Z$1500,0))=0,"",INDEX(Tasks!$K$2:$K$1500,MATCH($Y173&amp;"|"&amp;3,Tasks!$Z$2:$Z$1500,0))),"")</f>
        <v/>
      </c>
      <c r="F177" s="19" t="str">
        <f>IFERROR(IF(INDEX(Tasks!$L$2:$L$1500,MATCH($Y173&amp;"|"&amp;3,Tasks!$Z$2:$Z$1500,0))=0,"",INDEX(Tasks!$L$2:$L$1500,MATCH($Y173&amp;"|"&amp;3,Tasks!$Z$2:$Z$1500,0))),"")</f>
        <v/>
      </c>
      <c r="G177" s="21" t="str">
        <f>IFERROR(IF(INDEX(Tasks!$P$2:$P$1500,MATCH($Y173&amp;"|"&amp;3,Tasks!$Z$2:$Z$1500,0))=0,"",INDEX(Tasks!$P$2:$P$1500,MATCH($Y173&amp;"|"&amp;3,Tasks!$Z$2:$Z$1500,0))),"")</f>
        <v/>
      </c>
    </row>
    <row r="178" spans="1:28" ht="17" hidden="1" x14ac:dyDescent="0.5">
      <c r="C178" s="18" t="str">
        <f>IFERROR(INDEX(Tasks!$E$2:$E$1500,MATCH($Y173&amp;"|"&amp;4,Tasks!$Z$2:$Z$1500,0)),"")</f>
        <v/>
      </c>
      <c r="D178" s="19" t="str">
        <f>IFERROR(INDEX(Tasks!$F$2:$F$1500,MATCH($Y173&amp;"|"&amp;4,Tasks!$Z$2:$Z$1500,0)),"")</f>
        <v/>
      </c>
      <c r="E178" s="20" t="str">
        <f>IFERROR(IF(INDEX(Tasks!$K$2:$K$1500,MATCH($Y173&amp;"|"&amp;4,Tasks!$Z$2:$Z$1500,0))=0,"",INDEX(Tasks!$K$2:$K$1500,MATCH($Y173&amp;"|"&amp;4,Tasks!$Z$2:$Z$1500,0))),"")</f>
        <v/>
      </c>
      <c r="F178" s="19" t="str">
        <f>IFERROR(IF(INDEX(Tasks!$L$2:$L$1500,MATCH($Y173&amp;"|"&amp;4,Tasks!$Z$2:$Z$1500,0))=0,"",INDEX(Tasks!$L$2:$L$1500,MATCH($Y173&amp;"|"&amp;4,Tasks!$Z$2:$Z$1500,0))),"")</f>
        <v/>
      </c>
      <c r="G178" s="21" t="str">
        <f>IFERROR(IF(INDEX(Tasks!$P$2:$P$1500,MATCH($Y173&amp;"|"&amp;4,Tasks!$Z$2:$Z$1500,0))=0,"",INDEX(Tasks!$P$2:$P$1500,MATCH($Y173&amp;"|"&amp;4,Tasks!$Z$2:$Z$1500,0))),"")</f>
        <v/>
      </c>
    </row>
    <row r="179" spans="1:28" ht="17" hidden="1" x14ac:dyDescent="0.5">
      <c r="C179" s="18" t="str">
        <f>IFERROR(INDEX(Tasks!$E$2:$E$1500,MATCH($Y173&amp;"|"&amp;5,Tasks!$Z$2:$Z$1500,0)),"")</f>
        <v/>
      </c>
      <c r="D179" s="19" t="str">
        <f>IFERROR(INDEX(Tasks!$F$2:$F$1500,MATCH($Y173&amp;"|"&amp;5,Tasks!$Z$2:$Z$1500,0)),"")</f>
        <v/>
      </c>
      <c r="E179" s="20" t="str">
        <f>IFERROR(IF(INDEX(Tasks!$K$2:$K$1500,MATCH($Y173&amp;"|"&amp;5,Tasks!$Z$2:$Z$1500,0))=0,"",INDEX(Tasks!$K$2:$K$1500,MATCH($Y173&amp;"|"&amp;5,Tasks!$Z$2:$Z$1500,0))),"")</f>
        <v/>
      </c>
      <c r="F179" s="19" t="str">
        <f>IFERROR(IF(INDEX(Tasks!$L$2:$L$1500,MATCH($Y173&amp;"|"&amp;5,Tasks!$Z$2:$Z$1500,0))=0,"",INDEX(Tasks!$L$2:$L$1500,MATCH($Y173&amp;"|"&amp;5,Tasks!$Z$2:$Z$1500,0))),"")</f>
        <v/>
      </c>
      <c r="G179" s="21" t="str">
        <f>IFERROR(IF(INDEX(Tasks!$P$2:$P$1500,MATCH($Y173&amp;"|"&amp;5,Tasks!$Z$2:$Z$1500,0))=0,"",INDEX(Tasks!$P$2:$P$1500,MATCH($Y173&amp;"|"&amp;5,Tasks!$Z$2:$Z$1500,0))),"")</f>
        <v/>
      </c>
    </row>
    <row r="180" spans="1:28" ht="17" hidden="1" x14ac:dyDescent="0.5">
      <c r="C180" s="18" t="str">
        <f>IFERROR(INDEX(Tasks!$E$2:$E$1500,MATCH($Y173&amp;"|"&amp;6,Tasks!$Z$2:$Z$1500,0)),"")</f>
        <v/>
      </c>
      <c r="D180" s="19" t="str">
        <f>IFERROR(INDEX(Tasks!$F$2:$F$1500,MATCH($Y173&amp;"|"&amp;6,Tasks!$Z$2:$Z$1500,0)),"")</f>
        <v/>
      </c>
      <c r="E180" s="20" t="str">
        <f>IFERROR(IF(INDEX(Tasks!$K$2:$K$1500,MATCH($Y173&amp;"|"&amp;6,Tasks!$Z$2:$Z$1500,0))=0,"",INDEX(Tasks!$K$2:$K$1500,MATCH($Y173&amp;"|"&amp;6,Tasks!$Z$2:$Z$1500,0))),"")</f>
        <v/>
      </c>
      <c r="F180" s="19" t="str">
        <f>IFERROR(IF(INDEX(Tasks!$L$2:$L$1500,MATCH($Y173&amp;"|"&amp;6,Tasks!$Z$2:$Z$1500,0))=0,"",INDEX(Tasks!$L$2:$L$1500,MATCH($Y173&amp;"|"&amp;6,Tasks!$Z$2:$Z$1500,0))),"")</f>
        <v/>
      </c>
      <c r="G180" s="21" t="str">
        <f>IFERROR(IF(INDEX(Tasks!$P$2:$P$1500,MATCH($Y173&amp;"|"&amp;6,Tasks!$Z$2:$Z$1500,0))=0,"",INDEX(Tasks!$P$2:$P$1500,MATCH($Y173&amp;"|"&amp;6,Tasks!$Z$2:$Z$1500,0))),"")</f>
        <v/>
      </c>
    </row>
    <row r="181" spans="1:28" ht="17" hidden="1" x14ac:dyDescent="0.5">
      <c r="C181" s="18" t="str">
        <f>IFERROR(INDEX(Tasks!$E$2:$E$1500,MATCH($Y173&amp;"|"&amp;7,Tasks!$Z$2:$Z$1500,0)),"")</f>
        <v/>
      </c>
      <c r="D181" s="19" t="str">
        <f>IFERROR(INDEX(Tasks!$F$2:$F$1500,MATCH($Y173&amp;"|"&amp;7,Tasks!$Z$2:$Z$1500,0)),"")</f>
        <v/>
      </c>
      <c r="E181" s="20" t="str">
        <f>IFERROR(IF(INDEX(Tasks!$K$2:$K$1500,MATCH($Y173&amp;"|"&amp;7,Tasks!$Z$2:$Z$1500,0))=0,"",INDEX(Tasks!$K$2:$K$1500,MATCH($Y173&amp;"|"&amp;7,Tasks!$Z$2:$Z$1500,0))),"")</f>
        <v/>
      </c>
      <c r="F181" s="19" t="str">
        <f>IFERROR(IF(INDEX(Tasks!$L$2:$L$1500,MATCH($Y173&amp;"|"&amp;7,Tasks!$Z$2:$Z$1500,0))=0,"",INDEX(Tasks!$L$2:$L$1500,MATCH($Y173&amp;"|"&amp;7,Tasks!$Z$2:$Z$1500,0))),"")</f>
        <v/>
      </c>
      <c r="G181" s="21" t="str">
        <f>IFERROR(IF(INDEX(Tasks!$P$2:$P$1500,MATCH($Y173&amp;"|"&amp;7,Tasks!$Z$2:$Z$1500,0))=0,"",INDEX(Tasks!$P$2:$P$1500,MATCH($Y173&amp;"|"&amp;7,Tasks!$Z$2:$Z$1500,0))),"")</f>
        <v/>
      </c>
    </row>
    <row r="182" spans="1:28" ht="17" hidden="1" x14ac:dyDescent="0.5">
      <c r="C182" s="18" t="str">
        <f>IF(N($D173)&gt;8,"+ "&amp;(N($D173)-7)&amp;" more — see Tasks",IFERROR(INDEX(Tasks!$E$2:$E$1500,MATCH($Y173&amp;"|"&amp;8,Tasks!$Z$2:$Z$1500,0)),""))</f>
        <v/>
      </c>
      <c r="D182" s="19" t="str">
        <f>IF(N($D173)&gt;8,"",IFERROR(INDEX(Tasks!$F$2:$F$1500,MATCH($Y173&amp;"|"&amp;8,Tasks!$Z$2:$Z$1500,0)),""))</f>
        <v/>
      </c>
      <c r="E182" s="20" t="str">
        <f>IF(N($D173)&gt;8,"",IFERROR(IF(INDEX(Tasks!$K$2:$K$1500,MATCH($Y173&amp;"|"&amp;8,Tasks!$Z$2:$Z$1500,0))=0,"",INDEX(Tasks!$K$2:$K$1500,MATCH($Y173&amp;"|"&amp;8,Tasks!$Z$2:$Z$1500,0))),""))</f>
        <v/>
      </c>
      <c r="F182" s="19" t="str">
        <f>IF(N($D173)&gt;8,"",IFERROR(IF(INDEX(Tasks!$L$2:$L$1500,MATCH($Y173&amp;"|"&amp;8,Tasks!$Z$2:$Z$1500,0))=0,"",INDEX(Tasks!$L$2:$L$1500,MATCH($Y173&amp;"|"&amp;8,Tasks!$Z$2:$Z$1500,0))),""))</f>
        <v/>
      </c>
      <c r="G182" s="21" t="str">
        <f>IF(N($D173)&gt;8,"",IFERROR(IF(INDEX(Tasks!$P$2:$P$1500,MATCH($Y173&amp;"|"&amp;8,Tasks!$Z$2:$Z$1500,0))=0,"",INDEX(Tasks!$P$2:$P$1500,MATCH($Y173&amp;"|"&amp;8,Tasks!$Z$2:$Z$1500,0))),""))</f>
        <v/>
      </c>
    </row>
    <row r="183" spans="1:28" ht="14.5" x14ac:dyDescent="0.35">
      <c r="A183" s="2"/>
      <c r="B183" s="2"/>
      <c r="C183" s="2"/>
      <c r="D183" s="3" t="str">
        <f>IF(COUNTIFS(Tasks!$V$2:$V$1500,Y183)=0,"",COUNTIFS(Tasks!$V$2:$V$1500,Y183))</f>
        <v/>
      </c>
      <c r="E183" s="13"/>
      <c r="F183" s="13"/>
      <c r="G183" s="2"/>
      <c r="H183" s="14" t="str">
        <f ca="1">IF(OR(E183="",F183=""),"",IF(E183=F183,IF(TODAY()&gt;=E183,1,0),MAX(0,MIN(1,(TODAY()-E183)/(F183-E183)))))</f>
        <v/>
      </c>
      <c r="I183" s="6"/>
      <c r="J183" s="15"/>
      <c r="AA183">
        <f ca="1">IF(TODAY()&lt;E183,E183-TODAY(),F183-TODAY())</f>
        <v>-46311</v>
      </c>
      <c r="AB183" t="str">
        <f ca="1">IF(AND(OR(G183="Planned",G183="Active"),ABS(AA183)&lt;=7),AA183+Y183/1000000,"")</f>
        <v/>
      </c>
    </row>
    <row r="184" spans="1:28" ht="15" hidden="1" x14ac:dyDescent="0.4">
      <c r="C184" s="16" t="s">
        <v>40</v>
      </c>
      <c r="D184" s="17" t="s">
        <v>41</v>
      </c>
      <c r="E184" s="17" t="s">
        <v>15</v>
      </c>
      <c r="F184" s="17" t="s">
        <v>16</v>
      </c>
      <c r="G184" s="17" t="s">
        <v>18</v>
      </c>
    </row>
    <row r="185" spans="1:28" ht="17" hidden="1" x14ac:dyDescent="0.5">
      <c r="C185" s="18" t="str">
        <f>IFERROR(INDEX(Tasks!$E$2:$E$1500,MATCH($Y183&amp;"|"&amp;1,Tasks!$Z$2:$Z$1500,0)),"")</f>
        <v/>
      </c>
      <c r="D185" s="19" t="str">
        <f>IFERROR(INDEX(Tasks!$F$2:$F$1500,MATCH($Y183&amp;"|"&amp;1,Tasks!$Z$2:$Z$1500,0)),"")</f>
        <v/>
      </c>
      <c r="E185" s="20" t="str">
        <f>IFERROR(IF(INDEX(Tasks!$K$2:$K$1500,MATCH($Y183&amp;"|"&amp;1,Tasks!$Z$2:$Z$1500,0))=0,"",INDEX(Tasks!$K$2:$K$1500,MATCH($Y183&amp;"|"&amp;1,Tasks!$Z$2:$Z$1500,0))),"")</f>
        <v/>
      </c>
      <c r="F185" s="19" t="str">
        <f>IFERROR(IF(INDEX(Tasks!$L$2:$L$1500,MATCH($Y183&amp;"|"&amp;1,Tasks!$Z$2:$Z$1500,0))=0,"",INDEX(Tasks!$L$2:$L$1500,MATCH($Y183&amp;"|"&amp;1,Tasks!$Z$2:$Z$1500,0))),"")</f>
        <v/>
      </c>
      <c r="G185" s="21" t="str">
        <f>IFERROR(IF(INDEX(Tasks!$P$2:$P$1500,MATCH($Y183&amp;"|"&amp;1,Tasks!$Z$2:$Z$1500,0))=0,"",INDEX(Tasks!$P$2:$P$1500,MATCH($Y183&amp;"|"&amp;1,Tasks!$Z$2:$Z$1500,0))),"")</f>
        <v/>
      </c>
    </row>
    <row r="186" spans="1:28" ht="17" hidden="1" x14ac:dyDescent="0.5">
      <c r="C186" s="18" t="str">
        <f>IFERROR(INDEX(Tasks!$E$2:$E$1500,MATCH($Y183&amp;"|"&amp;2,Tasks!$Z$2:$Z$1500,0)),"")</f>
        <v/>
      </c>
      <c r="D186" s="19" t="str">
        <f>IFERROR(INDEX(Tasks!$F$2:$F$1500,MATCH($Y183&amp;"|"&amp;2,Tasks!$Z$2:$Z$1500,0)),"")</f>
        <v/>
      </c>
      <c r="E186" s="20" t="str">
        <f>IFERROR(IF(INDEX(Tasks!$K$2:$K$1500,MATCH($Y183&amp;"|"&amp;2,Tasks!$Z$2:$Z$1500,0))=0,"",INDEX(Tasks!$K$2:$K$1500,MATCH($Y183&amp;"|"&amp;2,Tasks!$Z$2:$Z$1500,0))),"")</f>
        <v/>
      </c>
      <c r="F186" s="19" t="str">
        <f>IFERROR(IF(INDEX(Tasks!$L$2:$L$1500,MATCH($Y183&amp;"|"&amp;2,Tasks!$Z$2:$Z$1500,0))=0,"",INDEX(Tasks!$L$2:$L$1500,MATCH($Y183&amp;"|"&amp;2,Tasks!$Z$2:$Z$1500,0))),"")</f>
        <v/>
      </c>
      <c r="G186" s="21" t="str">
        <f>IFERROR(IF(INDEX(Tasks!$P$2:$P$1500,MATCH($Y183&amp;"|"&amp;2,Tasks!$Z$2:$Z$1500,0))=0,"",INDEX(Tasks!$P$2:$P$1500,MATCH($Y183&amp;"|"&amp;2,Tasks!$Z$2:$Z$1500,0))),"")</f>
        <v/>
      </c>
    </row>
    <row r="187" spans="1:28" ht="17" hidden="1" x14ac:dyDescent="0.5">
      <c r="C187" s="18" t="str">
        <f>IFERROR(INDEX(Tasks!$E$2:$E$1500,MATCH($Y183&amp;"|"&amp;3,Tasks!$Z$2:$Z$1500,0)),"")</f>
        <v/>
      </c>
      <c r="D187" s="19" t="str">
        <f>IFERROR(INDEX(Tasks!$F$2:$F$1500,MATCH($Y183&amp;"|"&amp;3,Tasks!$Z$2:$Z$1500,0)),"")</f>
        <v/>
      </c>
      <c r="E187" s="20" t="str">
        <f>IFERROR(IF(INDEX(Tasks!$K$2:$K$1500,MATCH($Y183&amp;"|"&amp;3,Tasks!$Z$2:$Z$1500,0))=0,"",INDEX(Tasks!$K$2:$K$1500,MATCH($Y183&amp;"|"&amp;3,Tasks!$Z$2:$Z$1500,0))),"")</f>
        <v/>
      </c>
      <c r="F187" s="19" t="str">
        <f>IFERROR(IF(INDEX(Tasks!$L$2:$L$1500,MATCH($Y183&amp;"|"&amp;3,Tasks!$Z$2:$Z$1500,0))=0,"",INDEX(Tasks!$L$2:$L$1500,MATCH($Y183&amp;"|"&amp;3,Tasks!$Z$2:$Z$1500,0))),"")</f>
        <v/>
      </c>
      <c r="G187" s="21" t="str">
        <f>IFERROR(IF(INDEX(Tasks!$P$2:$P$1500,MATCH($Y183&amp;"|"&amp;3,Tasks!$Z$2:$Z$1500,0))=0,"",INDEX(Tasks!$P$2:$P$1500,MATCH($Y183&amp;"|"&amp;3,Tasks!$Z$2:$Z$1500,0))),"")</f>
        <v/>
      </c>
    </row>
    <row r="188" spans="1:28" ht="17" hidden="1" x14ac:dyDescent="0.5">
      <c r="C188" s="18" t="str">
        <f>IFERROR(INDEX(Tasks!$E$2:$E$1500,MATCH($Y183&amp;"|"&amp;4,Tasks!$Z$2:$Z$1500,0)),"")</f>
        <v/>
      </c>
      <c r="D188" s="19" t="str">
        <f>IFERROR(INDEX(Tasks!$F$2:$F$1500,MATCH($Y183&amp;"|"&amp;4,Tasks!$Z$2:$Z$1500,0)),"")</f>
        <v/>
      </c>
      <c r="E188" s="20" t="str">
        <f>IFERROR(IF(INDEX(Tasks!$K$2:$K$1500,MATCH($Y183&amp;"|"&amp;4,Tasks!$Z$2:$Z$1500,0))=0,"",INDEX(Tasks!$K$2:$K$1500,MATCH($Y183&amp;"|"&amp;4,Tasks!$Z$2:$Z$1500,0))),"")</f>
        <v/>
      </c>
      <c r="F188" s="19" t="str">
        <f>IFERROR(IF(INDEX(Tasks!$L$2:$L$1500,MATCH($Y183&amp;"|"&amp;4,Tasks!$Z$2:$Z$1500,0))=0,"",INDEX(Tasks!$L$2:$L$1500,MATCH($Y183&amp;"|"&amp;4,Tasks!$Z$2:$Z$1500,0))),"")</f>
        <v/>
      </c>
      <c r="G188" s="21" t="str">
        <f>IFERROR(IF(INDEX(Tasks!$P$2:$P$1500,MATCH($Y183&amp;"|"&amp;4,Tasks!$Z$2:$Z$1500,0))=0,"",INDEX(Tasks!$P$2:$P$1500,MATCH($Y183&amp;"|"&amp;4,Tasks!$Z$2:$Z$1500,0))),"")</f>
        <v/>
      </c>
    </row>
    <row r="189" spans="1:28" ht="17" hidden="1" x14ac:dyDescent="0.5">
      <c r="C189" s="18" t="str">
        <f>IFERROR(INDEX(Tasks!$E$2:$E$1500,MATCH($Y183&amp;"|"&amp;5,Tasks!$Z$2:$Z$1500,0)),"")</f>
        <v/>
      </c>
      <c r="D189" s="19" t="str">
        <f>IFERROR(INDEX(Tasks!$F$2:$F$1500,MATCH($Y183&amp;"|"&amp;5,Tasks!$Z$2:$Z$1500,0)),"")</f>
        <v/>
      </c>
      <c r="E189" s="20" t="str">
        <f>IFERROR(IF(INDEX(Tasks!$K$2:$K$1500,MATCH($Y183&amp;"|"&amp;5,Tasks!$Z$2:$Z$1500,0))=0,"",INDEX(Tasks!$K$2:$K$1500,MATCH($Y183&amp;"|"&amp;5,Tasks!$Z$2:$Z$1500,0))),"")</f>
        <v/>
      </c>
      <c r="F189" s="19" t="str">
        <f>IFERROR(IF(INDEX(Tasks!$L$2:$L$1500,MATCH($Y183&amp;"|"&amp;5,Tasks!$Z$2:$Z$1500,0))=0,"",INDEX(Tasks!$L$2:$L$1500,MATCH($Y183&amp;"|"&amp;5,Tasks!$Z$2:$Z$1500,0))),"")</f>
        <v/>
      </c>
      <c r="G189" s="21" t="str">
        <f>IFERROR(IF(INDEX(Tasks!$P$2:$P$1500,MATCH($Y183&amp;"|"&amp;5,Tasks!$Z$2:$Z$1500,0))=0,"",INDEX(Tasks!$P$2:$P$1500,MATCH($Y183&amp;"|"&amp;5,Tasks!$Z$2:$Z$1500,0))),"")</f>
        <v/>
      </c>
    </row>
    <row r="190" spans="1:28" ht="17" hidden="1" x14ac:dyDescent="0.5">
      <c r="C190" s="18" t="str">
        <f>IFERROR(INDEX(Tasks!$E$2:$E$1500,MATCH($Y183&amp;"|"&amp;6,Tasks!$Z$2:$Z$1500,0)),"")</f>
        <v/>
      </c>
      <c r="D190" s="19" t="str">
        <f>IFERROR(INDEX(Tasks!$F$2:$F$1500,MATCH($Y183&amp;"|"&amp;6,Tasks!$Z$2:$Z$1500,0)),"")</f>
        <v/>
      </c>
      <c r="E190" s="20" t="str">
        <f>IFERROR(IF(INDEX(Tasks!$K$2:$K$1500,MATCH($Y183&amp;"|"&amp;6,Tasks!$Z$2:$Z$1500,0))=0,"",INDEX(Tasks!$K$2:$K$1500,MATCH($Y183&amp;"|"&amp;6,Tasks!$Z$2:$Z$1500,0))),"")</f>
        <v/>
      </c>
      <c r="F190" s="19" t="str">
        <f>IFERROR(IF(INDEX(Tasks!$L$2:$L$1500,MATCH($Y183&amp;"|"&amp;6,Tasks!$Z$2:$Z$1500,0))=0,"",INDEX(Tasks!$L$2:$L$1500,MATCH($Y183&amp;"|"&amp;6,Tasks!$Z$2:$Z$1500,0))),"")</f>
        <v/>
      </c>
      <c r="G190" s="21" t="str">
        <f>IFERROR(IF(INDEX(Tasks!$P$2:$P$1500,MATCH($Y183&amp;"|"&amp;6,Tasks!$Z$2:$Z$1500,0))=0,"",INDEX(Tasks!$P$2:$P$1500,MATCH($Y183&amp;"|"&amp;6,Tasks!$Z$2:$Z$1500,0))),"")</f>
        <v/>
      </c>
    </row>
    <row r="191" spans="1:28" ht="17" hidden="1" x14ac:dyDescent="0.5">
      <c r="C191" s="18" t="str">
        <f>IFERROR(INDEX(Tasks!$E$2:$E$1500,MATCH($Y183&amp;"|"&amp;7,Tasks!$Z$2:$Z$1500,0)),"")</f>
        <v/>
      </c>
      <c r="D191" s="19" t="str">
        <f>IFERROR(INDEX(Tasks!$F$2:$F$1500,MATCH($Y183&amp;"|"&amp;7,Tasks!$Z$2:$Z$1500,0)),"")</f>
        <v/>
      </c>
      <c r="E191" s="20" t="str">
        <f>IFERROR(IF(INDEX(Tasks!$K$2:$K$1500,MATCH($Y183&amp;"|"&amp;7,Tasks!$Z$2:$Z$1500,0))=0,"",INDEX(Tasks!$K$2:$K$1500,MATCH($Y183&amp;"|"&amp;7,Tasks!$Z$2:$Z$1500,0))),"")</f>
        <v/>
      </c>
      <c r="F191" s="19" t="str">
        <f>IFERROR(IF(INDEX(Tasks!$L$2:$L$1500,MATCH($Y183&amp;"|"&amp;7,Tasks!$Z$2:$Z$1500,0))=0,"",INDEX(Tasks!$L$2:$L$1500,MATCH($Y183&amp;"|"&amp;7,Tasks!$Z$2:$Z$1500,0))),"")</f>
        <v/>
      </c>
      <c r="G191" s="21" t="str">
        <f>IFERROR(IF(INDEX(Tasks!$P$2:$P$1500,MATCH($Y183&amp;"|"&amp;7,Tasks!$Z$2:$Z$1500,0))=0,"",INDEX(Tasks!$P$2:$P$1500,MATCH($Y183&amp;"|"&amp;7,Tasks!$Z$2:$Z$1500,0))),"")</f>
        <v/>
      </c>
    </row>
    <row r="192" spans="1:28" ht="17" hidden="1" x14ac:dyDescent="0.5">
      <c r="C192" s="18" t="str">
        <f>IF(N($D183)&gt;8,"+ "&amp;(N($D183)-7)&amp;" more — see Tasks",IFERROR(INDEX(Tasks!$E$2:$E$1500,MATCH($Y183&amp;"|"&amp;8,Tasks!$Z$2:$Z$1500,0)),""))</f>
        <v/>
      </c>
      <c r="D192" s="19" t="str">
        <f>IF(N($D183)&gt;8,"",IFERROR(INDEX(Tasks!$F$2:$F$1500,MATCH($Y183&amp;"|"&amp;8,Tasks!$Z$2:$Z$1500,0)),""))</f>
        <v/>
      </c>
      <c r="E192" s="20" t="str">
        <f>IF(N($D183)&gt;8,"",IFERROR(IF(INDEX(Tasks!$K$2:$K$1500,MATCH($Y183&amp;"|"&amp;8,Tasks!$Z$2:$Z$1500,0))=0,"",INDEX(Tasks!$K$2:$K$1500,MATCH($Y183&amp;"|"&amp;8,Tasks!$Z$2:$Z$1500,0))),""))</f>
        <v/>
      </c>
      <c r="F192" s="19" t="str">
        <f>IF(N($D183)&gt;8,"",IFERROR(IF(INDEX(Tasks!$L$2:$L$1500,MATCH($Y183&amp;"|"&amp;8,Tasks!$Z$2:$Z$1500,0))=0,"",INDEX(Tasks!$L$2:$L$1500,MATCH($Y183&amp;"|"&amp;8,Tasks!$Z$2:$Z$1500,0))),""))</f>
        <v/>
      </c>
      <c r="G192" s="21" t="str">
        <f>IF(N($D183)&gt;8,"",IFERROR(IF(INDEX(Tasks!$P$2:$P$1500,MATCH($Y183&amp;"|"&amp;8,Tasks!$Z$2:$Z$1500,0))=0,"",INDEX(Tasks!$P$2:$P$1500,MATCH($Y183&amp;"|"&amp;8,Tasks!$Z$2:$Z$1500,0))),""))</f>
        <v/>
      </c>
    </row>
    <row r="193" spans="1:28" ht="14.5" x14ac:dyDescent="0.35">
      <c r="A193" s="2"/>
      <c r="B193" s="2"/>
      <c r="C193" s="2"/>
      <c r="D193" s="3" t="str">
        <f>IF(COUNTIFS(Tasks!$V$2:$V$1500,Y193)=0,"",COUNTIFS(Tasks!$V$2:$V$1500,Y193))</f>
        <v/>
      </c>
      <c r="E193" s="13"/>
      <c r="F193" s="13"/>
      <c r="G193" s="2"/>
      <c r="H193" s="14" t="str">
        <f ca="1">IF(OR(E193="",F193=""),"",IF(E193=F193,IF(TODAY()&gt;=E193,1,0),MAX(0,MIN(1,(TODAY()-E193)/(F193-E193)))))</f>
        <v/>
      </c>
      <c r="I193" s="6"/>
      <c r="J193" s="15"/>
      <c r="AA193">
        <f ca="1">IF(TODAY()&lt;E193,E193-TODAY(),F193-TODAY())</f>
        <v>-46311</v>
      </c>
      <c r="AB193" t="str">
        <f ca="1">IF(AND(OR(G193="Planned",G193="Active"),ABS(AA193)&lt;=7),AA193+Y193/1000000,"")</f>
        <v/>
      </c>
    </row>
    <row r="194" spans="1:28" ht="15" hidden="1" x14ac:dyDescent="0.4">
      <c r="C194" s="16" t="s">
        <v>40</v>
      </c>
      <c r="D194" s="17" t="s">
        <v>41</v>
      </c>
      <c r="E194" s="17" t="s">
        <v>15</v>
      </c>
      <c r="F194" s="17" t="s">
        <v>16</v>
      </c>
      <c r="G194" s="17" t="s">
        <v>18</v>
      </c>
    </row>
    <row r="195" spans="1:28" ht="17" hidden="1" x14ac:dyDescent="0.5">
      <c r="C195" s="18" t="str">
        <f>IFERROR(INDEX(Tasks!$E$2:$E$1500,MATCH($Y193&amp;"|"&amp;1,Tasks!$Z$2:$Z$1500,0)),"")</f>
        <v/>
      </c>
      <c r="D195" s="19" t="str">
        <f>IFERROR(INDEX(Tasks!$F$2:$F$1500,MATCH($Y193&amp;"|"&amp;1,Tasks!$Z$2:$Z$1500,0)),"")</f>
        <v/>
      </c>
      <c r="E195" s="20" t="str">
        <f>IFERROR(IF(INDEX(Tasks!$K$2:$K$1500,MATCH($Y193&amp;"|"&amp;1,Tasks!$Z$2:$Z$1500,0))=0,"",INDEX(Tasks!$K$2:$K$1500,MATCH($Y193&amp;"|"&amp;1,Tasks!$Z$2:$Z$1500,0))),"")</f>
        <v/>
      </c>
      <c r="F195" s="19" t="str">
        <f>IFERROR(IF(INDEX(Tasks!$L$2:$L$1500,MATCH($Y193&amp;"|"&amp;1,Tasks!$Z$2:$Z$1500,0))=0,"",INDEX(Tasks!$L$2:$L$1500,MATCH($Y193&amp;"|"&amp;1,Tasks!$Z$2:$Z$1500,0))),"")</f>
        <v/>
      </c>
      <c r="G195" s="21" t="str">
        <f>IFERROR(IF(INDEX(Tasks!$P$2:$P$1500,MATCH($Y193&amp;"|"&amp;1,Tasks!$Z$2:$Z$1500,0))=0,"",INDEX(Tasks!$P$2:$P$1500,MATCH($Y193&amp;"|"&amp;1,Tasks!$Z$2:$Z$1500,0))),"")</f>
        <v/>
      </c>
    </row>
    <row r="196" spans="1:28" ht="17" hidden="1" x14ac:dyDescent="0.5">
      <c r="C196" s="18" t="str">
        <f>IFERROR(INDEX(Tasks!$E$2:$E$1500,MATCH($Y193&amp;"|"&amp;2,Tasks!$Z$2:$Z$1500,0)),"")</f>
        <v/>
      </c>
      <c r="D196" s="19" t="str">
        <f>IFERROR(INDEX(Tasks!$F$2:$F$1500,MATCH($Y193&amp;"|"&amp;2,Tasks!$Z$2:$Z$1500,0)),"")</f>
        <v/>
      </c>
      <c r="E196" s="20" t="str">
        <f>IFERROR(IF(INDEX(Tasks!$K$2:$K$1500,MATCH($Y193&amp;"|"&amp;2,Tasks!$Z$2:$Z$1500,0))=0,"",INDEX(Tasks!$K$2:$K$1500,MATCH($Y193&amp;"|"&amp;2,Tasks!$Z$2:$Z$1500,0))),"")</f>
        <v/>
      </c>
      <c r="F196" s="19" t="str">
        <f>IFERROR(IF(INDEX(Tasks!$L$2:$L$1500,MATCH($Y193&amp;"|"&amp;2,Tasks!$Z$2:$Z$1500,0))=0,"",INDEX(Tasks!$L$2:$L$1500,MATCH($Y193&amp;"|"&amp;2,Tasks!$Z$2:$Z$1500,0))),"")</f>
        <v/>
      </c>
      <c r="G196" s="21" t="str">
        <f>IFERROR(IF(INDEX(Tasks!$P$2:$P$1500,MATCH($Y193&amp;"|"&amp;2,Tasks!$Z$2:$Z$1500,0))=0,"",INDEX(Tasks!$P$2:$P$1500,MATCH($Y193&amp;"|"&amp;2,Tasks!$Z$2:$Z$1500,0))),"")</f>
        <v/>
      </c>
    </row>
    <row r="197" spans="1:28" ht="17" hidden="1" x14ac:dyDescent="0.5">
      <c r="C197" s="18" t="str">
        <f>IFERROR(INDEX(Tasks!$E$2:$E$1500,MATCH($Y193&amp;"|"&amp;3,Tasks!$Z$2:$Z$1500,0)),"")</f>
        <v/>
      </c>
      <c r="D197" s="19" t="str">
        <f>IFERROR(INDEX(Tasks!$F$2:$F$1500,MATCH($Y193&amp;"|"&amp;3,Tasks!$Z$2:$Z$1500,0)),"")</f>
        <v/>
      </c>
      <c r="E197" s="20" t="str">
        <f>IFERROR(IF(INDEX(Tasks!$K$2:$K$1500,MATCH($Y193&amp;"|"&amp;3,Tasks!$Z$2:$Z$1500,0))=0,"",INDEX(Tasks!$K$2:$K$1500,MATCH($Y193&amp;"|"&amp;3,Tasks!$Z$2:$Z$1500,0))),"")</f>
        <v/>
      </c>
      <c r="F197" s="19" t="str">
        <f>IFERROR(IF(INDEX(Tasks!$L$2:$L$1500,MATCH($Y193&amp;"|"&amp;3,Tasks!$Z$2:$Z$1500,0))=0,"",INDEX(Tasks!$L$2:$L$1500,MATCH($Y193&amp;"|"&amp;3,Tasks!$Z$2:$Z$1500,0))),"")</f>
        <v/>
      </c>
      <c r="G197" s="21" t="str">
        <f>IFERROR(IF(INDEX(Tasks!$P$2:$P$1500,MATCH($Y193&amp;"|"&amp;3,Tasks!$Z$2:$Z$1500,0))=0,"",INDEX(Tasks!$P$2:$P$1500,MATCH($Y193&amp;"|"&amp;3,Tasks!$Z$2:$Z$1500,0))),"")</f>
        <v/>
      </c>
    </row>
    <row r="198" spans="1:28" ht="17" hidden="1" x14ac:dyDescent="0.5">
      <c r="C198" s="18" t="str">
        <f>IFERROR(INDEX(Tasks!$E$2:$E$1500,MATCH($Y193&amp;"|"&amp;4,Tasks!$Z$2:$Z$1500,0)),"")</f>
        <v/>
      </c>
      <c r="D198" s="19" t="str">
        <f>IFERROR(INDEX(Tasks!$F$2:$F$1500,MATCH($Y193&amp;"|"&amp;4,Tasks!$Z$2:$Z$1500,0)),"")</f>
        <v/>
      </c>
      <c r="E198" s="20" t="str">
        <f>IFERROR(IF(INDEX(Tasks!$K$2:$K$1500,MATCH($Y193&amp;"|"&amp;4,Tasks!$Z$2:$Z$1500,0))=0,"",INDEX(Tasks!$K$2:$K$1500,MATCH($Y193&amp;"|"&amp;4,Tasks!$Z$2:$Z$1500,0))),"")</f>
        <v/>
      </c>
      <c r="F198" s="19" t="str">
        <f>IFERROR(IF(INDEX(Tasks!$L$2:$L$1500,MATCH($Y193&amp;"|"&amp;4,Tasks!$Z$2:$Z$1500,0))=0,"",INDEX(Tasks!$L$2:$L$1500,MATCH($Y193&amp;"|"&amp;4,Tasks!$Z$2:$Z$1500,0))),"")</f>
        <v/>
      </c>
      <c r="G198" s="21" t="str">
        <f>IFERROR(IF(INDEX(Tasks!$P$2:$P$1500,MATCH($Y193&amp;"|"&amp;4,Tasks!$Z$2:$Z$1500,0))=0,"",INDEX(Tasks!$P$2:$P$1500,MATCH($Y193&amp;"|"&amp;4,Tasks!$Z$2:$Z$1500,0))),"")</f>
        <v/>
      </c>
    </row>
    <row r="199" spans="1:28" ht="17" hidden="1" x14ac:dyDescent="0.5">
      <c r="C199" s="18" t="str">
        <f>IFERROR(INDEX(Tasks!$E$2:$E$1500,MATCH($Y193&amp;"|"&amp;5,Tasks!$Z$2:$Z$1500,0)),"")</f>
        <v/>
      </c>
      <c r="D199" s="19" t="str">
        <f>IFERROR(INDEX(Tasks!$F$2:$F$1500,MATCH($Y193&amp;"|"&amp;5,Tasks!$Z$2:$Z$1500,0)),"")</f>
        <v/>
      </c>
      <c r="E199" s="20" t="str">
        <f>IFERROR(IF(INDEX(Tasks!$K$2:$K$1500,MATCH($Y193&amp;"|"&amp;5,Tasks!$Z$2:$Z$1500,0))=0,"",INDEX(Tasks!$K$2:$K$1500,MATCH($Y193&amp;"|"&amp;5,Tasks!$Z$2:$Z$1500,0))),"")</f>
        <v/>
      </c>
      <c r="F199" s="19" t="str">
        <f>IFERROR(IF(INDEX(Tasks!$L$2:$L$1500,MATCH($Y193&amp;"|"&amp;5,Tasks!$Z$2:$Z$1500,0))=0,"",INDEX(Tasks!$L$2:$L$1500,MATCH($Y193&amp;"|"&amp;5,Tasks!$Z$2:$Z$1500,0))),"")</f>
        <v/>
      </c>
      <c r="G199" s="21" t="str">
        <f>IFERROR(IF(INDEX(Tasks!$P$2:$P$1500,MATCH($Y193&amp;"|"&amp;5,Tasks!$Z$2:$Z$1500,0))=0,"",INDEX(Tasks!$P$2:$P$1500,MATCH($Y193&amp;"|"&amp;5,Tasks!$Z$2:$Z$1500,0))),"")</f>
        <v/>
      </c>
    </row>
    <row r="200" spans="1:28" ht="17" hidden="1" x14ac:dyDescent="0.5">
      <c r="C200" s="18" t="str">
        <f>IFERROR(INDEX(Tasks!$E$2:$E$1500,MATCH($Y193&amp;"|"&amp;6,Tasks!$Z$2:$Z$1500,0)),"")</f>
        <v/>
      </c>
      <c r="D200" s="19" t="str">
        <f>IFERROR(INDEX(Tasks!$F$2:$F$1500,MATCH($Y193&amp;"|"&amp;6,Tasks!$Z$2:$Z$1500,0)),"")</f>
        <v/>
      </c>
      <c r="E200" s="20" t="str">
        <f>IFERROR(IF(INDEX(Tasks!$K$2:$K$1500,MATCH($Y193&amp;"|"&amp;6,Tasks!$Z$2:$Z$1500,0))=0,"",INDEX(Tasks!$K$2:$K$1500,MATCH($Y193&amp;"|"&amp;6,Tasks!$Z$2:$Z$1500,0))),"")</f>
        <v/>
      </c>
      <c r="F200" s="19" t="str">
        <f>IFERROR(IF(INDEX(Tasks!$L$2:$L$1500,MATCH($Y193&amp;"|"&amp;6,Tasks!$Z$2:$Z$1500,0))=0,"",INDEX(Tasks!$L$2:$L$1500,MATCH($Y193&amp;"|"&amp;6,Tasks!$Z$2:$Z$1500,0))),"")</f>
        <v/>
      </c>
      <c r="G200" s="21" t="str">
        <f>IFERROR(IF(INDEX(Tasks!$P$2:$P$1500,MATCH($Y193&amp;"|"&amp;6,Tasks!$Z$2:$Z$1500,0))=0,"",INDEX(Tasks!$P$2:$P$1500,MATCH($Y193&amp;"|"&amp;6,Tasks!$Z$2:$Z$1500,0))),"")</f>
        <v/>
      </c>
    </row>
    <row r="201" spans="1:28" ht="17" hidden="1" x14ac:dyDescent="0.5">
      <c r="C201" s="18" t="str">
        <f>IFERROR(INDEX(Tasks!$E$2:$E$1500,MATCH($Y193&amp;"|"&amp;7,Tasks!$Z$2:$Z$1500,0)),"")</f>
        <v/>
      </c>
      <c r="D201" s="19" t="str">
        <f>IFERROR(INDEX(Tasks!$F$2:$F$1500,MATCH($Y193&amp;"|"&amp;7,Tasks!$Z$2:$Z$1500,0)),"")</f>
        <v/>
      </c>
      <c r="E201" s="20" t="str">
        <f>IFERROR(IF(INDEX(Tasks!$K$2:$K$1500,MATCH($Y193&amp;"|"&amp;7,Tasks!$Z$2:$Z$1500,0))=0,"",INDEX(Tasks!$K$2:$K$1500,MATCH($Y193&amp;"|"&amp;7,Tasks!$Z$2:$Z$1500,0))),"")</f>
        <v/>
      </c>
      <c r="F201" s="19" t="str">
        <f>IFERROR(IF(INDEX(Tasks!$L$2:$L$1500,MATCH($Y193&amp;"|"&amp;7,Tasks!$Z$2:$Z$1500,0))=0,"",INDEX(Tasks!$L$2:$L$1500,MATCH($Y193&amp;"|"&amp;7,Tasks!$Z$2:$Z$1500,0))),"")</f>
        <v/>
      </c>
      <c r="G201" s="21" t="str">
        <f>IFERROR(IF(INDEX(Tasks!$P$2:$P$1500,MATCH($Y193&amp;"|"&amp;7,Tasks!$Z$2:$Z$1500,0))=0,"",INDEX(Tasks!$P$2:$P$1500,MATCH($Y193&amp;"|"&amp;7,Tasks!$Z$2:$Z$1500,0))),"")</f>
        <v/>
      </c>
    </row>
    <row r="202" spans="1:28" ht="17" hidden="1" x14ac:dyDescent="0.5">
      <c r="C202" s="18" t="str">
        <f>IF(N($D193)&gt;8,"+ "&amp;(N($D193)-7)&amp;" more — see Tasks",IFERROR(INDEX(Tasks!$E$2:$E$1500,MATCH($Y193&amp;"|"&amp;8,Tasks!$Z$2:$Z$1500,0)),""))</f>
        <v/>
      </c>
      <c r="D202" s="19" t="str">
        <f>IF(N($D193)&gt;8,"",IFERROR(INDEX(Tasks!$F$2:$F$1500,MATCH($Y193&amp;"|"&amp;8,Tasks!$Z$2:$Z$1500,0)),""))</f>
        <v/>
      </c>
      <c r="E202" s="20" t="str">
        <f>IF(N($D193)&gt;8,"",IFERROR(IF(INDEX(Tasks!$K$2:$K$1500,MATCH($Y193&amp;"|"&amp;8,Tasks!$Z$2:$Z$1500,0))=0,"",INDEX(Tasks!$K$2:$K$1500,MATCH($Y193&amp;"|"&amp;8,Tasks!$Z$2:$Z$1500,0))),""))</f>
        <v/>
      </c>
      <c r="F202" s="19" t="str">
        <f>IF(N($D193)&gt;8,"",IFERROR(IF(INDEX(Tasks!$L$2:$L$1500,MATCH($Y193&amp;"|"&amp;8,Tasks!$Z$2:$Z$1500,0))=0,"",INDEX(Tasks!$L$2:$L$1500,MATCH($Y193&amp;"|"&amp;8,Tasks!$Z$2:$Z$1500,0))),""))</f>
        <v/>
      </c>
      <c r="G202" s="21" t="str">
        <f>IF(N($D193)&gt;8,"",IFERROR(IF(INDEX(Tasks!$P$2:$P$1500,MATCH($Y193&amp;"|"&amp;8,Tasks!$Z$2:$Z$1500,0))=0,"",INDEX(Tasks!$P$2:$P$1500,MATCH($Y193&amp;"|"&amp;8,Tasks!$Z$2:$Z$1500,0))),""))</f>
        <v/>
      </c>
    </row>
  </sheetData>
  <conditionalFormatting sqref="C5:C12">
    <cfRule type="expression" dxfId="442" priority="18">
      <formula>$C5&lt;&gt;""</formula>
    </cfRule>
  </conditionalFormatting>
  <conditionalFormatting sqref="C15:C22">
    <cfRule type="expression" dxfId="441" priority="36">
      <formula>$C15&lt;&gt;""</formula>
    </cfRule>
  </conditionalFormatting>
  <conditionalFormatting sqref="C25:C32">
    <cfRule type="expression" dxfId="440" priority="54">
      <formula>$C25&lt;&gt;""</formula>
    </cfRule>
  </conditionalFormatting>
  <conditionalFormatting sqref="C35:C42">
    <cfRule type="expression" dxfId="439" priority="72">
      <formula>$C35&lt;&gt;""</formula>
    </cfRule>
  </conditionalFormatting>
  <conditionalFormatting sqref="C45:C52">
    <cfRule type="expression" dxfId="438" priority="90">
      <formula>$C45&lt;&gt;""</formula>
    </cfRule>
  </conditionalFormatting>
  <conditionalFormatting sqref="C55:C62">
    <cfRule type="expression" dxfId="437" priority="108">
      <formula>$C55&lt;&gt;""</formula>
    </cfRule>
  </conditionalFormatting>
  <conditionalFormatting sqref="C65:C72">
    <cfRule type="expression" dxfId="436" priority="126">
      <formula>$C65&lt;&gt;""</formula>
    </cfRule>
  </conditionalFormatting>
  <conditionalFormatting sqref="C75:C82">
    <cfRule type="expression" dxfId="435" priority="144">
      <formula>$C75&lt;&gt;""</formula>
    </cfRule>
  </conditionalFormatting>
  <conditionalFormatting sqref="C85:C92">
    <cfRule type="expression" dxfId="434" priority="162">
      <formula>$C85&lt;&gt;""</formula>
    </cfRule>
  </conditionalFormatting>
  <conditionalFormatting sqref="C95:C102">
    <cfRule type="expression" dxfId="433" priority="180">
      <formula>$C95&lt;&gt;""</formula>
    </cfRule>
  </conditionalFormatting>
  <conditionalFormatting sqref="C105:C112">
    <cfRule type="expression" dxfId="432" priority="198">
      <formula>$C105&lt;&gt;""</formula>
    </cfRule>
  </conditionalFormatting>
  <conditionalFormatting sqref="C115:C122">
    <cfRule type="expression" dxfId="431" priority="216">
      <formula>$C115&lt;&gt;""</formula>
    </cfRule>
  </conditionalFormatting>
  <conditionalFormatting sqref="C125:C132">
    <cfRule type="expression" dxfId="430" priority="234">
      <formula>$C125&lt;&gt;""</formula>
    </cfRule>
  </conditionalFormatting>
  <conditionalFormatting sqref="C135:C142">
    <cfRule type="expression" dxfId="429" priority="252">
      <formula>$C135&lt;&gt;""</formula>
    </cfRule>
  </conditionalFormatting>
  <conditionalFormatting sqref="C145:C152">
    <cfRule type="expression" dxfId="428" priority="270">
      <formula>$C145&lt;&gt;""</formula>
    </cfRule>
  </conditionalFormatting>
  <conditionalFormatting sqref="C155:C162">
    <cfRule type="expression" dxfId="427" priority="288">
      <formula>$C155&lt;&gt;""</formula>
    </cfRule>
  </conditionalFormatting>
  <conditionalFormatting sqref="C165:C172">
    <cfRule type="expression" dxfId="426" priority="306">
      <formula>$C165&lt;&gt;""</formula>
    </cfRule>
  </conditionalFormatting>
  <conditionalFormatting sqref="C175:C182">
    <cfRule type="expression" dxfId="425" priority="324">
      <formula>$C175&lt;&gt;""</formula>
    </cfRule>
  </conditionalFormatting>
  <conditionalFormatting sqref="C185:C192">
    <cfRule type="expression" dxfId="424" priority="342">
      <formula>$C185&lt;&gt;""</formula>
    </cfRule>
  </conditionalFormatting>
  <conditionalFormatting sqref="C195:C202">
    <cfRule type="expression" dxfId="423" priority="360">
      <formula>$C195&lt;&gt;""</formula>
    </cfRule>
  </conditionalFormatting>
  <conditionalFormatting sqref="E5:E12">
    <cfRule type="expression" dxfId="422" priority="12">
      <formula>AND(ISNUMBER($E5),$E5&lt;TODAY())</formula>
    </cfRule>
    <cfRule type="expression" dxfId="421" priority="13">
      <formula>AND(ISNUMBER($E5),$E5&gt;=TODAY(),$E5&lt;=TODAY()+2)</formula>
    </cfRule>
    <cfRule type="expression" dxfId="420" priority="14">
      <formula>AND(ISNUMBER($E5),$E5&gt;TODAY()+2)</formula>
    </cfRule>
  </conditionalFormatting>
  <conditionalFormatting sqref="E15:E22">
    <cfRule type="expression" dxfId="419" priority="30">
      <formula>AND(ISNUMBER($E15),$E15&lt;TODAY())</formula>
    </cfRule>
    <cfRule type="expression" dxfId="418" priority="31">
      <formula>AND(ISNUMBER($E15),$E15&gt;=TODAY(),$E15&lt;=TODAY()+2)</formula>
    </cfRule>
    <cfRule type="expression" dxfId="417" priority="32">
      <formula>AND(ISNUMBER($E15),$E15&gt;TODAY()+2)</formula>
    </cfRule>
  </conditionalFormatting>
  <conditionalFormatting sqref="E25:E32">
    <cfRule type="expression" dxfId="416" priority="48">
      <formula>AND(ISNUMBER($E25),$E25&lt;TODAY())</formula>
    </cfRule>
    <cfRule type="expression" dxfId="415" priority="49">
      <formula>AND(ISNUMBER($E25),$E25&gt;=TODAY(),$E25&lt;=TODAY()+2)</formula>
    </cfRule>
    <cfRule type="expression" dxfId="414" priority="50">
      <formula>AND(ISNUMBER($E25),$E25&gt;TODAY()+2)</formula>
    </cfRule>
  </conditionalFormatting>
  <conditionalFormatting sqref="E35:E42">
    <cfRule type="expression" dxfId="413" priority="67">
      <formula>AND(ISNUMBER($E35),$E35&gt;=TODAY(),$E35&lt;=TODAY()+2)</formula>
    </cfRule>
    <cfRule type="expression" dxfId="412" priority="68">
      <formula>AND(ISNUMBER($E35),$E35&gt;TODAY()+2)</formula>
    </cfRule>
    <cfRule type="expression" dxfId="411" priority="66">
      <formula>AND(ISNUMBER($E35),$E35&lt;TODAY())</formula>
    </cfRule>
  </conditionalFormatting>
  <conditionalFormatting sqref="E45:E52">
    <cfRule type="expression" dxfId="410" priority="84">
      <formula>AND(ISNUMBER($E45),$E45&lt;TODAY())</formula>
    </cfRule>
    <cfRule type="expression" dxfId="409" priority="86">
      <formula>AND(ISNUMBER($E45),$E45&gt;TODAY()+2)</formula>
    </cfRule>
    <cfRule type="expression" dxfId="408" priority="85">
      <formula>AND(ISNUMBER($E45),$E45&gt;=TODAY(),$E45&lt;=TODAY()+2)</formula>
    </cfRule>
  </conditionalFormatting>
  <conditionalFormatting sqref="E55:E62">
    <cfRule type="expression" dxfId="407" priority="104">
      <formula>AND(ISNUMBER($E55),$E55&gt;TODAY()+2)</formula>
    </cfRule>
    <cfRule type="expression" dxfId="406" priority="102">
      <formula>AND(ISNUMBER($E55),$E55&lt;TODAY())</formula>
    </cfRule>
    <cfRule type="expression" dxfId="405" priority="103">
      <formula>AND(ISNUMBER($E55),$E55&gt;=TODAY(),$E55&lt;=TODAY()+2)</formula>
    </cfRule>
  </conditionalFormatting>
  <conditionalFormatting sqref="E65:E72">
    <cfRule type="expression" dxfId="404" priority="120">
      <formula>AND(ISNUMBER($E65),$E65&lt;TODAY())</formula>
    </cfRule>
    <cfRule type="expression" dxfId="403" priority="121">
      <formula>AND(ISNUMBER($E65),$E65&gt;=TODAY(),$E65&lt;=TODAY()+2)</formula>
    </cfRule>
    <cfRule type="expression" dxfId="402" priority="122">
      <formula>AND(ISNUMBER($E65),$E65&gt;TODAY()+2)</formula>
    </cfRule>
  </conditionalFormatting>
  <conditionalFormatting sqref="E75:E82">
    <cfRule type="expression" dxfId="401" priority="138">
      <formula>AND(ISNUMBER($E75),$E75&lt;TODAY())</formula>
    </cfRule>
    <cfRule type="expression" dxfId="400" priority="139">
      <formula>AND(ISNUMBER($E75),$E75&gt;=TODAY(),$E75&lt;=TODAY()+2)</formula>
    </cfRule>
    <cfRule type="expression" dxfId="399" priority="140">
      <formula>AND(ISNUMBER($E75),$E75&gt;TODAY()+2)</formula>
    </cfRule>
  </conditionalFormatting>
  <conditionalFormatting sqref="E85:E92">
    <cfRule type="expression" dxfId="398" priority="158">
      <formula>AND(ISNUMBER($E85),$E85&gt;TODAY()+2)</formula>
    </cfRule>
    <cfRule type="expression" dxfId="397" priority="157">
      <formula>AND(ISNUMBER($E85),$E85&gt;=TODAY(),$E85&lt;=TODAY()+2)</formula>
    </cfRule>
    <cfRule type="expression" dxfId="396" priority="156">
      <formula>AND(ISNUMBER($E85),$E85&lt;TODAY())</formula>
    </cfRule>
  </conditionalFormatting>
  <conditionalFormatting sqref="E95:E102">
    <cfRule type="expression" dxfId="395" priority="176">
      <formula>AND(ISNUMBER($E95),$E95&gt;TODAY()+2)</formula>
    </cfRule>
    <cfRule type="expression" dxfId="394" priority="175">
      <formula>AND(ISNUMBER($E95),$E95&gt;=TODAY(),$E95&lt;=TODAY()+2)</formula>
    </cfRule>
    <cfRule type="expression" dxfId="393" priority="174">
      <formula>AND(ISNUMBER($E95),$E95&lt;TODAY())</formula>
    </cfRule>
  </conditionalFormatting>
  <conditionalFormatting sqref="E105:E112">
    <cfRule type="expression" dxfId="392" priority="193">
      <formula>AND(ISNUMBER($E105),$E105&gt;=TODAY(),$E105&lt;=TODAY()+2)</formula>
    </cfRule>
    <cfRule type="expression" dxfId="391" priority="192">
      <formula>AND(ISNUMBER($E105),$E105&lt;TODAY())</formula>
    </cfRule>
    <cfRule type="expression" dxfId="390" priority="194">
      <formula>AND(ISNUMBER($E105),$E105&gt;TODAY()+2)</formula>
    </cfRule>
  </conditionalFormatting>
  <conditionalFormatting sqref="E115:E122">
    <cfRule type="expression" dxfId="389" priority="211">
      <formula>AND(ISNUMBER($E115),$E115&gt;=TODAY(),$E115&lt;=TODAY()+2)</formula>
    </cfRule>
    <cfRule type="expression" dxfId="388" priority="212">
      <formula>AND(ISNUMBER($E115),$E115&gt;TODAY()+2)</formula>
    </cfRule>
    <cfRule type="expression" dxfId="387" priority="210">
      <formula>AND(ISNUMBER($E115),$E115&lt;TODAY())</formula>
    </cfRule>
  </conditionalFormatting>
  <conditionalFormatting sqref="E125:E132">
    <cfRule type="expression" dxfId="386" priority="230">
      <formula>AND(ISNUMBER($E125),$E125&gt;TODAY()+2)</formula>
    </cfRule>
    <cfRule type="expression" dxfId="385" priority="229">
      <formula>AND(ISNUMBER($E125),$E125&gt;=TODAY(),$E125&lt;=TODAY()+2)</formula>
    </cfRule>
    <cfRule type="expression" dxfId="384" priority="228">
      <formula>AND(ISNUMBER($E125),$E125&lt;TODAY())</formula>
    </cfRule>
  </conditionalFormatting>
  <conditionalFormatting sqref="E135:E142">
    <cfRule type="expression" dxfId="383" priority="248">
      <formula>AND(ISNUMBER($E135),$E135&gt;TODAY()+2)</formula>
    </cfRule>
    <cfRule type="expression" dxfId="382" priority="247">
      <formula>AND(ISNUMBER($E135),$E135&gt;=TODAY(),$E135&lt;=TODAY()+2)</formula>
    </cfRule>
    <cfRule type="expression" dxfId="381" priority="246">
      <formula>AND(ISNUMBER($E135),$E135&lt;TODAY())</formula>
    </cfRule>
  </conditionalFormatting>
  <conditionalFormatting sqref="E145:E152">
    <cfRule type="expression" dxfId="380" priority="266">
      <formula>AND(ISNUMBER($E145),$E145&gt;TODAY()+2)</formula>
    </cfRule>
    <cfRule type="expression" dxfId="379" priority="264">
      <formula>AND(ISNUMBER($E145),$E145&lt;TODAY())</formula>
    </cfRule>
    <cfRule type="expression" dxfId="378" priority="265">
      <formula>AND(ISNUMBER($E145),$E145&gt;=TODAY(),$E145&lt;=TODAY()+2)</formula>
    </cfRule>
  </conditionalFormatting>
  <conditionalFormatting sqref="E155:E162">
    <cfRule type="expression" dxfId="377" priority="284">
      <formula>AND(ISNUMBER($E155),$E155&gt;TODAY()+2)</formula>
    </cfRule>
    <cfRule type="expression" dxfId="376" priority="282">
      <formula>AND(ISNUMBER($E155),$E155&lt;TODAY())</formula>
    </cfRule>
    <cfRule type="expression" dxfId="375" priority="283">
      <formula>AND(ISNUMBER($E155),$E155&gt;=TODAY(),$E155&lt;=TODAY()+2)</formula>
    </cfRule>
  </conditionalFormatting>
  <conditionalFormatting sqref="E165:E172">
    <cfRule type="expression" dxfId="374" priority="300">
      <formula>AND(ISNUMBER($E165),$E165&lt;TODAY())</formula>
    </cfRule>
    <cfRule type="expression" dxfId="373" priority="302">
      <formula>AND(ISNUMBER($E165),$E165&gt;TODAY()+2)</formula>
    </cfRule>
    <cfRule type="expression" dxfId="372" priority="301">
      <formula>AND(ISNUMBER($E165),$E165&gt;=TODAY(),$E165&lt;=TODAY()+2)</formula>
    </cfRule>
  </conditionalFormatting>
  <conditionalFormatting sqref="E175:E182">
    <cfRule type="expression" dxfId="371" priority="320">
      <formula>AND(ISNUMBER($E175),$E175&gt;TODAY()+2)</formula>
    </cfRule>
    <cfRule type="expression" dxfId="370" priority="319">
      <formula>AND(ISNUMBER($E175),$E175&gt;=TODAY(),$E175&lt;=TODAY()+2)</formula>
    </cfRule>
    <cfRule type="expression" dxfId="369" priority="318">
      <formula>AND(ISNUMBER($E175),$E175&lt;TODAY())</formula>
    </cfRule>
  </conditionalFormatting>
  <conditionalFormatting sqref="E185:E192">
    <cfRule type="expression" dxfId="368" priority="337">
      <formula>AND(ISNUMBER($E185),$E185&gt;=TODAY(),$E185&lt;=TODAY()+2)</formula>
    </cfRule>
    <cfRule type="expression" dxfId="367" priority="336">
      <formula>AND(ISNUMBER($E185),$E185&lt;TODAY())</formula>
    </cfRule>
    <cfRule type="expression" dxfId="366" priority="338">
      <formula>AND(ISNUMBER($E185),$E185&gt;TODAY()+2)</formula>
    </cfRule>
  </conditionalFormatting>
  <conditionalFormatting sqref="E195:E202">
    <cfRule type="expression" dxfId="365" priority="356">
      <formula>AND(ISNUMBER($E195),$E195&gt;TODAY()+2)</formula>
    </cfRule>
    <cfRule type="expression" dxfId="364" priority="354">
      <formula>AND(ISNUMBER($E195),$E195&lt;TODAY())</formula>
    </cfRule>
    <cfRule type="expression" dxfId="363" priority="355">
      <formula>AND(ISNUMBER($E195),$E195&gt;=TODAY(),$E195&lt;=TODAY()+2)</formula>
    </cfRule>
  </conditionalFormatting>
  <conditionalFormatting sqref="F5:F12">
    <cfRule type="expression" dxfId="362" priority="15">
      <formula>$F5="Not Started"</formula>
    </cfRule>
    <cfRule type="expression" dxfId="361" priority="16">
      <formula>$F5="In Progress"</formula>
    </cfRule>
    <cfRule type="expression" dxfId="360" priority="17">
      <formula>$F5="Completed"</formula>
    </cfRule>
  </conditionalFormatting>
  <conditionalFormatting sqref="F15:F22">
    <cfRule type="expression" dxfId="359" priority="35">
      <formula>$F15="Completed"</formula>
    </cfRule>
    <cfRule type="expression" dxfId="358" priority="33">
      <formula>$F15="Not Started"</formula>
    </cfRule>
    <cfRule type="expression" dxfId="357" priority="34">
      <formula>$F15="In Progress"</formula>
    </cfRule>
  </conditionalFormatting>
  <conditionalFormatting sqref="F25:F32">
    <cfRule type="expression" dxfId="356" priority="52">
      <formula>$F25="In Progress"</formula>
    </cfRule>
    <cfRule type="expression" dxfId="355" priority="53">
      <formula>$F25="Completed"</formula>
    </cfRule>
    <cfRule type="expression" dxfId="354" priority="51">
      <formula>$F25="Not Started"</formula>
    </cfRule>
  </conditionalFormatting>
  <conditionalFormatting sqref="F35:F42">
    <cfRule type="expression" dxfId="353" priority="70">
      <formula>$F35="In Progress"</formula>
    </cfRule>
    <cfRule type="expression" dxfId="352" priority="69">
      <formula>$F35="Not Started"</formula>
    </cfRule>
    <cfRule type="expression" dxfId="351" priority="71">
      <formula>$F35="Completed"</formula>
    </cfRule>
  </conditionalFormatting>
  <conditionalFormatting sqref="F45:F52">
    <cfRule type="expression" dxfId="350" priority="87">
      <formula>$F45="Not Started"</formula>
    </cfRule>
    <cfRule type="expression" dxfId="349" priority="88">
      <formula>$F45="In Progress"</formula>
    </cfRule>
    <cfRule type="expression" dxfId="348" priority="89">
      <formula>$F45="Completed"</formula>
    </cfRule>
  </conditionalFormatting>
  <conditionalFormatting sqref="F55:F62">
    <cfRule type="expression" dxfId="347" priority="105">
      <formula>$F55="Not Started"</formula>
    </cfRule>
    <cfRule type="expression" dxfId="346" priority="106">
      <formula>$F55="In Progress"</formula>
    </cfRule>
    <cfRule type="expression" dxfId="345" priority="107">
      <formula>$F55="Completed"</formula>
    </cfRule>
  </conditionalFormatting>
  <conditionalFormatting sqref="F65:F72">
    <cfRule type="expression" dxfId="344" priority="123">
      <formula>$F65="Not Started"</formula>
    </cfRule>
    <cfRule type="expression" dxfId="343" priority="125">
      <formula>$F65="Completed"</formula>
    </cfRule>
    <cfRule type="expression" dxfId="342" priority="124">
      <formula>$F65="In Progress"</formula>
    </cfRule>
  </conditionalFormatting>
  <conditionalFormatting sqref="F75:F82">
    <cfRule type="expression" dxfId="341" priority="143">
      <formula>$F75="Completed"</formula>
    </cfRule>
    <cfRule type="expression" dxfId="340" priority="142">
      <formula>$F75="In Progress"</formula>
    </cfRule>
    <cfRule type="expression" dxfId="339" priority="141">
      <formula>$F75="Not Started"</formula>
    </cfRule>
  </conditionalFormatting>
  <conditionalFormatting sqref="F85:F92">
    <cfRule type="expression" dxfId="338" priority="161">
      <formula>$F85="Completed"</formula>
    </cfRule>
    <cfRule type="expression" dxfId="337" priority="160">
      <formula>$F85="In Progress"</formula>
    </cfRule>
    <cfRule type="expression" dxfId="336" priority="159">
      <formula>$F85="Not Started"</formula>
    </cfRule>
  </conditionalFormatting>
  <conditionalFormatting sqref="F95:F102">
    <cfRule type="expression" dxfId="335" priority="178">
      <formula>$F95="In Progress"</formula>
    </cfRule>
    <cfRule type="expression" dxfId="334" priority="179">
      <formula>$F95="Completed"</formula>
    </cfRule>
    <cfRule type="expression" dxfId="333" priority="177">
      <formula>$F95="Not Started"</formula>
    </cfRule>
  </conditionalFormatting>
  <conditionalFormatting sqref="F105:F112">
    <cfRule type="expression" dxfId="332" priority="197">
      <formula>$F105="Completed"</formula>
    </cfRule>
    <cfRule type="expression" dxfId="331" priority="195">
      <formula>$F105="Not Started"</formula>
    </cfRule>
    <cfRule type="expression" dxfId="330" priority="196">
      <formula>$F105="In Progress"</formula>
    </cfRule>
  </conditionalFormatting>
  <conditionalFormatting sqref="F115:F122">
    <cfRule type="expression" dxfId="329" priority="214">
      <formula>$F115="In Progress"</formula>
    </cfRule>
    <cfRule type="expression" dxfId="328" priority="215">
      <formula>$F115="Completed"</formula>
    </cfRule>
    <cfRule type="expression" dxfId="327" priority="213">
      <formula>$F115="Not Started"</formula>
    </cfRule>
  </conditionalFormatting>
  <conditionalFormatting sqref="F125:F132">
    <cfRule type="expression" dxfId="326" priority="233">
      <formula>$F125="Completed"</formula>
    </cfRule>
    <cfRule type="expression" dxfId="325" priority="231">
      <formula>$F125="Not Started"</formula>
    </cfRule>
    <cfRule type="expression" dxfId="324" priority="232">
      <formula>$F125="In Progress"</formula>
    </cfRule>
  </conditionalFormatting>
  <conditionalFormatting sqref="F135:F142">
    <cfRule type="expression" dxfId="323" priority="251">
      <formula>$F135="Completed"</formula>
    </cfRule>
    <cfRule type="expression" dxfId="322" priority="249">
      <formula>$F135="Not Started"</formula>
    </cfRule>
    <cfRule type="expression" dxfId="321" priority="250">
      <formula>$F135="In Progress"</formula>
    </cfRule>
  </conditionalFormatting>
  <conditionalFormatting sqref="F145:F152">
    <cfRule type="expression" dxfId="320" priority="268">
      <formula>$F145="In Progress"</formula>
    </cfRule>
    <cfRule type="expression" dxfId="319" priority="267">
      <formula>$F145="Not Started"</formula>
    </cfRule>
    <cfRule type="expression" dxfId="318" priority="269">
      <formula>$F145="Completed"</formula>
    </cfRule>
  </conditionalFormatting>
  <conditionalFormatting sqref="F155:F162">
    <cfRule type="expression" dxfId="317" priority="287">
      <formula>$F155="Completed"</formula>
    </cfRule>
    <cfRule type="expression" dxfId="316" priority="285">
      <formula>$F155="Not Started"</formula>
    </cfRule>
    <cfRule type="expression" dxfId="315" priority="286">
      <formula>$F155="In Progress"</formula>
    </cfRule>
  </conditionalFormatting>
  <conditionalFormatting sqref="F165:F172">
    <cfRule type="expression" dxfId="314" priority="305">
      <formula>$F165="Completed"</formula>
    </cfRule>
    <cfRule type="expression" dxfId="313" priority="304">
      <formula>$F165="In Progress"</formula>
    </cfRule>
    <cfRule type="expression" dxfId="312" priority="303">
      <formula>$F165="Not Started"</formula>
    </cfRule>
  </conditionalFormatting>
  <conditionalFormatting sqref="F175:F182">
    <cfRule type="expression" dxfId="311" priority="323">
      <formula>$F175="Completed"</formula>
    </cfRule>
    <cfRule type="expression" dxfId="310" priority="322">
      <formula>$F175="In Progress"</formula>
    </cfRule>
    <cfRule type="expression" dxfId="309" priority="321">
      <formula>$F175="Not Started"</formula>
    </cfRule>
  </conditionalFormatting>
  <conditionalFormatting sqref="F185:F192">
    <cfRule type="expression" dxfId="308" priority="341">
      <formula>$F185="Completed"</formula>
    </cfRule>
    <cfRule type="expression" dxfId="307" priority="340">
      <formula>$F185="In Progress"</formula>
    </cfRule>
    <cfRule type="expression" dxfId="306" priority="339">
      <formula>$F185="Not Started"</formula>
    </cfRule>
  </conditionalFormatting>
  <conditionalFormatting sqref="F195:F202">
    <cfRule type="expression" dxfId="305" priority="357">
      <formula>$F195="Not Started"</formula>
    </cfRule>
    <cfRule type="expression" dxfId="304" priority="359">
      <formula>$F195="Completed"</formula>
    </cfRule>
    <cfRule type="expression" dxfId="303" priority="358">
      <formula>$F195="In Progress"</formula>
    </cfRule>
  </conditionalFormatting>
  <conditionalFormatting sqref="G3">
    <cfRule type="expression" dxfId="302" priority="7">
      <formula>$G3="Active"</formula>
    </cfRule>
    <cfRule type="expression" dxfId="301" priority="6">
      <formula>$G3="Planned"</formula>
    </cfRule>
    <cfRule type="expression" dxfId="300" priority="8">
      <formula>$G3="Completed"</formula>
    </cfRule>
  </conditionalFormatting>
  <conditionalFormatting sqref="G13">
    <cfRule type="expression" dxfId="299" priority="24">
      <formula>$G13="Planned"</formula>
    </cfRule>
    <cfRule type="expression" dxfId="298" priority="26">
      <formula>$G13="Completed"</formula>
    </cfRule>
    <cfRule type="expression" dxfId="297" priority="25">
      <formula>$G13="Active"</formula>
    </cfRule>
  </conditionalFormatting>
  <conditionalFormatting sqref="G23">
    <cfRule type="expression" dxfId="296" priority="42">
      <formula>$G23="Planned"</formula>
    </cfRule>
    <cfRule type="expression" dxfId="295" priority="43">
      <formula>$G23="Active"</formula>
    </cfRule>
    <cfRule type="expression" dxfId="294" priority="44">
      <formula>$G23="Completed"</formula>
    </cfRule>
  </conditionalFormatting>
  <conditionalFormatting sqref="G33">
    <cfRule type="expression" dxfId="293" priority="60">
      <formula>$G33="Planned"</formula>
    </cfRule>
    <cfRule type="expression" dxfId="292" priority="61">
      <formula>$G33="Active"</formula>
    </cfRule>
    <cfRule type="expression" dxfId="291" priority="62">
      <formula>$G33="Completed"</formula>
    </cfRule>
  </conditionalFormatting>
  <conditionalFormatting sqref="G43">
    <cfRule type="expression" dxfId="290" priority="78">
      <formula>$G43="Planned"</formula>
    </cfRule>
    <cfRule type="expression" dxfId="289" priority="80">
      <formula>$G43="Completed"</formula>
    </cfRule>
    <cfRule type="expression" dxfId="288" priority="79">
      <formula>$G43="Active"</formula>
    </cfRule>
  </conditionalFormatting>
  <conditionalFormatting sqref="G53">
    <cfRule type="expression" dxfId="287" priority="96">
      <formula>$G53="Planned"</formula>
    </cfRule>
    <cfRule type="expression" dxfId="286" priority="97">
      <formula>$G53="Active"</formula>
    </cfRule>
    <cfRule type="expression" dxfId="285" priority="98">
      <formula>$G53="Completed"</formula>
    </cfRule>
  </conditionalFormatting>
  <conditionalFormatting sqref="G63">
    <cfRule type="expression" dxfId="284" priority="115">
      <formula>$G63="Active"</formula>
    </cfRule>
    <cfRule type="expression" dxfId="283" priority="116">
      <formula>$G63="Completed"</formula>
    </cfRule>
    <cfRule type="expression" dxfId="282" priority="114">
      <formula>$G63="Planned"</formula>
    </cfRule>
  </conditionalFormatting>
  <conditionalFormatting sqref="G73">
    <cfRule type="expression" dxfId="281" priority="134">
      <formula>$G73="Completed"</formula>
    </cfRule>
    <cfRule type="expression" dxfId="280" priority="133">
      <formula>$G73="Active"</formula>
    </cfRule>
    <cfRule type="expression" dxfId="279" priority="132">
      <formula>$G73="Planned"</formula>
    </cfRule>
  </conditionalFormatting>
  <conditionalFormatting sqref="G83">
    <cfRule type="expression" dxfId="278" priority="152">
      <formula>$G83="Completed"</formula>
    </cfRule>
    <cfRule type="expression" dxfId="277" priority="150">
      <formula>$G83="Planned"</formula>
    </cfRule>
    <cfRule type="expression" dxfId="276" priority="151">
      <formula>$G83="Active"</formula>
    </cfRule>
  </conditionalFormatting>
  <conditionalFormatting sqref="G93">
    <cfRule type="expression" dxfId="275" priority="168">
      <formula>$G93="Planned"</formula>
    </cfRule>
    <cfRule type="expression" dxfId="274" priority="169">
      <formula>$G93="Active"</formula>
    </cfRule>
    <cfRule type="expression" dxfId="273" priority="170">
      <formula>$G93="Completed"</formula>
    </cfRule>
  </conditionalFormatting>
  <conditionalFormatting sqref="G103">
    <cfRule type="expression" dxfId="272" priority="188">
      <formula>$G103="Completed"</formula>
    </cfRule>
    <cfRule type="expression" dxfId="271" priority="187">
      <formula>$G103="Active"</formula>
    </cfRule>
    <cfRule type="expression" dxfId="270" priority="186">
      <formula>$G103="Planned"</formula>
    </cfRule>
  </conditionalFormatting>
  <conditionalFormatting sqref="G113">
    <cfRule type="expression" dxfId="269" priority="206">
      <formula>$G113="Completed"</formula>
    </cfRule>
    <cfRule type="expression" dxfId="268" priority="205">
      <formula>$G113="Active"</formula>
    </cfRule>
    <cfRule type="expression" dxfId="267" priority="204">
      <formula>$G113="Planned"</formula>
    </cfRule>
  </conditionalFormatting>
  <conditionalFormatting sqref="G123">
    <cfRule type="expression" dxfId="266" priority="222">
      <formula>$G123="Planned"</formula>
    </cfRule>
    <cfRule type="expression" dxfId="265" priority="223">
      <formula>$G123="Active"</formula>
    </cfRule>
    <cfRule type="expression" dxfId="264" priority="224">
      <formula>$G123="Completed"</formula>
    </cfRule>
  </conditionalFormatting>
  <conditionalFormatting sqref="G133">
    <cfRule type="expression" dxfId="263" priority="240">
      <formula>$G133="Planned"</formula>
    </cfRule>
    <cfRule type="expression" dxfId="262" priority="241">
      <formula>$G133="Active"</formula>
    </cfRule>
    <cfRule type="expression" dxfId="261" priority="242">
      <formula>$G133="Completed"</formula>
    </cfRule>
  </conditionalFormatting>
  <conditionalFormatting sqref="G143">
    <cfRule type="expression" dxfId="260" priority="260">
      <formula>$G143="Completed"</formula>
    </cfRule>
    <cfRule type="expression" dxfId="259" priority="259">
      <formula>$G143="Active"</formula>
    </cfRule>
    <cfRule type="expression" dxfId="258" priority="258">
      <formula>$G143="Planned"</formula>
    </cfRule>
  </conditionalFormatting>
  <conditionalFormatting sqref="G153">
    <cfRule type="expression" dxfId="257" priority="276">
      <formula>$G153="Planned"</formula>
    </cfRule>
    <cfRule type="expression" dxfId="256" priority="277">
      <formula>$G153="Active"</formula>
    </cfRule>
    <cfRule type="expression" dxfId="255" priority="278">
      <formula>$G153="Completed"</formula>
    </cfRule>
  </conditionalFormatting>
  <conditionalFormatting sqref="G163">
    <cfRule type="expression" dxfId="254" priority="294">
      <formula>$G163="Planned"</formula>
    </cfRule>
    <cfRule type="expression" dxfId="253" priority="295">
      <formula>$G163="Active"</formula>
    </cfRule>
    <cfRule type="expression" dxfId="252" priority="296">
      <formula>$G163="Completed"</formula>
    </cfRule>
  </conditionalFormatting>
  <conditionalFormatting sqref="G173">
    <cfRule type="expression" dxfId="251" priority="313">
      <formula>$G173="Active"</formula>
    </cfRule>
    <cfRule type="expression" dxfId="250" priority="314">
      <formula>$G173="Completed"</formula>
    </cfRule>
    <cfRule type="expression" dxfId="249" priority="312">
      <formula>$G173="Planned"</formula>
    </cfRule>
  </conditionalFormatting>
  <conditionalFormatting sqref="G183">
    <cfRule type="expression" dxfId="248" priority="330">
      <formula>$G183="Planned"</formula>
    </cfRule>
    <cfRule type="expression" dxfId="247" priority="331">
      <formula>$G183="Active"</formula>
    </cfRule>
    <cfRule type="expression" dxfId="246" priority="332">
      <formula>$G183="Completed"</formula>
    </cfRule>
  </conditionalFormatting>
  <conditionalFormatting sqref="G193">
    <cfRule type="expression" dxfId="245" priority="348">
      <formula>$G193="Planned"</formula>
    </cfRule>
    <cfRule type="expression" dxfId="244" priority="349">
      <formula>$G193="Active"</formula>
    </cfRule>
    <cfRule type="expression" dxfId="243" priority="350">
      <formula>$G193="Completed"</formula>
    </cfRule>
  </conditionalFormatting>
  <conditionalFormatting sqref="H3">
    <cfRule type="expression" dxfId="242" priority="1">
      <formula>AND(ISNUMBER($H3),$H3&gt;=0,$H3&lt;0.2)</formula>
    </cfRule>
    <cfRule type="expression" dxfId="241" priority="2">
      <formula>AND(ISNUMBER($H3),$H3&gt;=0.2,$H3&lt;0.4)</formula>
    </cfRule>
    <cfRule type="expression" dxfId="240" priority="3">
      <formula>AND(ISNUMBER($H3),$H3&gt;=0.4,$H3&lt;0.6)</formula>
    </cfRule>
    <cfRule type="expression" dxfId="239" priority="4">
      <formula>AND(ISNUMBER($H3),$H3&gt;=0.6,$H3&lt;0.8)</formula>
    </cfRule>
    <cfRule type="expression" dxfId="238" priority="5">
      <formula>AND(ISNUMBER($H3),$H3&gt;=0.8)</formula>
    </cfRule>
  </conditionalFormatting>
  <conditionalFormatting sqref="H13">
    <cfRule type="expression" dxfId="237" priority="23">
      <formula>AND(ISNUMBER($H13),$H13&gt;=0.8)</formula>
    </cfRule>
    <cfRule type="expression" dxfId="236" priority="22">
      <formula>AND(ISNUMBER($H13),$H13&gt;=0.6,$H13&lt;0.8)</formula>
    </cfRule>
    <cfRule type="expression" dxfId="235" priority="21">
      <formula>AND(ISNUMBER($H13),$H13&gt;=0.4,$H13&lt;0.6)</formula>
    </cfRule>
    <cfRule type="expression" dxfId="234" priority="19">
      <formula>AND(ISNUMBER($H13),$H13&gt;=0,$H13&lt;0.2)</formula>
    </cfRule>
    <cfRule type="expression" dxfId="233" priority="20">
      <formula>AND(ISNUMBER($H13),$H13&gt;=0.2,$H13&lt;0.4)</formula>
    </cfRule>
  </conditionalFormatting>
  <conditionalFormatting sqref="H23">
    <cfRule type="expression" dxfId="232" priority="39">
      <formula>AND(ISNUMBER($H23),$H23&gt;=0.4,$H23&lt;0.6)</formula>
    </cfRule>
    <cfRule type="expression" dxfId="231" priority="38">
      <formula>AND(ISNUMBER($H23),$H23&gt;=0.2,$H23&lt;0.4)</formula>
    </cfRule>
    <cfRule type="expression" dxfId="230" priority="37">
      <formula>AND(ISNUMBER($H23),$H23&gt;=0,$H23&lt;0.2)</formula>
    </cfRule>
    <cfRule type="expression" dxfId="229" priority="41">
      <formula>AND(ISNUMBER($H23),$H23&gt;=0.8)</formula>
    </cfRule>
    <cfRule type="expression" dxfId="228" priority="40">
      <formula>AND(ISNUMBER($H23),$H23&gt;=0.6,$H23&lt;0.8)</formula>
    </cfRule>
  </conditionalFormatting>
  <conditionalFormatting sqref="H33">
    <cfRule type="expression" dxfId="227" priority="59">
      <formula>AND(ISNUMBER($H33),$H33&gt;=0.8)</formula>
    </cfRule>
    <cfRule type="expression" dxfId="226" priority="58">
      <formula>AND(ISNUMBER($H33),$H33&gt;=0.6,$H33&lt;0.8)</formula>
    </cfRule>
    <cfRule type="expression" dxfId="225" priority="56">
      <formula>AND(ISNUMBER($H33),$H33&gt;=0.2,$H33&lt;0.4)</formula>
    </cfRule>
    <cfRule type="expression" dxfId="224" priority="55">
      <formula>AND(ISNUMBER($H33),$H33&gt;=0,$H33&lt;0.2)</formula>
    </cfRule>
    <cfRule type="expression" dxfId="223" priority="57">
      <formula>AND(ISNUMBER($H33),$H33&gt;=0.4,$H33&lt;0.6)</formula>
    </cfRule>
  </conditionalFormatting>
  <conditionalFormatting sqref="H43">
    <cfRule type="expression" dxfId="222" priority="76">
      <formula>AND(ISNUMBER($H43),$H43&gt;=0.6,$H43&lt;0.8)</formula>
    </cfRule>
    <cfRule type="expression" dxfId="221" priority="75">
      <formula>AND(ISNUMBER($H43),$H43&gt;=0.4,$H43&lt;0.6)</formula>
    </cfRule>
    <cfRule type="expression" dxfId="220" priority="74">
      <formula>AND(ISNUMBER($H43),$H43&gt;=0.2,$H43&lt;0.4)</formula>
    </cfRule>
    <cfRule type="expression" dxfId="219" priority="73">
      <formula>AND(ISNUMBER($H43),$H43&gt;=0,$H43&lt;0.2)</formula>
    </cfRule>
    <cfRule type="expression" dxfId="218" priority="77">
      <formula>AND(ISNUMBER($H43),$H43&gt;=0.8)</formula>
    </cfRule>
  </conditionalFormatting>
  <conditionalFormatting sqref="H53">
    <cfRule type="expression" dxfId="217" priority="91">
      <formula>AND(ISNUMBER($H53),$H53&gt;=0,$H53&lt;0.2)</formula>
    </cfRule>
    <cfRule type="expression" dxfId="216" priority="92">
      <formula>AND(ISNUMBER($H53),$H53&gt;=0.2,$H53&lt;0.4)</formula>
    </cfRule>
    <cfRule type="expression" dxfId="215" priority="93">
      <formula>AND(ISNUMBER($H53),$H53&gt;=0.4,$H53&lt;0.6)</formula>
    </cfRule>
    <cfRule type="expression" dxfId="214" priority="94">
      <formula>AND(ISNUMBER($H53),$H53&gt;=0.6,$H53&lt;0.8)</formula>
    </cfRule>
    <cfRule type="expression" dxfId="213" priority="95">
      <formula>AND(ISNUMBER($H53),$H53&gt;=0.8)</formula>
    </cfRule>
  </conditionalFormatting>
  <conditionalFormatting sqref="H63">
    <cfRule type="expression" dxfId="212" priority="113">
      <formula>AND(ISNUMBER($H63),$H63&gt;=0.8)</formula>
    </cfRule>
    <cfRule type="expression" dxfId="211" priority="112">
      <formula>AND(ISNUMBER($H63),$H63&gt;=0.6,$H63&lt;0.8)</formula>
    </cfRule>
    <cfRule type="expression" dxfId="210" priority="111">
      <formula>AND(ISNUMBER($H63),$H63&gt;=0.4,$H63&lt;0.6)</formula>
    </cfRule>
    <cfRule type="expression" dxfId="209" priority="110">
      <formula>AND(ISNUMBER($H63),$H63&gt;=0.2,$H63&lt;0.4)</formula>
    </cfRule>
    <cfRule type="expression" dxfId="208" priority="109">
      <formula>AND(ISNUMBER($H63),$H63&gt;=0,$H63&lt;0.2)</formula>
    </cfRule>
  </conditionalFormatting>
  <conditionalFormatting sqref="H73">
    <cfRule type="expression" dxfId="207" priority="127">
      <formula>AND(ISNUMBER($H73),$H73&gt;=0,$H73&lt;0.2)</formula>
    </cfRule>
    <cfRule type="expression" dxfId="206" priority="128">
      <formula>AND(ISNUMBER($H73),$H73&gt;=0.2,$H73&lt;0.4)</formula>
    </cfRule>
    <cfRule type="expression" dxfId="205" priority="129">
      <formula>AND(ISNUMBER($H73),$H73&gt;=0.4,$H73&lt;0.6)</formula>
    </cfRule>
    <cfRule type="expression" dxfId="204" priority="130">
      <formula>AND(ISNUMBER($H73),$H73&gt;=0.6,$H73&lt;0.8)</formula>
    </cfRule>
    <cfRule type="expression" dxfId="203" priority="131">
      <formula>AND(ISNUMBER($H73),$H73&gt;=0.8)</formula>
    </cfRule>
  </conditionalFormatting>
  <conditionalFormatting sqref="H83">
    <cfRule type="expression" dxfId="202" priority="145">
      <formula>AND(ISNUMBER($H83),$H83&gt;=0,$H83&lt;0.2)</formula>
    </cfRule>
    <cfRule type="expression" dxfId="201" priority="149">
      <formula>AND(ISNUMBER($H83),$H83&gt;=0.8)</formula>
    </cfRule>
    <cfRule type="expression" dxfId="200" priority="148">
      <formula>AND(ISNUMBER($H83),$H83&gt;=0.6,$H83&lt;0.8)</formula>
    </cfRule>
    <cfRule type="expression" dxfId="199" priority="147">
      <formula>AND(ISNUMBER($H83),$H83&gt;=0.4,$H83&lt;0.6)</formula>
    </cfRule>
    <cfRule type="expression" dxfId="198" priority="146">
      <formula>AND(ISNUMBER($H83),$H83&gt;=0.2,$H83&lt;0.4)</formula>
    </cfRule>
  </conditionalFormatting>
  <conditionalFormatting sqref="H93">
    <cfRule type="expression" dxfId="197" priority="166">
      <formula>AND(ISNUMBER($H93),$H93&gt;=0.6,$H93&lt;0.8)</formula>
    </cfRule>
    <cfRule type="expression" dxfId="196" priority="167">
      <formula>AND(ISNUMBER($H93),$H93&gt;=0.8)</formula>
    </cfRule>
    <cfRule type="expression" dxfId="195" priority="164">
      <formula>AND(ISNUMBER($H93),$H93&gt;=0.2,$H93&lt;0.4)</formula>
    </cfRule>
    <cfRule type="expression" dxfId="194" priority="165">
      <formula>AND(ISNUMBER($H93),$H93&gt;=0.4,$H93&lt;0.6)</formula>
    </cfRule>
    <cfRule type="expression" dxfId="193" priority="163">
      <formula>AND(ISNUMBER($H93),$H93&gt;=0,$H93&lt;0.2)</formula>
    </cfRule>
  </conditionalFormatting>
  <conditionalFormatting sqref="H103">
    <cfRule type="expression" dxfId="192" priority="183">
      <formula>AND(ISNUMBER($H103),$H103&gt;=0.4,$H103&lt;0.6)</formula>
    </cfRule>
    <cfRule type="expression" dxfId="191" priority="182">
      <formula>AND(ISNUMBER($H103),$H103&gt;=0.2,$H103&lt;0.4)</formula>
    </cfRule>
    <cfRule type="expression" dxfId="190" priority="185">
      <formula>AND(ISNUMBER($H103),$H103&gt;=0.8)</formula>
    </cfRule>
    <cfRule type="expression" dxfId="189" priority="181">
      <formula>AND(ISNUMBER($H103),$H103&gt;=0,$H103&lt;0.2)</formula>
    </cfRule>
    <cfRule type="expression" dxfId="188" priority="184">
      <formula>AND(ISNUMBER($H103),$H103&gt;=0.6,$H103&lt;0.8)</formula>
    </cfRule>
  </conditionalFormatting>
  <conditionalFormatting sqref="H113">
    <cfRule type="expression" dxfId="187" priority="200">
      <formula>AND(ISNUMBER($H113),$H113&gt;=0.2,$H113&lt;0.4)</formula>
    </cfRule>
    <cfRule type="expression" dxfId="186" priority="199">
      <formula>AND(ISNUMBER($H113),$H113&gt;=0,$H113&lt;0.2)</formula>
    </cfRule>
    <cfRule type="expression" dxfId="185" priority="202">
      <formula>AND(ISNUMBER($H113),$H113&gt;=0.6,$H113&lt;0.8)</formula>
    </cfRule>
    <cfRule type="expression" dxfId="184" priority="203">
      <formula>AND(ISNUMBER($H113),$H113&gt;=0.8)</formula>
    </cfRule>
    <cfRule type="expression" dxfId="183" priority="201">
      <formula>AND(ISNUMBER($H113),$H113&gt;=0.4,$H113&lt;0.6)</formula>
    </cfRule>
  </conditionalFormatting>
  <conditionalFormatting sqref="H123">
    <cfRule type="expression" dxfId="182" priority="221">
      <formula>AND(ISNUMBER($H123),$H123&gt;=0.8)</formula>
    </cfRule>
    <cfRule type="expression" dxfId="181" priority="220">
      <formula>AND(ISNUMBER($H123),$H123&gt;=0.6,$H123&lt;0.8)</formula>
    </cfRule>
    <cfRule type="expression" dxfId="180" priority="218">
      <formula>AND(ISNUMBER($H123),$H123&gt;=0.2,$H123&lt;0.4)</formula>
    </cfRule>
    <cfRule type="expression" dxfId="179" priority="217">
      <formula>AND(ISNUMBER($H123),$H123&gt;=0,$H123&lt;0.2)</formula>
    </cfRule>
    <cfRule type="expression" dxfId="178" priority="219">
      <formula>AND(ISNUMBER($H123),$H123&gt;=0.4,$H123&lt;0.6)</formula>
    </cfRule>
  </conditionalFormatting>
  <conditionalFormatting sqref="H133">
    <cfRule type="expression" dxfId="177" priority="235">
      <formula>AND(ISNUMBER($H133),$H133&gt;=0,$H133&lt;0.2)</formula>
    </cfRule>
    <cfRule type="expression" dxfId="176" priority="236">
      <formula>AND(ISNUMBER($H133),$H133&gt;=0.2,$H133&lt;0.4)</formula>
    </cfRule>
    <cfRule type="expression" dxfId="175" priority="237">
      <formula>AND(ISNUMBER($H133),$H133&gt;=0.4,$H133&lt;0.6)</formula>
    </cfRule>
    <cfRule type="expression" dxfId="174" priority="238">
      <formula>AND(ISNUMBER($H133),$H133&gt;=0.6,$H133&lt;0.8)</formula>
    </cfRule>
    <cfRule type="expression" dxfId="173" priority="239">
      <formula>AND(ISNUMBER($H133),$H133&gt;=0.8)</formula>
    </cfRule>
  </conditionalFormatting>
  <conditionalFormatting sqref="H143">
    <cfRule type="expression" dxfId="172" priority="257">
      <formula>AND(ISNUMBER($H143),$H143&gt;=0.8)</formula>
    </cfRule>
    <cfRule type="expression" dxfId="171" priority="256">
      <formula>AND(ISNUMBER($H143),$H143&gt;=0.6,$H143&lt;0.8)</formula>
    </cfRule>
    <cfRule type="expression" dxfId="170" priority="255">
      <formula>AND(ISNUMBER($H143),$H143&gt;=0.4,$H143&lt;0.6)</formula>
    </cfRule>
    <cfRule type="expression" dxfId="169" priority="254">
      <formula>AND(ISNUMBER($H143),$H143&gt;=0.2,$H143&lt;0.4)</formula>
    </cfRule>
    <cfRule type="expression" dxfId="168" priority="253">
      <formula>AND(ISNUMBER($H143),$H143&gt;=0,$H143&lt;0.2)</formula>
    </cfRule>
  </conditionalFormatting>
  <conditionalFormatting sqref="H153">
    <cfRule type="expression" dxfId="167" priority="272">
      <formula>AND(ISNUMBER($H153),$H153&gt;=0.2,$H153&lt;0.4)</formula>
    </cfRule>
    <cfRule type="expression" dxfId="166" priority="275">
      <formula>AND(ISNUMBER($H153),$H153&gt;=0.8)</formula>
    </cfRule>
    <cfRule type="expression" dxfId="165" priority="271">
      <formula>AND(ISNUMBER($H153),$H153&gt;=0,$H153&lt;0.2)</formula>
    </cfRule>
    <cfRule type="expression" dxfId="164" priority="274">
      <formula>AND(ISNUMBER($H153),$H153&gt;=0.6,$H153&lt;0.8)</formula>
    </cfRule>
    <cfRule type="expression" dxfId="163" priority="273">
      <formula>AND(ISNUMBER($H153),$H153&gt;=0.4,$H153&lt;0.6)</formula>
    </cfRule>
  </conditionalFormatting>
  <conditionalFormatting sqref="H163">
    <cfRule type="expression" dxfId="162" priority="289">
      <formula>AND(ISNUMBER($H163),$H163&gt;=0,$H163&lt;0.2)</formula>
    </cfRule>
    <cfRule type="expression" dxfId="161" priority="290">
      <formula>AND(ISNUMBER($H163),$H163&gt;=0.2,$H163&lt;0.4)</formula>
    </cfRule>
    <cfRule type="expression" dxfId="160" priority="291">
      <formula>AND(ISNUMBER($H163),$H163&gt;=0.4,$H163&lt;0.6)</formula>
    </cfRule>
    <cfRule type="expression" dxfId="159" priority="292">
      <formula>AND(ISNUMBER($H163),$H163&gt;=0.6,$H163&lt;0.8)</formula>
    </cfRule>
    <cfRule type="expression" dxfId="158" priority="293">
      <formula>AND(ISNUMBER($H163),$H163&gt;=0.8)</formula>
    </cfRule>
  </conditionalFormatting>
  <conditionalFormatting sqref="H173">
    <cfRule type="expression" dxfId="157" priority="311">
      <formula>AND(ISNUMBER($H173),$H173&gt;=0.8)</formula>
    </cfRule>
    <cfRule type="expression" dxfId="156" priority="310">
      <formula>AND(ISNUMBER($H173),$H173&gt;=0.6,$H173&lt;0.8)</formula>
    </cfRule>
    <cfRule type="expression" dxfId="155" priority="308">
      <formula>AND(ISNUMBER($H173),$H173&gt;=0.2,$H173&lt;0.4)</formula>
    </cfRule>
    <cfRule type="expression" dxfId="154" priority="307">
      <formula>AND(ISNUMBER($H173),$H173&gt;=0,$H173&lt;0.2)</formula>
    </cfRule>
    <cfRule type="expression" dxfId="153" priority="309">
      <formula>AND(ISNUMBER($H173),$H173&gt;=0.4,$H173&lt;0.6)</formula>
    </cfRule>
  </conditionalFormatting>
  <conditionalFormatting sqref="H183">
    <cfRule type="expression" dxfId="152" priority="326">
      <formula>AND(ISNUMBER($H183),$H183&gt;=0.2,$H183&lt;0.4)</formula>
    </cfRule>
    <cfRule type="expression" dxfId="151" priority="325">
      <formula>AND(ISNUMBER($H183),$H183&gt;=0,$H183&lt;0.2)</formula>
    </cfRule>
    <cfRule type="expression" dxfId="150" priority="327">
      <formula>AND(ISNUMBER($H183),$H183&gt;=0.4,$H183&lt;0.6)</formula>
    </cfRule>
    <cfRule type="expression" dxfId="149" priority="328">
      <formula>AND(ISNUMBER($H183),$H183&gt;=0.6,$H183&lt;0.8)</formula>
    </cfRule>
    <cfRule type="expression" dxfId="148" priority="329">
      <formula>AND(ISNUMBER($H183),$H183&gt;=0.8)</formula>
    </cfRule>
  </conditionalFormatting>
  <conditionalFormatting sqref="H193">
    <cfRule type="expression" dxfId="147" priority="344">
      <formula>AND(ISNUMBER($H193),$H193&gt;=0.2,$H193&lt;0.4)</formula>
    </cfRule>
    <cfRule type="expression" dxfId="146" priority="343">
      <formula>AND(ISNUMBER($H193),$H193&gt;=0,$H193&lt;0.2)</formula>
    </cfRule>
    <cfRule type="expression" dxfId="145" priority="345">
      <formula>AND(ISNUMBER($H193),$H193&gt;=0.4,$H193&lt;0.6)</formula>
    </cfRule>
    <cfRule type="expression" dxfId="144" priority="346">
      <formula>AND(ISNUMBER($H193),$H193&gt;=0.6,$H193&lt;0.8)</formula>
    </cfRule>
    <cfRule type="expression" dxfId="143" priority="347">
      <formula>AND(ISNUMBER($H193),$H193&gt;=0.8)</formula>
    </cfRule>
  </conditionalFormatting>
  <conditionalFormatting sqref="J3:X3">
    <cfRule type="expression" dxfId="142" priority="9">
      <formula>AND(AND($E3&lt;=J$1+6,$F3&gt;=J$1),$G3="Planned")</formula>
    </cfRule>
    <cfRule type="expression" dxfId="141" priority="10">
      <formula>AND(AND($E3&lt;=J$1+6,$F3&gt;=J$1),$G3="Active")</formula>
    </cfRule>
    <cfRule type="expression" dxfId="140" priority="11">
      <formula>AND(AND($E3&lt;=J$1+6,$F3&gt;=J$1),$G3="Completed")</formula>
    </cfRule>
  </conditionalFormatting>
  <conditionalFormatting sqref="J13:X13">
    <cfRule type="expression" dxfId="139" priority="27">
      <formula>AND(AND($E13&lt;=J$1+6,$F13&gt;=J$1),$G13="Planned")</formula>
    </cfRule>
    <cfRule type="expression" dxfId="138" priority="28">
      <formula>AND(AND($E13&lt;=J$1+6,$F13&gt;=J$1),$G13="Active")</formula>
    </cfRule>
    <cfRule type="expression" dxfId="137" priority="29">
      <formula>AND(AND($E13&lt;=J$1+6,$F13&gt;=J$1),$G13="Completed")</formula>
    </cfRule>
  </conditionalFormatting>
  <conditionalFormatting sqref="J23:X23">
    <cfRule type="expression" dxfId="136" priority="46">
      <formula>AND(AND($E23&lt;=J$1+6,$F23&gt;=J$1),$G23="Active")</formula>
    </cfRule>
    <cfRule type="expression" dxfId="135" priority="45">
      <formula>AND(AND($E23&lt;=J$1+6,$F23&gt;=J$1),$G23="Planned")</formula>
    </cfRule>
    <cfRule type="expression" dxfId="134" priority="47">
      <formula>AND(AND($E23&lt;=J$1+6,$F23&gt;=J$1),$G23="Completed")</formula>
    </cfRule>
  </conditionalFormatting>
  <conditionalFormatting sqref="J33:X33">
    <cfRule type="expression" dxfId="133" priority="64">
      <formula>AND(AND($E33&lt;=J$1+6,$F33&gt;=J$1),$G33="Active")</formula>
    </cfRule>
    <cfRule type="expression" dxfId="132" priority="65">
      <formula>AND(AND($E33&lt;=J$1+6,$F33&gt;=J$1),$G33="Completed")</formula>
    </cfRule>
    <cfRule type="expression" dxfId="131" priority="63">
      <formula>AND(AND($E33&lt;=J$1+6,$F33&gt;=J$1),$G33="Planned")</formula>
    </cfRule>
  </conditionalFormatting>
  <conditionalFormatting sqref="J43:X43">
    <cfRule type="expression" dxfId="130" priority="82">
      <formula>AND(AND($E43&lt;=J$1+6,$F43&gt;=J$1),$G43="Active")</formula>
    </cfRule>
    <cfRule type="expression" dxfId="129" priority="83">
      <formula>AND(AND($E43&lt;=J$1+6,$F43&gt;=J$1),$G43="Completed")</formula>
    </cfRule>
    <cfRule type="expression" dxfId="128" priority="81">
      <formula>AND(AND($E43&lt;=J$1+6,$F43&gt;=J$1),$G43="Planned")</formula>
    </cfRule>
  </conditionalFormatting>
  <conditionalFormatting sqref="J53:X53">
    <cfRule type="expression" dxfId="127" priority="99">
      <formula>AND(AND($E53&lt;=J$1+6,$F53&gt;=J$1),$G53="Planned")</formula>
    </cfRule>
    <cfRule type="expression" dxfId="126" priority="101">
      <formula>AND(AND($E53&lt;=J$1+6,$F53&gt;=J$1),$G53="Completed")</formula>
    </cfRule>
    <cfRule type="expression" dxfId="125" priority="100">
      <formula>AND(AND($E53&lt;=J$1+6,$F53&gt;=J$1),$G53="Active")</formula>
    </cfRule>
  </conditionalFormatting>
  <conditionalFormatting sqref="J63:X63">
    <cfRule type="expression" dxfId="124" priority="119">
      <formula>AND(AND($E63&lt;=J$1+6,$F63&gt;=J$1),$G63="Completed")</formula>
    </cfRule>
    <cfRule type="expression" dxfId="123" priority="117">
      <formula>AND(AND($E63&lt;=J$1+6,$F63&gt;=J$1),$G63="Planned")</formula>
    </cfRule>
    <cfRule type="expression" dxfId="122" priority="118">
      <formula>AND(AND($E63&lt;=J$1+6,$F63&gt;=J$1),$G63="Active")</formula>
    </cfRule>
  </conditionalFormatting>
  <conditionalFormatting sqref="J73:X73">
    <cfRule type="expression" dxfId="121" priority="136">
      <formula>AND(AND($E73&lt;=J$1+6,$F73&gt;=J$1),$G73="Active")</formula>
    </cfRule>
    <cfRule type="expression" dxfId="120" priority="137">
      <formula>AND(AND($E73&lt;=J$1+6,$F73&gt;=J$1),$G73="Completed")</formula>
    </cfRule>
    <cfRule type="expression" dxfId="119" priority="135">
      <formula>AND(AND($E73&lt;=J$1+6,$F73&gt;=J$1),$G73="Planned")</formula>
    </cfRule>
  </conditionalFormatting>
  <conditionalFormatting sqref="J83:X83">
    <cfRule type="expression" dxfId="118" priority="155">
      <formula>AND(AND($E83&lt;=J$1+6,$F83&gt;=J$1),$G83="Completed")</formula>
    </cfRule>
    <cfRule type="expression" dxfId="117" priority="154">
      <formula>AND(AND($E83&lt;=J$1+6,$F83&gt;=J$1),$G83="Active")</formula>
    </cfRule>
    <cfRule type="expression" dxfId="116" priority="153">
      <formula>AND(AND($E83&lt;=J$1+6,$F83&gt;=J$1),$G83="Planned")</formula>
    </cfRule>
  </conditionalFormatting>
  <conditionalFormatting sqref="J93:X93">
    <cfRule type="expression" dxfId="115" priority="171">
      <formula>AND(AND($E93&lt;=J$1+6,$F93&gt;=J$1),$G93="Planned")</formula>
    </cfRule>
    <cfRule type="expression" dxfId="114" priority="172">
      <formula>AND(AND($E93&lt;=J$1+6,$F93&gt;=J$1),$G93="Active")</formula>
    </cfRule>
    <cfRule type="expression" dxfId="113" priority="173">
      <formula>AND(AND($E93&lt;=J$1+6,$F93&gt;=J$1),$G93="Completed")</formula>
    </cfRule>
  </conditionalFormatting>
  <conditionalFormatting sqref="J103:X103">
    <cfRule type="expression" dxfId="112" priority="190">
      <formula>AND(AND($E103&lt;=J$1+6,$F103&gt;=J$1),$G103="Active")</formula>
    </cfRule>
    <cfRule type="expression" dxfId="111" priority="191">
      <formula>AND(AND($E103&lt;=J$1+6,$F103&gt;=J$1),$G103="Completed")</formula>
    </cfRule>
    <cfRule type="expression" dxfId="110" priority="189">
      <formula>AND(AND($E103&lt;=J$1+6,$F103&gt;=J$1),$G103="Planned")</formula>
    </cfRule>
  </conditionalFormatting>
  <conditionalFormatting sqref="J113:X113">
    <cfRule type="expression" dxfId="109" priority="209">
      <formula>AND(AND($E113&lt;=J$1+6,$F113&gt;=J$1),$G113="Completed")</formula>
    </cfRule>
    <cfRule type="expression" dxfId="108" priority="208">
      <formula>AND(AND($E113&lt;=J$1+6,$F113&gt;=J$1),$G113="Active")</formula>
    </cfRule>
    <cfRule type="expression" dxfId="107" priority="207">
      <formula>AND(AND($E113&lt;=J$1+6,$F113&gt;=J$1),$G113="Planned")</formula>
    </cfRule>
  </conditionalFormatting>
  <conditionalFormatting sqref="J123:X123">
    <cfRule type="expression" dxfId="106" priority="225">
      <formula>AND(AND($E123&lt;=J$1+6,$F123&gt;=J$1),$G123="Planned")</formula>
    </cfRule>
    <cfRule type="expression" dxfId="105" priority="226">
      <formula>AND(AND($E123&lt;=J$1+6,$F123&gt;=J$1),$G123="Active")</formula>
    </cfRule>
    <cfRule type="expression" dxfId="104" priority="227">
      <formula>AND(AND($E123&lt;=J$1+6,$F123&gt;=J$1),$G123="Completed")</formula>
    </cfRule>
  </conditionalFormatting>
  <conditionalFormatting sqref="J133:X133">
    <cfRule type="expression" dxfId="103" priority="245">
      <formula>AND(AND($E133&lt;=J$1+6,$F133&gt;=J$1),$G133="Completed")</formula>
    </cfRule>
    <cfRule type="expression" dxfId="102" priority="244">
      <formula>AND(AND($E133&lt;=J$1+6,$F133&gt;=J$1),$G133="Active")</formula>
    </cfRule>
    <cfRule type="expression" dxfId="101" priority="243">
      <formula>AND(AND($E133&lt;=J$1+6,$F133&gt;=J$1),$G133="Planned")</formula>
    </cfRule>
  </conditionalFormatting>
  <conditionalFormatting sqref="J143:X143">
    <cfRule type="expression" dxfId="100" priority="262">
      <formula>AND(AND($E143&lt;=J$1+6,$F143&gt;=J$1),$G143="Active")</formula>
    </cfRule>
    <cfRule type="expression" dxfId="99" priority="263">
      <formula>AND(AND($E143&lt;=J$1+6,$F143&gt;=J$1),$G143="Completed")</formula>
    </cfRule>
    <cfRule type="expression" dxfId="98" priority="261">
      <formula>AND(AND($E143&lt;=J$1+6,$F143&gt;=J$1),$G143="Planned")</formula>
    </cfRule>
  </conditionalFormatting>
  <conditionalFormatting sqref="J153:X153">
    <cfRule type="expression" dxfId="97" priority="281">
      <formula>AND(AND($E153&lt;=J$1+6,$F153&gt;=J$1),$G153="Completed")</formula>
    </cfRule>
    <cfRule type="expression" dxfId="96" priority="280">
      <formula>AND(AND($E153&lt;=J$1+6,$F153&gt;=J$1),$G153="Active")</formula>
    </cfRule>
    <cfRule type="expression" dxfId="95" priority="279">
      <formula>AND(AND($E153&lt;=J$1+6,$F153&gt;=J$1),$G153="Planned")</formula>
    </cfRule>
  </conditionalFormatting>
  <conditionalFormatting sqref="J163:X163">
    <cfRule type="expression" dxfId="94" priority="297">
      <formula>AND(AND($E163&lt;=J$1+6,$F163&gt;=J$1),$G163="Planned")</formula>
    </cfRule>
    <cfRule type="expression" dxfId="93" priority="298">
      <formula>AND(AND($E163&lt;=J$1+6,$F163&gt;=J$1),$G163="Active")</formula>
    </cfRule>
    <cfRule type="expression" dxfId="92" priority="299">
      <formula>AND(AND($E163&lt;=J$1+6,$F163&gt;=J$1),$G163="Completed")</formula>
    </cfRule>
  </conditionalFormatting>
  <conditionalFormatting sqref="J173:X173">
    <cfRule type="expression" dxfId="91" priority="317">
      <formula>AND(AND($E173&lt;=J$1+6,$F173&gt;=J$1),$G173="Completed")</formula>
    </cfRule>
    <cfRule type="expression" dxfId="90" priority="316">
      <formula>AND(AND($E173&lt;=J$1+6,$F173&gt;=J$1),$G173="Active")</formula>
    </cfRule>
    <cfRule type="expression" dxfId="89" priority="315">
      <formula>AND(AND($E173&lt;=J$1+6,$F173&gt;=J$1),$G173="Planned")</formula>
    </cfRule>
  </conditionalFormatting>
  <conditionalFormatting sqref="J183:X183">
    <cfRule type="expression" dxfId="88" priority="334">
      <formula>AND(AND($E183&lt;=J$1+6,$F183&gt;=J$1),$G183="Active")</formula>
    </cfRule>
    <cfRule type="expression" dxfId="87" priority="335">
      <formula>AND(AND($E183&lt;=J$1+6,$F183&gt;=J$1),$G183="Completed")</formula>
    </cfRule>
    <cfRule type="expression" dxfId="86" priority="333">
      <formula>AND(AND($E183&lt;=J$1+6,$F183&gt;=J$1),$G183="Planned")</formula>
    </cfRule>
  </conditionalFormatting>
  <conditionalFormatting sqref="J193:X193">
    <cfRule type="expression" dxfId="85" priority="351">
      <formula>AND(AND($E193&lt;=J$1+6,$F193&gt;=J$1),$G193="Planned")</formula>
    </cfRule>
    <cfRule type="expression" dxfId="84" priority="352">
      <formula>AND(AND($E193&lt;=J$1+6,$F193&gt;=J$1),$G193="Active")</formula>
    </cfRule>
    <cfRule type="expression" dxfId="83" priority="353">
      <formula>AND(AND($E193&lt;=J$1+6,$F193&gt;=J$1),$G193="Completed")</formula>
    </cfRule>
  </conditionalFormatting>
  <dataValidations count="2">
    <dataValidation type="custom" showErrorMessage="1" errorTitle="Use the popup instead" error="Double-click this cell to open the Notes popup instead." sqref="I3 I193 I183 I173 I163 I153 I143 I133 I123 I113 I103 I93 I83 I73 I63 I53 I43 I33 I23 I13" xr:uid="{00000000-0002-0000-0300-000000000000}">
      <formula1>FALSE</formula1>
    </dataValidation>
    <dataValidation type="list" allowBlank="1" sqref="G3 G193 G183 G173 G163 G153 G143 G133 G123 G113 G103 G93 G83 G73 G63 G53 G43 G33 G23 G13" xr:uid="{00000000-0002-0000-0300-000001000000}">
      <formula1>"Planned,Active,Completed"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rgb="FF898781"/>
  </sheetPr>
  <dimension ref="A1:H2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22" customWidth="1"/>
    <col min="2" max="3" width="13" customWidth="1"/>
    <col min="4" max="4" width="12" customWidth="1"/>
    <col min="5" max="5" width="10" customWidth="1"/>
    <col min="6" max="6" width="8" customWidth="1"/>
    <col min="7" max="7" width="19" customWidth="1"/>
    <col min="8" max="8" width="13" hidden="1" customWidth="1"/>
  </cols>
  <sheetData>
    <row r="1" spans="1:8" ht="32" customHeight="1" x14ac:dyDescent="0.35">
      <c r="A1" s="1" t="s">
        <v>31</v>
      </c>
      <c r="B1" s="1" t="s">
        <v>6</v>
      </c>
      <c r="C1" s="1" t="s">
        <v>33</v>
      </c>
      <c r="D1" s="1" t="s">
        <v>16</v>
      </c>
      <c r="E1" s="1" t="s">
        <v>34</v>
      </c>
      <c r="F1" s="1" t="s">
        <v>18</v>
      </c>
      <c r="G1" s="1" t="s">
        <v>29</v>
      </c>
      <c r="H1" s="1" t="s">
        <v>35</v>
      </c>
    </row>
    <row r="2" spans="1:8" ht="14.5" x14ac:dyDescent="0.35">
      <c r="B2" s="22"/>
      <c r="C2" s="22"/>
      <c r="D2" s="23"/>
      <c r="E2" s="24"/>
      <c r="F2" s="11"/>
      <c r="G2" s="8"/>
    </row>
  </sheetData>
  <sheetProtection sheet="1"/>
  <conditionalFormatting sqref="A2:H1000">
    <cfRule type="expression" dxfId="82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tabColor rgb="FF1BAF7A"/>
  </sheetPr>
  <dimension ref="A1:AA10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3" customWidth="1"/>
    <col min="2" max="2" width="10" customWidth="1"/>
    <col min="3" max="4" width="4" customWidth="1"/>
    <col min="5" max="5" width="32" customWidth="1"/>
    <col min="6" max="7" width="10" customWidth="1"/>
    <col min="8" max="9" width="18" customWidth="1"/>
    <col min="10" max="10" width="10" customWidth="1"/>
    <col min="11" max="11" width="12" customWidth="1"/>
    <col min="12" max="12" width="14" customWidth="1"/>
    <col min="13" max="13" width="9" customWidth="1"/>
    <col min="14" max="14" width="12" customWidth="1"/>
    <col min="15" max="15" width="14" customWidth="1"/>
    <col min="16" max="16" width="8" customWidth="1"/>
    <col min="17" max="21" width="13" hidden="1" customWidth="1"/>
    <col min="22" max="23" width="14" customWidth="1"/>
    <col min="25" max="27" width="13" hidden="1" customWidth="1"/>
  </cols>
  <sheetData>
    <row r="1" spans="1:27" ht="32" customHeight="1" x14ac:dyDescent="0.35">
      <c r="A1" s="1" t="s">
        <v>16</v>
      </c>
      <c r="B1" s="1" t="s">
        <v>5</v>
      </c>
      <c r="C1" s="1" t="s">
        <v>1</v>
      </c>
      <c r="D1" s="1" t="s">
        <v>2</v>
      </c>
      <c r="E1" s="1" t="s">
        <v>7</v>
      </c>
      <c r="F1" s="1" t="s">
        <v>9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42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18</v>
      </c>
      <c r="Q1" s="1" t="s">
        <v>47</v>
      </c>
      <c r="R1" s="1" t="s">
        <v>48</v>
      </c>
      <c r="S1" s="1" t="s">
        <v>21</v>
      </c>
      <c r="T1" s="1" t="s">
        <v>22</v>
      </c>
      <c r="U1" s="1" t="s">
        <v>23</v>
      </c>
      <c r="V1" s="1" t="s">
        <v>49</v>
      </c>
      <c r="W1" s="1" t="s">
        <v>50</v>
      </c>
      <c r="Y1" t="s">
        <v>51</v>
      </c>
      <c r="Z1">
        <v>1</v>
      </c>
      <c r="AA1" s="25">
        <v>0.25</v>
      </c>
    </row>
    <row r="2" spans="1:27" ht="14.5" x14ac:dyDescent="0.35">
      <c r="A2" s="2"/>
      <c r="B2" s="3"/>
      <c r="C2" s="2"/>
      <c r="D2" s="2"/>
      <c r="E2" s="2"/>
      <c r="F2" s="3" t="str">
        <f t="shared" ref="F2:F33" si="0">IF(COUNTIF($B$2:$B$101,B2&amp;".*")=0,"",COUNTIF($B$2:$B$101,B2&amp;".*"))</f>
        <v/>
      </c>
      <c r="G2" s="3"/>
      <c r="H2" s="2"/>
      <c r="I2" s="2"/>
      <c r="J2" s="2"/>
      <c r="K2" s="2"/>
      <c r="L2" s="2"/>
      <c r="M2" s="26"/>
      <c r="N2" s="2"/>
      <c r="O2" s="5"/>
      <c r="P2" s="6"/>
      <c r="Q2" s="2"/>
      <c r="R2" s="2"/>
      <c r="S2" s="2"/>
      <c r="T2" s="2"/>
      <c r="U2" s="2"/>
      <c r="V2" s="13"/>
      <c r="W2" s="13" t="str">
        <f t="shared" ref="W2:W33" si="1">IF(OR($Q2="",$S2&lt;&gt;0),"",IF($A2&lt;&gt;"Active","Paused",IF($V2="","",IF($K2="Daily",WORKDAY($V2,1),IF($K2="Weekly",IFERROR($V2+MOD(MATCH($L2,WeekdayList,0)-WEEKDAY($V2,2)-1,7)+1,""),IF($K2="Monthly",IFERROR(IF(DATE(YEAR($V2),MONTH($V2),MIN($L2+0,DAY(EOMONTH($V2,0))))&gt;$V2,DATE(YEAR($V2),MONTH($V2),MIN($L2+0,DAY(EOMONTH($V2,0)))),DATE(YEAR($V2),MONTH($V2)+1,MIN($L2+0,DAY(EOMONTH($V2,1))))),""),""))))))</f>
        <v/>
      </c>
      <c r="Y2" t="s">
        <v>52</v>
      </c>
      <c r="Z2">
        <v>2</v>
      </c>
      <c r="AA2" s="25">
        <v>0.26041666666666669</v>
      </c>
    </row>
    <row r="3" spans="1:27" ht="14.5" x14ac:dyDescent="0.35">
      <c r="A3" s="2"/>
      <c r="B3" s="3"/>
      <c r="C3" s="2"/>
      <c r="D3" s="2"/>
      <c r="E3" s="2"/>
      <c r="F3" s="3" t="str">
        <f t="shared" si="0"/>
        <v/>
      </c>
      <c r="G3" s="3"/>
      <c r="H3" s="2"/>
      <c r="I3" s="2"/>
      <c r="J3" s="2"/>
      <c r="K3" s="2"/>
      <c r="L3" s="2"/>
      <c r="M3" s="26"/>
      <c r="N3" s="2"/>
      <c r="O3" s="5"/>
      <c r="P3" s="6"/>
      <c r="Q3" s="2"/>
      <c r="R3" s="2"/>
      <c r="S3" s="2"/>
      <c r="T3" s="2"/>
      <c r="U3" s="2"/>
      <c r="V3" s="13"/>
      <c r="W3" s="13" t="str">
        <f t="shared" si="1"/>
        <v/>
      </c>
      <c r="Y3" t="s">
        <v>53</v>
      </c>
      <c r="Z3">
        <v>3</v>
      </c>
      <c r="AA3" s="25">
        <v>0.27083333333333331</v>
      </c>
    </row>
    <row r="4" spans="1:27" ht="14.5" x14ac:dyDescent="0.35">
      <c r="A4" s="2"/>
      <c r="B4" s="3"/>
      <c r="C4" s="2"/>
      <c r="D4" s="2"/>
      <c r="E4" s="2"/>
      <c r="F4" s="3" t="str">
        <f t="shared" si="0"/>
        <v/>
      </c>
      <c r="G4" s="3"/>
      <c r="H4" s="2"/>
      <c r="I4" s="2"/>
      <c r="J4" s="2"/>
      <c r="K4" s="2"/>
      <c r="L4" s="2"/>
      <c r="M4" s="26"/>
      <c r="N4" s="2"/>
      <c r="O4" s="5"/>
      <c r="P4" s="6"/>
      <c r="Q4" s="2"/>
      <c r="R4" s="2"/>
      <c r="S4" s="2"/>
      <c r="T4" s="2"/>
      <c r="U4" s="2"/>
      <c r="V4" s="13"/>
      <c r="W4" s="13" t="str">
        <f t="shared" si="1"/>
        <v/>
      </c>
      <c r="Y4" t="s">
        <v>54</v>
      </c>
      <c r="Z4">
        <v>4</v>
      </c>
      <c r="AA4" s="25">
        <v>0.28125</v>
      </c>
    </row>
    <row r="5" spans="1:27" ht="14.5" x14ac:dyDescent="0.35">
      <c r="A5" s="2"/>
      <c r="B5" s="3"/>
      <c r="C5" s="2"/>
      <c r="D5" s="2"/>
      <c r="E5" s="2"/>
      <c r="F5" s="3" t="str">
        <f t="shared" si="0"/>
        <v/>
      </c>
      <c r="G5" s="3"/>
      <c r="H5" s="2"/>
      <c r="I5" s="2"/>
      <c r="J5" s="2"/>
      <c r="K5" s="2"/>
      <c r="L5" s="2"/>
      <c r="M5" s="26"/>
      <c r="N5" s="2"/>
      <c r="O5" s="5"/>
      <c r="P5" s="6"/>
      <c r="Q5" s="2"/>
      <c r="R5" s="2"/>
      <c r="S5" s="2"/>
      <c r="T5" s="2"/>
      <c r="U5" s="2"/>
      <c r="V5" s="13"/>
      <c r="W5" s="13" t="str">
        <f t="shared" si="1"/>
        <v/>
      </c>
      <c r="Y5" t="s">
        <v>55</v>
      </c>
      <c r="Z5">
        <v>5</v>
      </c>
      <c r="AA5" s="25">
        <v>0.29166666666666669</v>
      </c>
    </row>
    <row r="6" spans="1:27" ht="14.5" x14ac:dyDescent="0.35">
      <c r="A6" s="2"/>
      <c r="B6" s="3"/>
      <c r="C6" s="2"/>
      <c r="D6" s="2"/>
      <c r="E6" s="2"/>
      <c r="F6" s="3" t="str">
        <f t="shared" si="0"/>
        <v/>
      </c>
      <c r="G6" s="3"/>
      <c r="H6" s="2"/>
      <c r="I6" s="2"/>
      <c r="J6" s="2"/>
      <c r="K6" s="2"/>
      <c r="L6" s="2"/>
      <c r="M6" s="26"/>
      <c r="N6" s="2"/>
      <c r="O6" s="5"/>
      <c r="P6" s="6"/>
      <c r="Q6" s="2"/>
      <c r="R6" s="2"/>
      <c r="S6" s="2"/>
      <c r="T6" s="2"/>
      <c r="U6" s="2"/>
      <c r="V6" s="13"/>
      <c r="W6" s="13" t="str">
        <f t="shared" si="1"/>
        <v/>
      </c>
      <c r="Y6" t="s">
        <v>56</v>
      </c>
      <c r="Z6">
        <v>6</v>
      </c>
      <c r="AA6" s="25">
        <v>0.30208333333333331</v>
      </c>
    </row>
    <row r="7" spans="1:27" ht="14.5" x14ac:dyDescent="0.35">
      <c r="A7" s="2"/>
      <c r="B7" s="3"/>
      <c r="C7" s="2"/>
      <c r="D7" s="2"/>
      <c r="E7" s="2"/>
      <c r="F7" s="3" t="str">
        <f t="shared" si="0"/>
        <v/>
      </c>
      <c r="G7" s="3"/>
      <c r="H7" s="2"/>
      <c r="I7" s="2"/>
      <c r="J7" s="2"/>
      <c r="K7" s="2"/>
      <c r="L7" s="2"/>
      <c r="M7" s="26"/>
      <c r="N7" s="2"/>
      <c r="O7" s="5"/>
      <c r="P7" s="6"/>
      <c r="Q7" s="2"/>
      <c r="R7" s="2"/>
      <c r="S7" s="2"/>
      <c r="T7" s="2"/>
      <c r="U7" s="2"/>
      <c r="V7" s="13"/>
      <c r="W7" s="13" t="str">
        <f t="shared" si="1"/>
        <v/>
      </c>
      <c r="Y7" t="s">
        <v>57</v>
      </c>
      <c r="Z7">
        <v>7</v>
      </c>
      <c r="AA7" s="25">
        <v>0.3125</v>
      </c>
    </row>
    <row r="8" spans="1:27" ht="14.5" x14ac:dyDescent="0.35">
      <c r="A8" s="2"/>
      <c r="B8" s="3"/>
      <c r="C8" s="2"/>
      <c r="D8" s="2"/>
      <c r="E8" s="2"/>
      <c r="F8" s="3" t="str">
        <f t="shared" si="0"/>
        <v/>
      </c>
      <c r="G8" s="3"/>
      <c r="H8" s="2"/>
      <c r="I8" s="2"/>
      <c r="J8" s="2"/>
      <c r="K8" s="2"/>
      <c r="L8" s="2"/>
      <c r="M8" s="26"/>
      <c r="N8" s="2"/>
      <c r="O8" s="5"/>
      <c r="P8" s="6"/>
      <c r="Q8" s="2"/>
      <c r="R8" s="2"/>
      <c r="S8" s="2"/>
      <c r="T8" s="2"/>
      <c r="U8" s="2"/>
      <c r="V8" s="13"/>
      <c r="W8" s="13" t="str">
        <f t="shared" si="1"/>
        <v/>
      </c>
      <c r="Z8">
        <v>8</v>
      </c>
      <c r="AA8" s="25">
        <v>0.32291666666666669</v>
      </c>
    </row>
    <row r="9" spans="1:27" ht="14.5" x14ac:dyDescent="0.35">
      <c r="A9" s="2"/>
      <c r="B9" s="3"/>
      <c r="C9" s="2"/>
      <c r="D9" s="2"/>
      <c r="E9" s="2"/>
      <c r="F9" s="3" t="str">
        <f t="shared" si="0"/>
        <v/>
      </c>
      <c r="G9" s="3"/>
      <c r="H9" s="2"/>
      <c r="I9" s="2"/>
      <c r="J9" s="2"/>
      <c r="K9" s="2"/>
      <c r="L9" s="2"/>
      <c r="M9" s="26"/>
      <c r="N9" s="2"/>
      <c r="O9" s="5"/>
      <c r="P9" s="6"/>
      <c r="Q9" s="2"/>
      <c r="R9" s="2"/>
      <c r="S9" s="2"/>
      <c r="T9" s="2"/>
      <c r="U9" s="2"/>
      <c r="V9" s="13"/>
      <c r="W9" s="13" t="str">
        <f t="shared" si="1"/>
        <v/>
      </c>
      <c r="Z9">
        <v>9</v>
      </c>
      <c r="AA9" s="25">
        <v>0.33333333333333331</v>
      </c>
    </row>
    <row r="10" spans="1:27" ht="14.5" x14ac:dyDescent="0.35">
      <c r="A10" s="2"/>
      <c r="B10" s="3"/>
      <c r="C10" s="2"/>
      <c r="D10" s="2"/>
      <c r="E10" s="2"/>
      <c r="F10" s="3" t="str">
        <f t="shared" si="0"/>
        <v/>
      </c>
      <c r="G10" s="3"/>
      <c r="H10" s="2"/>
      <c r="I10" s="2"/>
      <c r="J10" s="2"/>
      <c r="K10" s="2"/>
      <c r="L10" s="2"/>
      <c r="M10" s="26"/>
      <c r="N10" s="2"/>
      <c r="O10" s="5"/>
      <c r="P10" s="6"/>
      <c r="Q10" s="2"/>
      <c r="R10" s="2"/>
      <c r="S10" s="2"/>
      <c r="T10" s="2"/>
      <c r="U10" s="2"/>
      <c r="V10" s="13"/>
      <c r="W10" s="13" t="str">
        <f t="shared" si="1"/>
        <v/>
      </c>
      <c r="Z10">
        <v>10</v>
      </c>
      <c r="AA10" s="25">
        <v>0.34375</v>
      </c>
    </row>
    <row r="11" spans="1:27" ht="14.5" x14ac:dyDescent="0.35">
      <c r="A11" s="2"/>
      <c r="B11" s="3"/>
      <c r="C11" s="2"/>
      <c r="D11" s="2"/>
      <c r="E11" s="2"/>
      <c r="F11" s="3" t="str">
        <f t="shared" si="0"/>
        <v/>
      </c>
      <c r="G11" s="3"/>
      <c r="H11" s="2"/>
      <c r="I11" s="2"/>
      <c r="J11" s="2"/>
      <c r="K11" s="2"/>
      <c r="L11" s="2"/>
      <c r="M11" s="26"/>
      <c r="N11" s="2"/>
      <c r="O11" s="5"/>
      <c r="P11" s="6"/>
      <c r="Q11" s="2"/>
      <c r="R11" s="2"/>
      <c r="S11" s="2"/>
      <c r="T11" s="2"/>
      <c r="U11" s="2"/>
      <c r="V11" s="13"/>
      <c r="W11" s="13" t="str">
        <f t="shared" si="1"/>
        <v/>
      </c>
      <c r="Z11">
        <v>11</v>
      </c>
      <c r="AA11" s="25">
        <v>0.35416666666666669</v>
      </c>
    </row>
    <row r="12" spans="1:27" ht="14.5" x14ac:dyDescent="0.35">
      <c r="A12" s="2"/>
      <c r="B12" s="3"/>
      <c r="C12" s="2"/>
      <c r="D12" s="2"/>
      <c r="E12" s="2"/>
      <c r="F12" s="3" t="str">
        <f t="shared" si="0"/>
        <v/>
      </c>
      <c r="G12" s="3"/>
      <c r="H12" s="2"/>
      <c r="I12" s="2"/>
      <c r="J12" s="2"/>
      <c r="K12" s="2"/>
      <c r="L12" s="2"/>
      <c r="M12" s="26"/>
      <c r="N12" s="2"/>
      <c r="O12" s="5"/>
      <c r="P12" s="6"/>
      <c r="Q12" s="2"/>
      <c r="R12" s="2"/>
      <c r="S12" s="2"/>
      <c r="T12" s="2"/>
      <c r="U12" s="2"/>
      <c r="V12" s="13"/>
      <c r="W12" s="13" t="str">
        <f t="shared" si="1"/>
        <v/>
      </c>
      <c r="Z12">
        <v>12</v>
      </c>
      <c r="AA12" s="25">
        <v>0.36458333333333331</v>
      </c>
    </row>
    <row r="13" spans="1:27" ht="14.5" x14ac:dyDescent="0.35">
      <c r="A13" s="2"/>
      <c r="B13" s="3"/>
      <c r="C13" s="2"/>
      <c r="D13" s="2"/>
      <c r="E13" s="2"/>
      <c r="F13" s="3" t="str">
        <f t="shared" si="0"/>
        <v/>
      </c>
      <c r="G13" s="3"/>
      <c r="H13" s="2"/>
      <c r="I13" s="2"/>
      <c r="J13" s="2"/>
      <c r="K13" s="2"/>
      <c r="L13" s="2"/>
      <c r="M13" s="26"/>
      <c r="N13" s="2"/>
      <c r="O13" s="5"/>
      <c r="P13" s="6"/>
      <c r="Q13" s="2"/>
      <c r="R13" s="2"/>
      <c r="S13" s="2"/>
      <c r="T13" s="2"/>
      <c r="U13" s="2"/>
      <c r="V13" s="13"/>
      <c r="W13" s="13" t="str">
        <f t="shared" si="1"/>
        <v/>
      </c>
      <c r="Z13">
        <v>13</v>
      </c>
      <c r="AA13" s="25">
        <v>0.375</v>
      </c>
    </row>
    <row r="14" spans="1:27" ht="14.5" x14ac:dyDescent="0.35">
      <c r="A14" s="2"/>
      <c r="B14" s="3"/>
      <c r="C14" s="2"/>
      <c r="D14" s="2"/>
      <c r="E14" s="2"/>
      <c r="F14" s="3" t="str">
        <f t="shared" si="0"/>
        <v/>
      </c>
      <c r="G14" s="3"/>
      <c r="H14" s="2"/>
      <c r="I14" s="2"/>
      <c r="J14" s="2"/>
      <c r="K14" s="2"/>
      <c r="L14" s="2"/>
      <c r="M14" s="26"/>
      <c r="N14" s="2"/>
      <c r="O14" s="5"/>
      <c r="P14" s="6"/>
      <c r="Q14" s="2"/>
      <c r="R14" s="2"/>
      <c r="S14" s="2"/>
      <c r="T14" s="2"/>
      <c r="U14" s="2"/>
      <c r="V14" s="13"/>
      <c r="W14" s="13" t="str">
        <f t="shared" si="1"/>
        <v/>
      </c>
      <c r="Z14">
        <v>14</v>
      </c>
      <c r="AA14" s="25">
        <v>0.38541666666666669</v>
      </c>
    </row>
    <row r="15" spans="1:27" ht="14.5" x14ac:dyDescent="0.35">
      <c r="A15" s="2"/>
      <c r="B15" s="3"/>
      <c r="C15" s="2"/>
      <c r="D15" s="2"/>
      <c r="E15" s="2"/>
      <c r="F15" s="3" t="str">
        <f t="shared" si="0"/>
        <v/>
      </c>
      <c r="G15" s="3"/>
      <c r="H15" s="2"/>
      <c r="I15" s="2"/>
      <c r="J15" s="2"/>
      <c r="K15" s="2"/>
      <c r="L15" s="2"/>
      <c r="M15" s="26"/>
      <c r="N15" s="2"/>
      <c r="O15" s="5"/>
      <c r="P15" s="6"/>
      <c r="Q15" s="2"/>
      <c r="R15" s="2"/>
      <c r="S15" s="2"/>
      <c r="T15" s="2"/>
      <c r="U15" s="2"/>
      <c r="V15" s="13"/>
      <c r="W15" s="13" t="str">
        <f t="shared" si="1"/>
        <v/>
      </c>
      <c r="Z15">
        <v>15</v>
      </c>
      <c r="AA15" s="25">
        <v>0.39583333333333331</v>
      </c>
    </row>
    <row r="16" spans="1:27" ht="14.5" x14ac:dyDescent="0.35">
      <c r="A16" s="2"/>
      <c r="B16" s="3"/>
      <c r="C16" s="2"/>
      <c r="D16" s="2"/>
      <c r="E16" s="2"/>
      <c r="F16" s="3" t="str">
        <f t="shared" si="0"/>
        <v/>
      </c>
      <c r="G16" s="3"/>
      <c r="H16" s="2"/>
      <c r="I16" s="2"/>
      <c r="J16" s="2"/>
      <c r="K16" s="2"/>
      <c r="L16" s="2"/>
      <c r="M16" s="26"/>
      <c r="N16" s="2"/>
      <c r="O16" s="5"/>
      <c r="P16" s="6"/>
      <c r="Q16" s="2"/>
      <c r="R16" s="2"/>
      <c r="S16" s="2"/>
      <c r="T16" s="2"/>
      <c r="U16" s="2"/>
      <c r="V16" s="13"/>
      <c r="W16" s="13" t="str">
        <f t="shared" si="1"/>
        <v/>
      </c>
      <c r="Z16">
        <v>16</v>
      </c>
      <c r="AA16" s="25">
        <v>0.40625</v>
      </c>
    </row>
    <row r="17" spans="1:27" ht="14.5" x14ac:dyDescent="0.35">
      <c r="A17" s="2"/>
      <c r="B17" s="3"/>
      <c r="C17" s="2"/>
      <c r="D17" s="2"/>
      <c r="E17" s="2"/>
      <c r="F17" s="3" t="str">
        <f t="shared" si="0"/>
        <v/>
      </c>
      <c r="G17" s="3"/>
      <c r="H17" s="2"/>
      <c r="I17" s="2"/>
      <c r="J17" s="2"/>
      <c r="K17" s="2"/>
      <c r="L17" s="2"/>
      <c r="M17" s="26"/>
      <c r="N17" s="2"/>
      <c r="O17" s="5"/>
      <c r="P17" s="6"/>
      <c r="Q17" s="2"/>
      <c r="R17" s="2"/>
      <c r="S17" s="2"/>
      <c r="T17" s="2"/>
      <c r="U17" s="2"/>
      <c r="V17" s="13"/>
      <c r="W17" s="13" t="str">
        <f t="shared" si="1"/>
        <v/>
      </c>
      <c r="Z17">
        <v>17</v>
      </c>
      <c r="AA17" s="25">
        <v>0.41666666666666669</v>
      </c>
    </row>
    <row r="18" spans="1:27" ht="14.5" x14ac:dyDescent="0.35">
      <c r="A18" s="2"/>
      <c r="B18" s="3"/>
      <c r="C18" s="2"/>
      <c r="D18" s="2"/>
      <c r="E18" s="2"/>
      <c r="F18" s="3" t="str">
        <f t="shared" si="0"/>
        <v/>
      </c>
      <c r="G18" s="3"/>
      <c r="H18" s="2"/>
      <c r="I18" s="2"/>
      <c r="J18" s="2"/>
      <c r="K18" s="2"/>
      <c r="L18" s="2"/>
      <c r="M18" s="26"/>
      <c r="N18" s="2"/>
      <c r="O18" s="5"/>
      <c r="P18" s="6"/>
      <c r="Q18" s="2"/>
      <c r="R18" s="2"/>
      <c r="S18" s="2"/>
      <c r="T18" s="2"/>
      <c r="U18" s="2"/>
      <c r="V18" s="13"/>
      <c r="W18" s="13" t="str">
        <f t="shared" si="1"/>
        <v/>
      </c>
      <c r="Z18">
        <v>18</v>
      </c>
      <c r="AA18" s="25">
        <v>0.42708333333333331</v>
      </c>
    </row>
    <row r="19" spans="1:27" ht="14.5" x14ac:dyDescent="0.35">
      <c r="A19" s="2"/>
      <c r="B19" s="3"/>
      <c r="C19" s="2"/>
      <c r="D19" s="2"/>
      <c r="E19" s="2"/>
      <c r="F19" s="3" t="str">
        <f t="shared" si="0"/>
        <v/>
      </c>
      <c r="G19" s="3"/>
      <c r="H19" s="2"/>
      <c r="I19" s="2"/>
      <c r="J19" s="2"/>
      <c r="K19" s="2"/>
      <c r="L19" s="2"/>
      <c r="M19" s="26"/>
      <c r="N19" s="2"/>
      <c r="O19" s="5"/>
      <c r="P19" s="6"/>
      <c r="Q19" s="2"/>
      <c r="R19" s="2"/>
      <c r="S19" s="2"/>
      <c r="T19" s="2"/>
      <c r="U19" s="2"/>
      <c r="V19" s="13"/>
      <c r="W19" s="13" t="str">
        <f t="shared" si="1"/>
        <v/>
      </c>
      <c r="Z19">
        <v>19</v>
      </c>
      <c r="AA19" s="25">
        <v>0.4375</v>
      </c>
    </row>
    <row r="20" spans="1:27" ht="14.5" x14ac:dyDescent="0.35">
      <c r="A20" s="2"/>
      <c r="B20" s="3"/>
      <c r="C20" s="2"/>
      <c r="D20" s="2"/>
      <c r="E20" s="2"/>
      <c r="F20" s="3" t="str">
        <f t="shared" si="0"/>
        <v/>
      </c>
      <c r="G20" s="3"/>
      <c r="H20" s="2"/>
      <c r="I20" s="2"/>
      <c r="J20" s="2"/>
      <c r="K20" s="2"/>
      <c r="L20" s="2"/>
      <c r="M20" s="26"/>
      <c r="N20" s="2"/>
      <c r="O20" s="5"/>
      <c r="P20" s="6"/>
      <c r="Q20" s="2"/>
      <c r="R20" s="2"/>
      <c r="S20" s="2"/>
      <c r="T20" s="2"/>
      <c r="U20" s="2"/>
      <c r="V20" s="13"/>
      <c r="W20" s="13" t="str">
        <f t="shared" si="1"/>
        <v/>
      </c>
      <c r="Z20">
        <v>20</v>
      </c>
      <c r="AA20" s="25">
        <v>0.44791666666666669</v>
      </c>
    </row>
    <row r="21" spans="1:27" ht="14.5" x14ac:dyDescent="0.35">
      <c r="A21" s="2"/>
      <c r="B21" s="3"/>
      <c r="C21" s="2"/>
      <c r="D21" s="2"/>
      <c r="E21" s="2"/>
      <c r="F21" s="3" t="str">
        <f t="shared" si="0"/>
        <v/>
      </c>
      <c r="G21" s="3"/>
      <c r="H21" s="2"/>
      <c r="I21" s="2"/>
      <c r="J21" s="2"/>
      <c r="K21" s="2"/>
      <c r="L21" s="2"/>
      <c r="M21" s="26"/>
      <c r="N21" s="2"/>
      <c r="O21" s="5"/>
      <c r="P21" s="6"/>
      <c r="Q21" s="2"/>
      <c r="R21" s="2"/>
      <c r="S21" s="2"/>
      <c r="T21" s="2"/>
      <c r="U21" s="2"/>
      <c r="V21" s="13"/>
      <c r="W21" s="13" t="str">
        <f t="shared" si="1"/>
        <v/>
      </c>
      <c r="Z21">
        <v>21</v>
      </c>
      <c r="AA21" s="25">
        <v>0.45833333333333331</v>
      </c>
    </row>
    <row r="22" spans="1:27" ht="14.5" x14ac:dyDescent="0.35">
      <c r="A22" s="2"/>
      <c r="B22" s="3"/>
      <c r="C22" s="2"/>
      <c r="D22" s="2"/>
      <c r="E22" s="2"/>
      <c r="F22" s="3" t="str">
        <f t="shared" si="0"/>
        <v/>
      </c>
      <c r="G22" s="3"/>
      <c r="H22" s="2"/>
      <c r="I22" s="2"/>
      <c r="J22" s="2"/>
      <c r="K22" s="2"/>
      <c r="L22" s="2"/>
      <c r="M22" s="26"/>
      <c r="N22" s="2"/>
      <c r="O22" s="5"/>
      <c r="P22" s="6"/>
      <c r="Q22" s="2"/>
      <c r="R22" s="2"/>
      <c r="S22" s="2"/>
      <c r="T22" s="2"/>
      <c r="U22" s="2"/>
      <c r="V22" s="13"/>
      <c r="W22" s="13" t="str">
        <f t="shared" si="1"/>
        <v/>
      </c>
      <c r="Z22">
        <v>22</v>
      </c>
      <c r="AA22" s="25">
        <v>0.46875</v>
      </c>
    </row>
    <row r="23" spans="1:27" ht="14.5" x14ac:dyDescent="0.35">
      <c r="A23" s="2"/>
      <c r="B23" s="3"/>
      <c r="C23" s="2"/>
      <c r="D23" s="2"/>
      <c r="E23" s="2"/>
      <c r="F23" s="3" t="str">
        <f t="shared" si="0"/>
        <v/>
      </c>
      <c r="G23" s="3"/>
      <c r="H23" s="2"/>
      <c r="I23" s="2"/>
      <c r="J23" s="2"/>
      <c r="K23" s="2"/>
      <c r="L23" s="2"/>
      <c r="M23" s="26"/>
      <c r="N23" s="2"/>
      <c r="O23" s="5"/>
      <c r="P23" s="6"/>
      <c r="Q23" s="2"/>
      <c r="R23" s="2"/>
      <c r="S23" s="2"/>
      <c r="T23" s="2"/>
      <c r="U23" s="2"/>
      <c r="V23" s="13"/>
      <c r="W23" s="13" t="str">
        <f t="shared" si="1"/>
        <v/>
      </c>
      <c r="Z23">
        <v>23</v>
      </c>
      <c r="AA23" s="25">
        <v>0.47916666666666669</v>
      </c>
    </row>
    <row r="24" spans="1:27" ht="14.5" x14ac:dyDescent="0.35">
      <c r="A24" s="2"/>
      <c r="B24" s="3"/>
      <c r="C24" s="2"/>
      <c r="D24" s="2"/>
      <c r="E24" s="2"/>
      <c r="F24" s="3" t="str">
        <f t="shared" si="0"/>
        <v/>
      </c>
      <c r="G24" s="3"/>
      <c r="H24" s="2"/>
      <c r="I24" s="2"/>
      <c r="J24" s="2"/>
      <c r="K24" s="2"/>
      <c r="L24" s="2"/>
      <c r="M24" s="26"/>
      <c r="N24" s="2"/>
      <c r="O24" s="5"/>
      <c r="P24" s="6"/>
      <c r="Q24" s="2"/>
      <c r="R24" s="2"/>
      <c r="S24" s="2"/>
      <c r="T24" s="2"/>
      <c r="U24" s="2"/>
      <c r="V24" s="13"/>
      <c r="W24" s="13" t="str">
        <f t="shared" si="1"/>
        <v/>
      </c>
      <c r="Z24">
        <v>24</v>
      </c>
      <c r="AA24" s="25">
        <v>0.48958333333333331</v>
      </c>
    </row>
    <row r="25" spans="1:27" ht="14.5" x14ac:dyDescent="0.35">
      <c r="A25" s="2"/>
      <c r="B25" s="3"/>
      <c r="C25" s="2"/>
      <c r="D25" s="2"/>
      <c r="E25" s="2"/>
      <c r="F25" s="3" t="str">
        <f t="shared" si="0"/>
        <v/>
      </c>
      <c r="G25" s="3"/>
      <c r="H25" s="2"/>
      <c r="I25" s="2"/>
      <c r="J25" s="2"/>
      <c r="K25" s="2"/>
      <c r="L25" s="2"/>
      <c r="M25" s="26"/>
      <c r="N25" s="2"/>
      <c r="O25" s="5"/>
      <c r="P25" s="6"/>
      <c r="Q25" s="2"/>
      <c r="R25" s="2"/>
      <c r="S25" s="2"/>
      <c r="T25" s="2"/>
      <c r="U25" s="2"/>
      <c r="V25" s="13"/>
      <c r="W25" s="13" t="str">
        <f t="shared" si="1"/>
        <v/>
      </c>
      <c r="Z25">
        <v>25</v>
      </c>
      <c r="AA25" s="25">
        <v>0.5</v>
      </c>
    </row>
    <row r="26" spans="1:27" ht="14.5" x14ac:dyDescent="0.35">
      <c r="A26" s="2"/>
      <c r="B26" s="3"/>
      <c r="C26" s="2"/>
      <c r="D26" s="2"/>
      <c r="E26" s="2"/>
      <c r="F26" s="3" t="str">
        <f t="shared" si="0"/>
        <v/>
      </c>
      <c r="G26" s="3"/>
      <c r="H26" s="2"/>
      <c r="I26" s="2"/>
      <c r="J26" s="2"/>
      <c r="K26" s="2"/>
      <c r="L26" s="2"/>
      <c r="M26" s="26"/>
      <c r="N26" s="2"/>
      <c r="O26" s="5"/>
      <c r="P26" s="6"/>
      <c r="Q26" s="2"/>
      <c r="R26" s="2"/>
      <c r="S26" s="2"/>
      <c r="T26" s="2"/>
      <c r="U26" s="2"/>
      <c r="V26" s="13"/>
      <c r="W26" s="13" t="str">
        <f t="shared" si="1"/>
        <v/>
      </c>
      <c r="Z26">
        <v>26</v>
      </c>
      <c r="AA26" s="25">
        <v>0.51041666666666663</v>
      </c>
    </row>
    <row r="27" spans="1:27" ht="14.5" x14ac:dyDescent="0.35">
      <c r="A27" s="2"/>
      <c r="B27" s="3"/>
      <c r="C27" s="2"/>
      <c r="D27" s="2"/>
      <c r="E27" s="2"/>
      <c r="F27" s="3" t="str">
        <f t="shared" si="0"/>
        <v/>
      </c>
      <c r="G27" s="3"/>
      <c r="H27" s="2"/>
      <c r="I27" s="2"/>
      <c r="J27" s="2"/>
      <c r="K27" s="2"/>
      <c r="L27" s="2"/>
      <c r="M27" s="26"/>
      <c r="N27" s="2"/>
      <c r="O27" s="5"/>
      <c r="P27" s="6"/>
      <c r="Q27" s="2"/>
      <c r="R27" s="2"/>
      <c r="S27" s="2"/>
      <c r="T27" s="2"/>
      <c r="U27" s="2"/>
      <c r="V27" s="13"/>
      <c r="W27" s="13" t="str">
        <f t="shared" si="1"/>
        <v/>
      </c>
      <c r="Z27">
        <v>27</v>
      </c>
      <c r="AA27" s="25">
        <v>0.52083333333333337</v>
      </c>
    </row>
    <row r="28" spans="1:27" ht="14.5" x14ac:dyDescent="0.35">
      <c r="A28" s="2"/>
      <c r="B28" s="3"/>
      <c r="C28" s="2"/>
      <c r="D28" s="2"/>
      <c r="E28" s="2"/>
      <c r="F28" s="3" t="str">
        <f t="shared" si="0"/>
        <v/>
      </c>
      <c r="G28" s="3"/>
      <c r="H28" s="2"/>
      <c r="I28" s="2"/>
      <c r="J28" s="2"/>
      <c r="K28" s="2"/>
      <c r="L28" s="2"/>
      <c r="M28" s="26"/>
      <c r="N28" s="2"/>
      <c r="O28" s="5"/>
      <c r="P28" s="6"/>
      <c r="Q28" s="2"/>
      <c r="R28" s="2"/>
      <c r="S28" s="2"/>
      <c r="T28" s="2"/>
      <c r="U28" s="2"/>
      <c r="V28" s="13"/>
      <c r="W28" s="13" t="str">
        <f t="shared" si="1"/>
        <v/>
      </c>
      <c r="Z28">
        <v>28</v>
      </c>
      <c r="AA28" s="25">
        <v>0.53125</v>
      </c>
    </row>
    <row r="29" spans="1:27" ht="14.5" x14ac:dyDescent="0.35">
      <c r="A29" s="2"/>
      <c r="B29" s="3"/>
      <c r="C29" s="2"/>
      <c r="D29" s="2"/>
      <c r="E29" s="2"/>
      <c r="F29" s="3" t="str">
        <f t="shared" si="0"/>
        <v/>
      </c>
      <c r="G29" s="3"/>
      <c r="H29" s="2"/>
      <c r="I29" s="2"/>
      <c r="J29" s="2"/>
      <c r="K29" s="2"/>
      <c r="L29" s="2"/>
      <c r="M29" s="26"/>
      <c r="N29" s="2"/>
      <c r="O29" s="5"/>
      <c r="P29" s="6"/>
      <c r="Q29" s="2"/>
      <c r="R29" s="2"/>
      <c r="S29" s="2"/>
      <c r="T29" s="2"/>
      <c r="U29" s="2"/>
      <c r="V29" s="13"/>
      <c r="W29" s="13" t="str">
        <f t="shared" si="1"/>
        <v/>
      </c>
      <c r="Z29">
        <v>29</v>
      </c>
      <c r="AA29" s="25">
        <v>0.54166666666666663</v>
      </c>
    </row>
    <row r="30" spans="1:27" ht="14.5" x14ac:dyDescent="0.35">
      <c r="A30" s="2"/>
      <c r="B30" s="3"/>
      <c r="C30" s="2"/>
      <c r="D30" s="2"/>
      <c r="E30" s="2"/>
      <c r="F30" s="3" t="str">
        <f t="shared" si="0"/>
        <v/>
      </c>
      <c r="G30" s="3"/>
      <c r="H30" s="2"/>
      <c r="I30" s="2"/>
      <c r="J30" s="2"/>
      <c r="K30" s="2"/>
      <c r="L30" s="2"/>
      <c r="M30" s="26"/>
      <c r="N30" s="2"/>
      <c r="O30" s="5"/>
      <c r="P30" s="6"/>
      <c r="Q30" s="2"/>
      <c r="R30" s="2"/>
      <c r="S30" s="2"/>
      <c r="T30" s="2"/>
      <c r="U30" s="2"/>
      <c r="V30" s="13"/>
      <c r="W30" s="13" t="str">
        <f t="shared" si="1"/>
        <v/>
      </c>
      <c r="Z30">
        <v>30</v>
      </c>
      <c r="AA30" s="25">
        <v>0.55208333333333337</v>
      </c>
    </row>
    <row r="31" spans="1:27" ht="14.5" x14ac:dyDescent="0.35">
      <c r="A31" s="2"/>
      <c r="B31" s="3"/>
      <c r="C31" s="2"/>
      <c r="D31" s="2"/>
      <c r="E31" s="2"/>
      <c r="F31" s="3" t="str">
        <f t="shared" si="0"/>
        <v/>
      </c>
      <c r="G31" s="3"/>
      <c r="H31" s="2"/>
      <c r="I31" s="2"/>
      <c r="J31" s="2"/>
      <c r="K31" s="2"/>
      <c r="L31" s="2"/>
      <c r="M31" s="26"/>
      <c r="N31" s="2"/>
      <c r="O31" s="5"/>
      <c r="P31" s="6"/>
      <c r="Q31" s="2"/>
      <c r="R31" s="2"/>
      <c r="S31" s="2"/>
      <c r="T31" s="2"/>
      <c r="U31" s="2"/>
      <c r="V31" s="13"/>
      <c r="W31" s="13" t="str">
        <f t="shared" si="1"/>
        <v/>
      </c>
      <c r="Z31">
        <v>31</v>
      </c>
      <c r="AA31" s="25">
        <v>0.5625</v>
      </c>
    </row>
    <row r="32" spans="1:27" ht="14.5" x14ac:dyDescent="0.35">
      <c r="A32" s="2"/>
      <c r="B32" s="3"/>
      <c r="C32" s="2"/>
      <c r="D32" s="2"/>
      <c r="E32" s="2"/>
      <c r="F32" s="3" t="str">
        <f t="shared" si="0"/>
        <v/>
      </c>
      <c r="G32" s="3"/>
      <c r="H32" s="2"/>
      <c r="I32" s="2"/>
      <c r="J32" s="2"/>
      <c r="K32" s="2"/>
      <c r="L32" s="2"/>
      <c r="M32" s="26"/>
      <c r="N32" s="2"/>
      <c r="O32" s="5"/>
      <c r="P32" s="6"/>
      <c r="Q32" s="2"/>
      <c r="R32" s="2"/>
      <c r="S32" s="2"/>
      <c r="T32" s="2"/>
      <c r="U32" s="2"/>
      <c r="V32" s="13"/>
      <c r="W32" s="13" t="str">
        <f t="shared" si="1"/>
        <v/>
      </c>
      <c r="AA32" s="25">
        <v>0.57291666666666663</v>
      </c>
    </row>
    <row r="33" spans="1:27" ht="14.5" x14ac:dyDescent="0.35">
      <c r="A33" s="2"/>
      <c r="B33" s="3"/>
      <c r="C33" s="2"/>
      <c r="D33" s="2"/>
      <c r="E33" s="2"/>
      <c r="F33" s="3" t="str">
        <f t="shared" si="0"/>
        <v/>
      </c>
      <c r="G33" s="3"/>
      <c r="H33" s="2"/>
      <c r="I33" s="2"/>
      <c r="J33" s="2"/>
      <c r="K33" s="2"/>
      <c r="L33" s="2"/>
      <c r="M33" s="26"/>
      <c r="N33" s="2"/>
      <c r="O33" s="5"/>
      <c r="P33" s="6"/>
      <c r="Q33" s="2"/>
      <c r="R33" s="2"/>
      <c r="S33" s="2"/>
      <c r="T33" s="2"/>
      <c r="U33" s="2"/>
      <c r="V33" s="13"/>
      <c r="W33" s="13" t="str">
        <f t="shared" si="1"/>
        <v/>
      </c>
      <c r="AA33" s="25">
        <v>0.58333333333333337</v>
      </c>
    </row>
    <row r="34" spans="1:27" ht="14.5" x14ac:dyDescent="0.35">
      <c r="A34" s="2"/>
      <c r="B34" s="3"/>
      <c r="C34" s="2"/>
      <c r="D34" s="2"/>
      <c r="E34" s="2"/>
      <c r="F34" s="3" t="str">
        <f t="shared" ref="F34:F65" si="2">IF(COUNTIF($B$2:$B$101,B34&amp;".*")=0,"",COUNTIF($B$2:$B$101,B34&amp;".*"))</f>
        <v/>
      </c>
      <c r="G34" s="3"/>
      <c r="H34" s="2"/>
      <c r="I34" s="2"/>
      <c r="J34" s="2"/>
      <c r="K34" s="2"/>
      <c r="L34" s="2"/>
      <c r="M34" s="26"/>
      <c r="N34" s="2"/>
      <c r="O34" s="5"/>
      <c r="P34" s="6"/>
      <c r="Q34" s="2"/>
      <c r="R34" s="2"/>
      <c r="S34" s="2"/>
      <c r="T34" s="2"/>
      <c r="U34" s="2"/>
      <c r="V34" s="13"/>
      <c r="W34" s="13" t="str">
        <f t="shared" ref="W34:W65" si="3">IF(OR($Q34="",$S34&lt;&gt;0),"",IF($A34&lt;&gt;"Active","Paused",IF($V34="","",IF($K34="Daily",WORKDAY($V34,1),IF($K34="Weekly",IFERROR($V34+MOD(MATCH($L34,WeekdayList,0)-WEEKDAY($V34,2)-1,7)+1,""),IF($K34="Monthly",IFERROR(IF(DATE(YEAR($V34),MONTH($V34),MIN($L34+0,DAY(EOMONTH($V34,0))))&gt;$V34,DATE(YEAR($V34),MONTH($V34),MIN($L34+0,DAY(EOMONTH($V34,0)))),DATE(YEAR($V34),MONTH($V34)+1,MIN($L34+0,DAY(EOMONTH($V34,1))))),""),""))))))</f>
        <v/>
      </c>
      <c r="AA34" s="25">
        <v>0.59375</v>
      </c>
    </row>
    <row r="35" spans="1:27" ht="14.5" x14ac:dyDescent="0.35">
      <c r="A35" s="2"/>
      <c r="B35" s="3"/>
      <c r="C35" s="2"/>
      <c r="D35" s="2"/>
      <c r="E35" s="2"/>
      <c r="F35" s="3" t="str">
        <f t="shared" si="2"/>
        <v/>
      </c>
      <c r="G35" s="3"/>
      <c r="H35" s="2"/>
      <c r="I35" s="2"/>
      <c r="J35" s="2"/>
      <c r="K35" s="2"/>
      <c r="L35" s="2"/>
      <c r="M35" s="26"/>
      <c r="N35" s="2"/>
      <c r="O35" s="5"/>
      <c r="P35" s="6"/>
      <c r="Q35" s="2"/>
      <c r="R35" s="2"/>
      <c r="S35" s="2"/>
      <c r="T35" s="2"/>
      <c r="U35" s="2"/>
      <c r="V35" s="13"/>
      <c r="W35" s="13" t="str">
        <f t="shared" si="3"/>
        <v/>
      </c>
      <c r="AA35" s="25">
        <v>0.60416666666666663</v>
      </c>
    </row>
    <row r="36" spans="1:27" ht="14.5" x14ac:dyDescent="0.35">
      <c r="A36" s="2"/>
      <c r="B36" s="3"/>
      <c r="C36" s="2"/>
      <c r="D36" s="2"/>
      <c r="E36" s="2"/>
      <c r="F36" s="3" t="str">
        <f t="shared" si="2"/>
        <v/>
      </c>
      <c r="G36" s="3"/>
      <c r="H36" s="2"/>
      <c r="I36" s="2"/>
      <c r="J36" s="2"/>
      <c r="K36" s="2"/>
      <c r="L36" s="2"/>
      <c r="M36" s="26"/>
      <c r="N36" s="2"/>
      <c r="O36" s="5"/>
      <c r="P36" s="6"/>
      <c r="Q36" s="2"/>
      <c r="R36" s="2"/>
      <c r="S36" s="2"/>
      <c r="T36" s="2"/>
      <c r="U36" s="2"/>
      <c r="V36" s="13"/>
      <c r="W36" s="13" t="str">
        <f t="shared" si="3"/>
        <v/>
      </c>
      <c r="AA36" s="25">
        <v>0.61458333333333337</v>
      </c>
    </row>
    <row r="37" spans="1:27" ht="14.5" x14ac:dyDescent="0.35">
      <c r="A37" s="2"/>
      <c r="B37" s="3"/>
      <c r="C37" s="2"/>
      <c r="D37" s="2"/>
      <c r="E37" s="2"/>
      <c r="F37" s="3" t="str">
        <f t="shared" si="2"/>
        <v/>
      </c>
      <c r="G37" s="3"/>
      <c r="H37" s="2"/>
      <c r="I37" s="2"/>
      <c r="J37" s="2"/>
      <c r="K37" s="2"/>
      <c r="L37" s="2"/>
      <c r="M37" s="26"/>
      <c r="N37" s="2"/>
      <c r="O37" s="5"/>
      <c r="P37" s="6"/>
      <c r="Q37" s="2"/>
      <c r="R37" s="2"/>
      <c r="S37" s="2"/>
      <c r="T37" s="2"/>
      <c r="U37" s="2"/>
      <c r="V37" s="13"/>
      <c r="W37" s="13" t="str">
        <f t="shared" si="3"/>
        <v/>
      </c>
      <c r="AA37" s="25">
        <v>0.625</v>
      </c>
    </row>
    <row r="38" spans="1:27" ht="14.5" x14ac:dyDescent="0.35">
      <c r="A38" s="2"/>
      <c r="B38" s="3"/>
      <c r="C38" s="2"/>
      <c r="D38" s="2"/>
      <c r="E38" s="2"/>
      <c r="F38" s="3" t="str">
        <f t="shared" si="2"/>
        <v/>
      </c>
      <c r="G38" s="3"/>
      <c r="H38" s="2"/>
      <c r="I38" s="2"/>
      <c r="J38" s="2"/>
      <c r="K38" s="2"/>
      <c r="L38" s="2"/>
      <c r="M38" s="26"/>
      <c r="N38" s="2"/>
      <c r="O38" s="5"/>
      <c r="P38" s="6"/>
      <c r="Q38" s="2"/>
      <c r="R38" s="2"/>
      <c r="S38" s="2"/>
      <c r="T38" s="2"/>
      <c r="U38" s="2"/>
      <c r="V38" s="13"/>
      <c r="W38" s="13" t="str">
        <f t="shared" si="3"/>
        <v/>
      </c>
      <c r="AA38" s="25">
        <v>0.63541666666666663</v>
      </c>
    </row>
    <row r="39" spans="1:27" ht="14.5" x14ac:dyDescent="0.35">
      <c r="A39" s="2"/>
      <c r="B39" s="3"/>
      <c r="C39" s="2"/>
      <c r="D39" s="2"/>
      <c r="E39" s="2"/>
      <c r="F39" s="3" t="str">
        <f t="shared" si="2"/>
        <v/>
      </c>
      <c r="G39" s="3"/>
      <c r="H39" s="2"/>
      <c r="I39" s="2"/>
      <c r="J39" s="2"/>
      <c r="K39" s="2"/>
      <c r="L39" s="2"/>
      <c r="M39" s="26"/>
      <c r="N39" s="2"/>
      <c r="O39" s="5"/>
      <c r="P39" s="6"/>
      <c r="Q39" s="2"/>
      <c r="R39" s="2"/>
      <c r="S39" s="2"/>
      <c r="T39" s="2"/>
      <c r="U39" s="2"/>
      <c r="V39" s="13"/>
      <c r="W39" s="13" t="str">
        <f t="shared" si="3"/>
        <v/>
      </c>
      <c r="AA39" s="25">
        <v>0.64583333333333337</v>
      </c>
    </row>
    <row r="40" spans="1:27" ht="14.5" x14ac:dyDescent="0.35">
      <c r="A40" s="2"/>
      <c r="B40" s="3"/>
      <c r="C40" s="2"/>
      <c r="D40" s="2"/>
      <c r="E40" s="2"/>
      <c r="F40" s="3" t="str">
        <f t="shared" si="2"/>
        <v/>
      </c>
      <c r="G40" s="3"/>
      <c r="H40" s="2"/>
      <c r="I40" s="2"/>
      <c r="J40" s="2"/>
      <c r="K40" s="2"/>
      <c r="L40" s="2"/>
      <c r="M40" s="26"/>
      <c r="N40" s="2"/>
      <c r="O40" s="5"/>
      <c r="P40" s="6"/>
      <c r="Q40" s="2"/>
      <c r="R40" s="2"/>
      <c r="S40" s="2"/>
      <c r="T40" s="2"/>
      <c r="U40" s="2"/>
      <c r="V40" s="13"/>
      <c r="W40" s="13" t="str">
        <f t="shared" si="3"/>
        <v/>
      </c>
      <c r="AA40" s="25">
        <v>0.65625</v>
      </c>
    </row>
    <row r="41" spans="1:27" ht="14.5" x14ac:dyDescent="0.35">
      <c r="A41" s="2"/>
      <c r="B41" s="3"/>
      <c r="C41" s="2"/>
      <c r="D41" s="2"/>
      <c r="E41" s="2"/>
      <c r="F41" s="3" t="str">
        <f t="shared" si="2"/>
        <v/>
      </c>
      <c r="G41" s="3"/>
      <c r="H41" s="2"/>
      <c r="I41" s="2"/>
      <c r="J41" s="2"/>
      <c r="K41" s="2"/>
      <c r="L41" s="2"/>
      <c r="M41" s="26"/>
      <c r="N41" s="2"/>
      <c r="O41" s="5"/>
      <c r="P41" s="6"/>
      <c r="Q41" s="2"/>
      <c r="R41" s="2"/>
      <c r="S41" s="2"/>
      <c r="T41" s="2"/>
      <c r="U41" s="2"/>
      <c r="V41" s="13"/>
      <c r="W41" s="13" t="str">
        <f t="shared" si="3"/>
        <v/>
      </c>
      <c r="AA41" s="25">
        <v>0.66666666666666663</v>
      </c>
    </row>
    <row r="42" spans="1:27" ht="14.5" x14ac:dyDescent="0.35">
      <c r="A42" s="2"/>
      <c r="B42" s="3"/>
      <c r="C42" s="2"/>
      <c r="D42" s="2"/>
      <c r="E42" s="2"/>
      <c r="F42" s="3" t="str">
        <f t="shared" si="2"/>
        <v/>
      </c>
      <c r="G42" s="3"/>
      <c r="H42" s="2"/>
      <c r="I42" s="2"/>
      <c r="J42" s="2"/>
      <c r="K42" s="2"/>
      <c r="L42" s="2"/>
      <c r="M42" s="26"/>
      <c r="N42" s="2"/>
      <c r="O42" s="5"/>
      <c r="P42" s="6"/>
      <c r="Q42" s="2"/>
      <c r="R42" s="2"/>
      <c r="S42" s="2"/>
      <c r="T42" s="2"/>
      <c r="U42" s="2"/>
      <c r="V42" s="13"/>
      <c r="W42" s="13" t="str">
        <f t="shared" si="3"/>
        <v/>
      </c>
      <c r="AA42" s="25">
        <v>0.67708333333333337</v>
      </c>
    </row>
    <row r="43" spans="1:27" ht="14.5" x14ac:dyDescent="0.35">
      <c r="A43" s="2"/>
      <c r="B43" s="3"/>
      <c r="C43" s="2"/>
      <c r="D43" s="2"/>
      <c r="E43" s="2"/>
      <c r="F43" s="3" t="str">
        <f t="shared" si="2"/>
        <v/>
      </c>
      <c r="G43" s="3"/>
      <c r="H43" s="2"/>
      <c r="I43" s="2"/>
      <c r="J43" s="2"/>
      <c r="K43" s="2"/>
      <c r="L43" s="2"/>
      <c r="M43" s="26"/>
      <c r="N43" s="2"/>
      <c r="O43" s="5"/>
      <c r="P43" s="6"/>
      <c r="Q43" s="2"/>
      <c r="R43" s="2"/>
      <c r="S43" s="2"/>
      <c r="T43" s="2"/>
      <c r="U43" s="2"/>
      <c r="V43" s="13"/>
      <c r="W43" s="13" t="str">
        <f t="shared" si="3"/>
        <v/>
      </c>
      <c r="AA43" s="25">
        <v>0.6875</v>
      </c>
    </row>
    <row r="44" spans="1:27" ht="14.5" x14ac:dyDescent="0.35">
      <c r="A44" s="2"/>
      <c r="B44" s="3"/>
      <c r="C44" s="2"/>
      <c r="D44" s="2"/>
      <c r="E44" s="2"/>
      <c r="F44" s="3" t="str">
        <f t="shared" si="2"/>
        <v/>
      </c>
      <c r="G44" s="3"/>
      <c r="H44" s="2"/>
      <c r="I44" s="2"/>
      <c r="J44" s="2"/>
      <c r="K44" s="2"/>
      <c r="L44" s="2"/>
      <c r="M44" s="26"/>
      <c r="N44" s="2"/>
      <c r="O44" s="5"/>
      <c r="P44" s="6"/>
      <c r="Q44" s="2"/>
      <c r="R44" s="2"/>
      <c r="S44" s="2"/>
      <c r="T44" s="2"/>
      <c r="U44" s="2"/>
      <c r="V44" s="13"/>
      <c r="W44" s="13" t="str">
        <f t="shared" si="3"/>
        <v/>
      </c>
      <c r="AA44" s="25">
        <v>0.69791666666666663</v>
      </c>
    </row>
    <row r="45" spans="1:27" ht="14.5" x14ac:dyDescent="0.35">
      <c r="A45" s="2"/>
      <c r="B45" s="3"/>
      <c r="C45" s="2"/>
      <c r="D45" s="2"/>
      <c r="E45" s="2"/>
      <c r="F45" s="3" t="str">
        <f t="shared" si="2"/>
        <v/>
      </c>
      <c r="G45" s="3"/>
      <c r="H45" s="2"/>
      <c r="I45" s="2"/>
      <c r="J45" s="2"/>
      <c r="K45" s="2"/>
      <c r="L45" s="2"/>
      <c r="M45" s="26"/>
      <c r="N45" s="2"/>
      <c r="O45" s="5"/>
      <c r="P45" s="6"/>
      <c r="Q45" s="2"/>
      <c r="R45" s="2"/>
      <c r="S45" s="2"/>
      <c r="T45" s="2"/>
      <c r="U45" s="2"/>
      <c r="V45" s="13"/>
      <c r="W45" s="13" t="str">
        <f t="shared" si="3"/>
        <v/>
      </c>
      <c r="AA45" s="25">
        <v>0.70833333333333337</v>
      </c>
    </row>
    <row r="46" spans="1:27" ht="14.5" x14ac:dyDescent="0.35">
      <c r="A46" s="2"/>
      <c r="B46" s="3"/>
      <c r="C46" s="2"/>
      <c r="D46" s="2"/>
      <c r="E46" s="2"/>
      <c r="F46" s="3" t="str">
        <f t="shared" si="2"/>
        <v/>
      </c>
      <c r="G46" s="3"/>
      <c r="H46" s="2"/>
      <c r="I46" s="2"/>
      <c r="J46" s="2"/>
      <c r="K46" s="2"/>
      <c r="L46" s="2"/>
      <c r="M46" s="26"/>
      <c r="N46" s="2"/>
      <c r="O46" s="5"/>
      <c r="P46" s="6"/>
      <c r="Q46" s="2"/>
      <c r="R46" s="2"/>
      <c r="S46" s="2"/>
      <c r="T46" s="2"/>
      <c r="U46" s="2"/>
      <c r="V46" s="13"/>
      <c r="W46" s="13" t="str">
        <f t="shared" si="3"/>
        <v/>
      </c>
      <c r="AA46" s="25">
        <v>0.71875</v>
      </c>
    </row>
    <row r="47" spans="1:27" ht="14.5" x14ac:dyDescent="0.35">
      <c r="A47" s="2"/>
      <c r="B47" s="3"/>
      <c r="C47" s="2"/>
      <c r="D47" s="2"/>
      <c r="E47" s="2"/>
      <c r="F47" s="3" t="str">
        <f t="shared" si="2"/>
        <v/>
      </c>
      <c r="G47" s="3"/>
      <c r="H47" s="2"/>
      <c r="I47" s="2"/>
      <c r="J47" s="2"/>
      <c r="K47" s="2"/>
      <c r="L47" s="2"/>
      <c r="M47" s="26"/>
      <c r="N47" s="2"/>
      <c r="O47" s="5"/>
      <c r="P47" s="6"/>
      <c r="Q47" s="2"/>
      <c r="R47" s="2"/>
      <c r="S47" s="2"/>
      <c r="T47" s="2"/>
      <c r="U47" s="2"/>
      <c r="V47" s="13"/>
      <c r="W47" s="13" t="str">
        <f t="shared" si="3"/>
        <v/>
      </c>
      <c r="AA47" s="25">
        <v>0.72916666666666663</v>
      </c>
    </row>
    <row r="48" spans="1:27" ht="14.5" x14ac:dyDescent="0.35">
      <c r="A48" s="2"/>
      <c r="B48" s="3"/>
      <c r="C48" s="2"/>
      <c r="D48" s="2"/>
      <c r="E48" s="2"/>
      <c r="F48" s="3" t="str">
        <f t="shared" si="2"/>
        <v/>
      </c>
      <c r="G48" s="3"/>
      <c r="H48" s="2"/>
      <c r="I48" s="2"/>
      <c r="J48" s="2"/>
      <c r="K48" s="2"/>
      <c r="L48" s="2"/>
      <c r="M48" s="26"/>
      <c r="N48" s="2"/>
      <c r="O48" s="5"/>
      <c r="P48" s="6"/>
      <c r="Q48" s="2"/>
      <c r="R48" s="2"/>
      <c r="S48" s="2"/>
      <c r="T48" s="2"/>
      <c r="U48" s="2"/>
      <c r="V48" s="13"/>
      <c r="W48" s="13" t="str">
        <f t="shared" si="3"/>
        <v/>
      </c>
      <c r="AA48" s="25">
        <v>0.73958333333333337</v>
      </c>
    </row>
    <row r="49" spans="1:27" ht="14.5" x14ac:dyDescent="0.35">
      <c r="A49" s="2"/>
      <c r="B49" s="3"/>
      <c r="C49" s="2"/>
      <c r="D49" s="2"/>
      <c r="E49" s="2"/>
      <c r="F49" s="3" t="str">
        <f t="shared" si="2"/>
        <v/>
      </c>
      <c r="G49" s="3"/>
      <c r="H49" s="2"/>
      <c r="I49" s="2"/>
      <c r="J49" s="2"/>
      <c r="K49" s="2"/>
      <c r="L49" s="2"/>
      <c r="M49" s="26"/>
      <c r="N49" s="2"/>
      <c r="O49" s="5"/>
      <c r="P49" s="6"/>
      <c r="Q49" s="2"/>
      <c r="R49" s="2"/>
      <c r="S49" s="2"/>
      <c r="T49" s="2"/>
      <c r="U49" s="2"/>
      <c r="V49" s="13"/>
      <c r="W49" s="13" t="str">
        <f t="shared" si="3"/>
        <v/>
      </c>
      <c r="AA49" s="25">
        <v>0.75</v>
      </c>
    </row>
    <row r="50" spans="1:27" ht="14.5" x14ac:dyDescent="0.35">
      <c r="A50" s="2"/>
      <c r="B50" s="3"/>
      <c r="C50" s="2"/>
      <c r="D50" s="2"/>
      <c r="E50" s="2"/>
      <c r="F50" s="3" t="str">
        <f t="shared" si="2"/>
        <v/>
      </c>
      <c r="G50" s="3"/>
      <c r="H50" s="2"/>
      <c r="I50" s="2"/>
      <c r="J50" s="2"/>
      <c r="K50" s="2"/>
      <c r="L50" s="2"/>
      <c r="M50" s="26"/>
      <c r="N50" s="2"/>
      <c r="O50" s="5"/>
      <c r="P50" s="6"/>
      <c r="Q50" s="2"/>
      <c r="R50" s="2"/>
      <c r="S50" s="2"/>
      <c r="T50" s="2"/>
      <c r="U50" s="2"/>
      <c r="V50" s="13"/>
      <c r="W50" s="13" t="str">
        <f t="shared" si="3"/>
        <v/>
      </c>
      <c r="AA50" s="25">
        <v>0.76041666666666663</v>
      </c>
    </row>
    <row r="51" spans="1:27" ht="14.5" x14ac:dyDescent="0.35">
      <c r="A51" s="2"/>
      <c r="B51" s="3"/>
      <c r="C51" s="2"/>
      <c r="D51" s="2"/>
      <c r="E51" s="2"/>
      <c r="F51" s="3" t="str">
        <f t="shared" si="2"/>
        <v/>
      </c>
      <c r="G51" s="3"/>
      <c r="H51" s="2"/>
      <c r="I51" s="2"/>
      <c r="J51" s="2"/>
      <c r="K51" s="2"/>
      <c r="L51" s="2"/>
      <c r="M51" s="26"/>
      <c r="N51" s="2"/>
      <c r="O51" s="5"/>
      <c r="P51" s="6"/>
      <c r="Q51" s="2"/>
      <c r="R51" s="2"/>
      <c r="S51" s="2"/>
      <c r="T51" s="2"/>
      <c r="U51" s="2"/>
      <c r="V51" s="13"/>
      <c r="W51" s="13" t="str">
        <f t="shared" si="3"/>
        <v/>
      </c>
      <c r="AA51" s="25">
        <v>0.77083333333333337</v>
      </c>
    </row>
    <row r="52" spans="1:27" ht="14.5" x14ac:dyDescent="0.35">
      <c r="A52" s="2"/>
      <c r="B52" s="3"/>
      <c r="C52" s="2"/>
      <c r="D52" s="2"/>
      <c r="E52" s="2"/>
      <c r="F52" s="3" t="str">
        <f t="shared" si="2"/>
        <v/>
      </c>
      <c r="G52" s="3"/>
      <c r="H52" s="2"/>
      <c r="I52" s="2"/>
      <c r="J52" s="2"/>
      <c r="K52" s="2"/>
      <c r="L52" s="2"/>
      <c r="M52" s="26"/>
      <c r="N52" s="2"/>
      <c r="O52" s="5"/>
      <c r="P52" s="6"/>
      <c r="Q52" s="2"/>
      <c r="R52" s="2"/>
      <c r="S52" s="2"/>
      <c r="T52" s="2"/>
      <c r="U52" s="2"/>
      <c r="V52" s="13"/>
      <c r="W52" s="13" t="str">
        <f t="shared" si="3"/>
        <v/>
      </c>
      <c r="AA52" s="25">
        <v>0.78125</v>
      </c>
    </row>
    <row r="53" spans="1:27" ht="14.5" x14ac:dyDescent="0.35">
      <c r="A53" s="2"/>
      <c r="B53" s="3"/>
      <c r="C53" s="2"/>
      <c r="D53" s="2"/>
      <c r="E53" s="2"/>
      <c r="F53" s="3" t="str">
        <f t="shared" si="2"/>
        <v/>
      </c>
      <c r="G53" s="3"/>
      <c r="H53" s="2"/>
      <c r="I53" s="2"/>
      <c r="J53" s="2"/>
      <c r="K53" s="2"/>
      <c r="L53" s="2"/>
      <c r="M53" s="26"/>
      <c r="N53" s="2"/>
      <c r="O53" s="5"/>
      <c r="P53" s="6"/>
      <c r="Q53" s="2"/>
      <c r="R53" s="2"/>
      <c r="S53" s="2"/>
      <c r="T53" s="2"/>
      <c r="U53" s="2"/>
      <c r="V53" s="13"/>
      <c r="W53" s="13" t="str">
        <f t="shared" si="3"/>
        <v/>
      </c>
      <c r="AA53" s="25">
        <v>0.79166666666666663</v>
      </c>
    </row>
    <row r="54" spans="1:27" ht="14.5" x14ac:dyDescent="0.35">
      <c r="A54" s="2"/>
      <c r="B54" s="3"/>
      <c r="C54" s="2"/>
      <c r="D54" s="2"/>
      <c r="E54" s="2"/>
      <c r="F54" s="3" t="str">
        <f t="shared" si="2"/>
        <v/>
      </c>
      <c r="G54" s="3"/>
      <c r="H54" s="2"/>
      <c r="I54" s="2"/>
      <c r="J54" s="2"/>
      <c r="K54" s="2"/>
      <c r="L54" s="2"/>
      <c r="M54" s="26"/>
      <c r="N54" s="2"/>
      <c r="O54" s="5"/>
      <c r="P54" s="6"/>
      <c r="Q54" s="2"/>
      <c r="R54" s="2"/>
      <c r="S54" s="2"/>
      <c r="T54" s="2"/>
      <c r="U54" s="2"/>
      <c r="V54" s="13"/>
      <c r="W54" s="13" t="str">
        <f t="shared" si="3"/>
        <v/>
      </c>
      <c r="AA54" s="25">
        <v>0.80208333333333337</v>
      </c>
    </row>
    <row r="55" spans="1:27" ht="14.5" x14ac:dyDescent="0.35">
      <c r="A55" s="2"/>
      <c r="B55" s="3"/>
      <c r="C55" s="2"/>
      <c r="D55" s="2"/>
      <c r="E55" s="2"/>
      <c r="F55" s="3" t="str">
        <f t="shared" si="2"/>
        <v/>
      </c>
      <c r="G55" s="3"/>
      <c r="H55" s="2"/>
      <c r="I55" s="2"/>
      <c r="J55" s="2"/>
      <c r="K55" s="2"/>
      <c r="L55" s="2"/>
      <c r="M55" s="26"/>
      <c r="N55" s="2"/>
      <c r="O55" s="5"/>
      <c r="P55" s="6"/>
      <c r="Q55" s="2"/>
      <c r="R55" s="2"/>
      <c r="S55" s="2"/>
      <c r="T55" s="2"/>
      <c r="U55" s="2"/>
      <c r="V55" s="13"/>
      <c r="W55" s="13" t="str">
        <f t="shared" si="3"/>
        <v/>
      </c>
      <c r="AA55" s="25">
        <v>0.8125</v>
      </c>
    </row>
    <row r="56" spans="1:27" ht="14.5" x14ac:dyDescent="0.35">
      <c r="A56" s="2"/>
      <c r="B56" s="3"/>
      <c r="C56" s="2"/>
      <c r="D56" s="2"/>
      <c r="E56" s="2"/>
      <c r="F56" s="3" t="str">
        <f t="shared" si="2"/>
        <v/>
      </c>
      <c r="G56" s="3"/>
      <c r="H56" s="2"/>
      <c r="I56" s="2"/>
      <c r="J56" s="2"/>
      <c r="K56" s="2"/>
      <c r="L56" s="2"/>
      <c r="M56" s="26"/>
      <c r="N56" s="2"/>
      <c r="O56" s="5"/>
      <c r="P56" s="6"/>
      <c r="Q56" s="2"/>
      <c r="R56" s="2"/>
      <c r="S56" s="2"/>
      <c r="T56" s="2"/>
      <c r="U56" s="2"/>
      <c r="V56" s="13"/>
      <c r="W56" s="13" t="str">
        <f t="shared" si="3"/>
        <v/>
      </c>
      <c r="AA56" s="25">
        <v>0.82291666666666663</v>
      </c>
    </row>
    <row r="57" spans="1:27" ht="14.5" x14ac:dyDescent="0.35">
      <c r="A57" s="2"/>
      <c r="B57" s="3"/>
      <c r="C57" s="2"/>
      <c r="D57" s="2"/>
      <c r="E57" s="2"/>
      <c r="F57" s="3" t="str">
        <f t="shared" si="2"/>
        <v/>
      </c>
      <c r="G57" s="3"/>
      <c r="H57" s="2"/>
      <c r="I57" s="2"/>
      <c r="J57" s="2"/>
      <c r="K57" s="2"/>
      <c r="L57" s="2"/>
      <c r="M57" s="26"/>
      <c r="N57" s="2"/>
      <c r="O57" s="5"/>
      <c r="P57" s="6"/>
      <c r="Q57" s="2"/>
      <c r="R57" s="2"/>
      <c r="S57" s="2"/>
      <c r="T57" s="2"/>
      <c r="U57" s="2"/>
      <c r="V57" s="13"/>
      <c r="W57" s="13" t="str">
        <f t="shared" si="3"/>
        <v/>
      </c>
      <c r="AA57" s="25">
        <v>0.83333333333333337</v>
      </c>
    </row>
    <row r="58" spans="1:27" ht="14.5" x14ac:dyDescent="0.35">
      <c r="A58" s="2"/>
      <c r="B58" s="3"/>
      <c r="C58" s="2"/>
      <c r="D58" s="2"/>
      <c r="E58" s="2"/>
      <c r="F58" s="3" t="str">
        <f t="shared" si="2"/>
        <v/>
      </c>
      <c r="G58" s="3"/>
      <c r="H58" s="2"/>
      <c r="I58" s="2"/>
      <c r="J58" s="2"/>
      <c r="K58" s="2"/>
      <c r="L58" s="2"/>
      <c r="M58" s="26"/>
      <c r="N58" s="2"/>
      <c r="O58" s="5"/>
      <c r="P58" s="6"/>
      <c r="Q58" s="2"/>
      <c r="R58" s="2"/>
      <c r="S58" s="2"/>
      <c r="T58" s="2"/>
      <c r="U58" s="2"/>
      <c r="V58" s="13"/>
      <c r="W58" s="13" t="str">
        <f t="shared" si="3"/>
        <v/>
      </c>
      <c r="AA58" s="25">
        <v>0.84375</v>
      </c>
    </row>
    <row r="59" spans="1:27" ht="14.5" x14ac:dyDescent="0.35">
      <c r="A59" s="2"/>
      <c r="B59" s="3"/>
      <c r="C59" s="2"/>
      <c r="D59" s="2"/>
      <c r="E59" s="2"/>
      <c r="F59" s="3" t="str">
        <f t="shared" si="2"/>
        <v/>
      </c>
      <c r="G59" s="3"/>
      <c r="H59" s="2"/>
      <c r="I59" s="2"/>
      <c r="J59" s="2"/>
      <c r="K59" s="2"/>
      <c r="L59" s="2"/>
      <c r="M59" s="26"/>
      <c r="N59" s="2"/>
      <c r="O59" s="5"/>
      <c r="P59" s="6"/>
      <c r="Q59" s="2"/>
      <c r="R59" s="2"/>
      <c r="S59" s="2"/>
      <c r="T59" s="2"/>
      <c r="U59" s="2"/>
      <c r="V59" s="13"/>
      <c r="W59" s="13" t="str">
        <f t="shared" si="3"/>
        <v/>
      </c>
      <c r="AA59" s="25">
        <v>0.85416666666666663</v>
      </c>
    </row>
    <row r="60" spans="1:27" ht="14.5" x14ac:dyDescent="0.35">
      <c r="A60" s="2"/>
      <c r="B60" s="3"/>
      <c r="C60" s="2"/>
      <c r="D60" s="2"/>
      <c r="E60" s="2"/>
      <c r="F60" s="3" t="str">
        <f t="shared" si="2"/>
        <v/>
      </c>
      <c r="G60" s="3"/>
      <c r="H60" s="2"/>
      <c r="I60" s="2"/>
      <c r="J60" s="2"/>
      <c r="K60" s="2"/>
      <c r="L60" s="2"/>
      <c r="M60" s="26"/>
      <c r="N60" s="2"/>
      <c r="O60" s="5"/>
      <c r="P60" s="6"/>
      <c r="Q60" s="2"/>
      <c r="R60" s="2"/>
      <c r="S60" s="2"/>
      <c r="T60" s="2"/>
      <c r="U60" s="2"/>
      <c r="V60" s="13"/>
      <c r="W60" s="13" t="str">
        <f t="shared" si="3"/>
        <v/>
      </c>
      <c r="AA60" s="25">
        <v>0.86458333333333337</v>
      </c>
    </row>
    <row r="61" spans="1:27" ht="14.5" x14ac:dyDescent="0.35">
      <c r="A61" s="2"/>
      <c r="B61" s="3"/>
      <c r="C61" s="2"/>
      <c r="D61" s="2"/>
      <c r="E61" s="2"/>
      <c r="F61" s="3" t="str">
        <f t="shared" si="2"/>
        <v/>
      </c>
      <c r="G61" s="3"/>
      <c r="H61" s="2"/>
      <c r="I61" s="2"/>
      <c r="J61" s="2"/>
      <c r="K61" s="2"/>
      <c r="L61" s="2"/>
      <c r="M61" s="26"/>
      <c r="N61" s="2"/>
      <c r="O61" s="5"/>
      <c r="P61" s="6"/>
      <c r="Q61" s="2"/>
      <c r="R61" s="2"/>
      <c r="S61" s="2"/>
      <c r="T61" s="2"/>
      <c r="U61" s="2"/>
      <c r="V61" s="13"/>
      <c r="W61" s="13" t="str">
        <f t="shared" si="3"/>
        <v/>
      </c>
      <c r="AA61" s="25">
        <v>0.875</v>
      </c>
    </row>
    <row r="62" spans="1:27" ht="14.5" x14ac:dyDescent="0.35">
      <c r="A62" s="2"/>
      <c r="B62" s="3"/>
      <c r="C62" s="2"/>
      <c r="D62" s="2"/>
      <c r="E62" s="2"/>
      <c r="F62" s="3" t="str">
        <f t="shared" si="2"/>
        <v/>
      </c>
      <c r="G62" s="3"/>
      <c r="H62" s="2"/>
      <c r="I62" s="2"/>
      <c r="J62" s="2"/>
      <c r="K62" s="2"/>
      <c r="L62" s="2"/>
      <c r="M62" s="26"/>
      <c r="N62" s="2"/>
      <c r="O62" s="5"/>
      <c r="P62" s="6"/>
      <c r="Q62" s="2"/>
      <c r="R62" s="2"/>
      <c r="S62" s="2"/>
      <c r="T62" s="2"/>
      <c r="U62" s="2"/>
      <c r="V62" s="13"/>
      <c r="W62" s="13" t="str">
        <f t="shared" si="3"/>
        <v/>
      </c>
      <c r="AA62" s="25">
        <v>0.88541666666666663</v>
      </c>
    </row>
    <row r="63" spans="1:27" ht="14.5" x14ac:dyDescent="0.35">
      <c r="A63" s="2"/>
      <c r="B63" s="3"/>
      <c r="C63" s="2"/>
      <c r="D63" s="2"/>
      <c r="E63" s="2"/>
      <c r="F63" s="3" t="str">
        <f t="shared" si="2"/>
        <v/>
      </c>
      <c r="G63" s="3"/>
      <c r="H63" s="2"/>
      <c r="I63" s="2"/>
      <c r="J63" s="2"/>
      <c r="K63" s="2"/>
      <c r="L63" s="2"/>
      <c r="M63" s="26"/>
      <c r="N63" s="2"/>
      <c r="O63" s="5"/>
      <c r="P63" s="6"/>
      <c r="Q63" s="2"/>
      <c r="R63" s="2"/>
      <c r="S63" s="2"/>
      <c r="T63" s="2"/>
      <c r="U63" s="2"/>
      <c r="V63" s="13"/>
      <c r="W63" s="13" t="str">
        <f t="shared" si="3"/>
        <v/>
      </c>
      <c r="AA63" s="25">
        <v>0.89583333333333337</v>
      </c>
    </row>
    <row r="64" spans="1:27" ht="14.5" x14ac:dyDescent="0.35">
      <c r="A64" s="2"/>
      <c r="B64" s="3"/>
      <c r="C64" s="2"/>
      <c r="D64" s="2"/>
      <c r="E64" s="2"/>
      <c r="F64" s="3" t="str">
        <f t="shared" si="2"/>
        <v/>
      </c>
      <c r="G64" s="3"/>
      <c r="H64" s="2"/>
      <c r="I64" s="2"/>
      <c r="J64" s="2"/>
      <c r="K64" s="2"/>
      <c r="L64" s="2"/>
      <c r="M64" s="26"/>
      <c r="N64" s="2"/>
      <c r="O64" s="5"/>
      <c r="P64" s="6"/>
      <c r="Q64" s="2"/>
      <c r="R64" s="2"/>
      <c r="S64" s="2"/>
      <c r="T64" s="2"/>
      <c r="U64" s="2"/>
      <c r="V64" s="13"/>
      <c r="W64" s="13" t="str">
        <f t="shared" si="3"/>
        <v/>
      </c>
      <c r="AA64" s="25">
        <v>0.90625</v>
      </c>
    </row>
    <row r="65" spans="1:23" ht="14.5" x14ac:dyDescent="0.35">
      <c r="A65" s="2"/>
      <c r="B65" s="3"/>
      <c r="C65" s="2"/>
      <c r="D65" s="2"/>
      <c r="E65" s="2"/>
      <c r="F65" s="3" t="str">
        <f t="shared" si="2"/>
        <v/>
      </c>
      <c r="G65" s="3"/>
      <c r="H65" s="2"/>
      <c r="I65" s="2"/>
      <c r="J65" s="2"/>
      <c r="K65" s="2"/>
      <c r="L65" s="2"/>
      <c r="M65" s="26"/>
      <c r="N65" s="2"/>
      <c r="O65" s="5"/>
      <c r="P65" s="6"/>
      <c r="Q65" s="2"/>
      <c r="R65" s="2"/>
      <c r="S65" s="2"/>
      <c r="T65" s="2"/>
      <c r="U65" s="2"/>
      <c r="V65" s="13"/>
      <c r="W65" s="13" t="str">
        <f t="shared" si="3"/>
        <v/>
      </c>
    </row>
    <row r="66" spans="1:23" ht="14.5" x14ac:dyDescent="0.35">
      <c r="A66" s="2"/>
      <c r="B66" s="3"/>
      <c r="C66" s="2"/>
      <c r="D66" s="2"/>
      <c r="E66" s="2"/>
      <c r="F66" s="3" t="str">
        <f t="shared" ref="F66:F101" si="4">IF(COUNTIF($B$2:$B$101,B66&amp;".*")=0,"",COUNTIF($B$2:$B$101,B66&amp;".*"))</f>
        <v/>
      </c>
      <c r="G66" s="3"/>
      <c r="H66" s="2"/>
      <c r="I66" s="2"/>
      <c r="J66" s="2"/>
      <c r="K66" s="2"/>
      <c r="L66" s="2"/>
      <c r="M66" s="26"/>
      <c r="N66" s="2"/>
      <c r="O66" s="5"/>
      <c r="P66" s="6"/>
      <c r="Q66" s="2"/>
      <c r="R66" s="2"/>
      <c r="S66" s="2"/>
      <c r="T66" s="2"/>
      <c r="U66" s="2"/>
      <c r="V66" s="13"/>
      <c r="W66" s="13" t="str">
        <f t="shared" ref="W66:W101" si="5">IF(OR($Q66="",$S66&lt;&gt;0),"",IF($A66&lt;&gt;"Active","Paused",IF($V66="","",IF($K66="Daily",WORKDAY($V66,1),IF($K66="Weekly",IFERROR($V66+MOD(MATCH($L66,WeekdayList,0)-WEEKDAY($V66,2)-1,7)+1,""),IF($K66="Monthly",IFERROR(IF(DATE(YEAR($V66),MONTH($V66),MIN($L66+0,DAY(EOMONTH($V66,0))))&gt;$V66,DATE(YEAR($V66),MONTH($V66),MIN($L66+0,DAY(EOMONTH($V66,0)))),DATE(YEAR($V66),MONTH($V66)+1,MIN($L66+0,DAY(EOMONTH($V66,1))))),""),""))))))</f>
        <v/>
      </c>
    </row>
    <row r="67" spans="1:23" ht="14.5" x14ac:dyDescent="0.35">
      <c r="A67" s="2"/>
      <c r="B67" s="3"/>
      <c r="C67" s="2"/>
      <c r="D67" s="2"/>
      <c r="E67" s="2"/>
      <c r="F67" s="3" t="str">
        <f t="shared" si="4"/>
        <v/>
      </c>
      <c r="G67" s="3"/>
      <c r="H67" s="2"/>
      <c r="I67" s="2"/>
      <c r="J67" s="2"/>
      <c r="K67" s="2"/>
      <c r="L67" s="2"/>
      <c r="M67" s="26"/>
      <c r="N67" s="2"/>
      <c r="O67" s="5"/>
      <c r="P67" s="6"/>
      <c r="Q67" s="2"/>
      <c r="R67" s="2"/>
      <c r="S67" s="2"/>
      <c r="T67" s="2"/>
      <c r="U67" s="2"/>
      <c r="V67" s="13"/>
      <c r="W67" s="13" t="str">
        <f t="shared" si="5"/>
        <v/>
      </c>
    </row>
    <row r="68" spans="1:23" ht="14.5" x14ac:dyDescent="0.35">
      <c r="A68" s="2"/>
      <c r="B68" s="3"/>
      <c r="C68" s="2"/>
      <c r="D68" s="2"/>
      <c r="E68" s="2"/>
      <c r="F68" s="3" t="str">
        <f t="shared" si="4"/>
        <v/>
      </c>
      <c r="G68" s="3"/>
      <c r="H68" s="2"/>
      <c r="I68" s="2"/>
      <c r="J68" s="2"/>
      <c r="K68" s="2"/>
      <c r="L68" s="2"/>
      <c r="M68" s="26"/>
      <c r="N68" s="2"/>
      <c r="O68" s="5"/>
      <c r="P68" s="6"/>
      <c r="Q68" s="2"/>
      <c r="R68" s="2"/>
      <c r="S68" s="2"/>
      <c r="T68" s="2"/>
      <c r="U68" s="2"/>
      <c r="V68" s="13"/>
      <c r="W68" s="13" t="str">
        <f t="shared" si="5"/>
        <v/>
      </c>
    </row>
    <row r="69" spans="1:23" ht="14.5" x14ac:dyDescent="0.35">
      <c r="A69" s="2"/>
      <c r="B69" s="3"/>
      <c r="C69" s="2"/>
      <c r="D69" s="2"/>
      <c r="E69" s="2"/>
      <c r="F69" s="3" t="str">
        <f t="shared" si="4"/>
        <v/>
      </c>
      <c r="G69" s="3"/>
      <c r="H69" s="2"/>
      <c r="I69" s="2"/>
      <c r="J69" s="2"/>
      <c r="K69" s="2"/>
      <c r="L69" s="2"/>
      <c r="M69" s="26"/>
      <c r="N69" s="2"/>
      <c r="O69" s="5"/>
      <c r="P69" s="6"/>
      <c r="Q69" s="2"/>
      <c r="R69" s="2"/>
      <c r="S69" s="2"/>
      <c r="T69" s="2"/>
      <c r="U69" s="2"/>
      <c r="V69" s="13"/>
      <c r="W69" s="13" t="str">
        <f t="shared" si="5"/>
        <v/>
      </c>
    </row>
    <row r="70" spans="1:23" ht="14.5" x14ac:dyDescent="0.35">
      <c r="A70" s="2"/>
      <c r="B70" s="3"/>
      <c r="C70" s="2"/>
      <c r="D70" s="2"/>
      <c r="E70" s="2"/>
      <c r="F70" s="3" t="str">
        <f t="shared" si="4"/>
        <v/>
      </c>
      <c r="G70" s="3"/>
      <c r="H70" s="2"/>
      <c r="I70" s="2"/>
      <c r="J70" s="2"/>
      <c r="K70" s="2"/>
      <c r="L70" s="2"/>
      <c r="M70" s="26"/>
      <c r="N70" s="2"/>
      <c r="O70" s="5"/>
      <c r="P70" s="6"/>
      <c r="Q70" s="2"/>
      <c r="R70" s="2"/>
      <c r="S70" s="2"/>
      <c r="T70" s="2"/>
      <c r="U70" s="2"/>
      <c r="V70" s="13"/>
      <c r="W70" s="13" t="str">
        <f t="shared" si="5"/>
        <v/>
      </c>
    </row>
    <row r="71" spans="1:23" ht="14.5" x14ac:dyDescent="0.35">
      <c r="A71" s="2"/>
      <c r="B71" s="3"/>
      <c r="C71" s="2"/>
      <c r="D71" s="2"/>
      <c r="E71" s="2"/>
      <c r="F71" s="3" t="str">
        <f t="shared" si="4"/>
        <v/>
      </c>
      <c r="G71" s="3"/>
      <c r="H71" s="2"/>
      <c r="I71" s="2"/>
      <c r="J71" s="2"/>
      <c r="K71" s="2"/>
      <c r="L71" s="2"/>
      <c r="M71" s="26"/>
      <c r="N71" s="2"/>
      <c r="O71" s="5"/>
      <c r="P71" s="6"/>
      <c r="Q71" s="2"/>
      <c r="R71" s="2"/>
      <c r="S71" s="2"/>
      <c r="T71" s="2"/>
      <c r="U71" s="2"/>
      <c r="V71" s="13"/>
      <c r="W71" s="13" t="str">
        <f t="shared" si="5"/>
        <v/>
      </c>
    </row>
    <row r="72" spans="1:23" ht="14.5" x14ac:dyDescent="0.35">
      <c r="A72" s="2"/>
      <c r="B72" s="3"/>
      <c r="C72" s="2"/>
      <c r="D72" s="2"/>
      <c r="E72" s="2"/>
      <c r="F72" s="3" t="str">
        <f t="shared" si="4"/>
        <v/>
      </c>
      <c r="G72" s="3"/>
      <c r="H72" s="2"/>
      <c r="I72" s="2"/>
      <c r="J72" s="2"/>
      <c r="K72" s="2"/>
      <c r="L72" s="2"/>
      <c r="M72" s="26"/>
      <c r="N72" s="2"/>
      <c r="O72" s="5"/>
      <c r="P72" s="6"/>
      <c r="Q72" s="2"/>
      <c r="R72" s="2"/>
      <c r="S72" s="2"/>
      <c r="T72" s="2"/>
      <c r="U72" s="2"/>
      <c r="V72" s="13"/>
      <c r="W72" s="13" t="str">
        <f t="shared" si="5"/>
        <v/>
      </c>
    </row>
    <row r="73" spans="1:23" ht="14.5" x14ac:dyDescent="0.35">
      <c r="A73" s="2"/>
      <c r="B73" s="3"/>
      <c r="C73" s="2"/>
      <c r="D73" s="2"/>
      <c r="E73" s="2"/>
      <c r="F73" s="3" t="str">
        <f t="shared" si="4"/>
        <v/>
      </c>
      <c r="G73" s="3"/>
      <c r="H73" s="2"/>
      <c r="I73" s="2"/>
      <c r="J73" s="2"/>
      <c r="K73" s="2"/>
      <c r="L73" s="2"/>
      <c r="M73" s="26"/>
      <c r="N73" s="2"/>
      <c r="O73" s="5"/>
      <c r="P73" s="6"/>
      <c r="Q73" s="2"/>
      <c r="R73" s="2"/>
      <c r="S73" s="2"/>
      <c r="T73" s="2"/>
      <c r="U73" s="2"/>
      <c r="V73" s="13"/>
      <c r="W73" s="13" t="str">
        <f t="shared" si="5"/>
        <v/>
      </c>
    </row>
    <row r="74" spans="1:23" ht="14.5" x14ac:dyDescent="0.35">
      <c r="A74" s="2"/>
      <c r="B74" s="3"/>
      <c r="C74" s="2"/>
      <c r="D74" s="2"/>
      <c r="E74" s="2"/>
      <c r="F74" s="3" t="str">
        <f t="shared" si="4"/>
        <v/>
      </c>
      <c r="G74" s="3"/>
      <c r="H74" s="2"/>
      <c r="I74" s="2"/>
      <c r="J74" s="2"/>
      <c r="K74" s="2"/>
      <c r="L74" s="2"/>
      <c r="M74" s="26"/>
      <c r="N74" s="2"/>
      <c r="O74" s="5"/>
      <c r="P74" s="6"/>
      <c r="Q74" s="2"/>
      <c r="R74" s="2"/>
      <c r="S74" s="2"/>
      <c r="T74" s="2"/>
      <c r="U74" s="2"/>
      <c r="V74" s="13"/>
      <c r="W74" s="13" t="str">
        <f t="shared" si="5"/>
        <v/>
      </c>
    </row>
    <row r="75" spans="1:23" ht="14.5" x14ac:dyDescent="0.35">
      <c r="A75" s="2"/>
      <c r="B75" s="3"/>
      <c r="C75" s="2"/>
      <c r="D75" s="2"/>
      <c r="E75" s="2"/>
      <c r="F75" s="3" t="str">
        <f t="shared" si="4"/>
        <v/>
      </c>
      <c r="G75" s="3"/>
      <c r="H75" s="2"/>
      <c r="I75" s="2"/>
      <c r="J75" s="2"/>
      <c r="K75" s="2"/>
      <c r="L75" s="2"/>
      <c r="M75" s="26"/>
      <c r="N75" s="2"/>
      <c r="O75" s="5"/>
      <c r="P75" s="6"/>
      <c r="Q75" s="2"/>
      <c r="R75" s="2"/>
      <c r="S75" s="2"/>
      <c r="T75" s="2"/>
      <c r="U75" s="2"/>
      <c r="V75" s="13"/>
      <c r="W75" s="13" t="str">
        <f t="shared" si="5"/>
        <v/>
      </c>
    </row>
    <row r="76" spans="1:23" ht="14.5" x14ac:dyDescent="0.35">
      <c r="A76" s="2"/>
      <c r="B76" s="3"/>
      <c r="C76" s="2"/>
      <c r="D76" s="2"/>
      <c r="E76" s="2"/>
      <c r="F76" s="3" t="str">
        <f t="shared" si="4"/>
        <v/>
      </c>
      <c r="G76" s="3"/>
      <c r="H76" s="2"/>
      <c r="I76" s="2"/>
      <c r="J76" s="2"/>
      <c r="K76" s="2"/>
      <c r="L76" s="2"/>
      <c r="M76" s="26"/>
      <c r="N76" s="2"/>
      <c r="O76" s="5"/>
      <c r="P76" s="6"/>
      <c r="Q76" s="2"/>
      <c r="R76" s="2"/>
      <c r="S76" s="2"/>
      <c r="T76" s="2"/>
      <c r="U76" s="2"/>
      <c r="V76" s="13"/>
      <c r="W76" s="13" t="str">
        <f t="shared" si="5"/>
        <v/>
      </c>
    </row>
    <row r="77" spans="1:23" ht="14.5" x14ac:dyDescent="0.35">
      <c r="A77" s="2"/>
      <c r="B77" s="3"/>
      <c r="C77" s="2"/>
      <c r="D77" s="2"/>
      <c r="E77" s="2"/>
      <c r="F77" s="3" t="str">
        <f t="shared" si="4"/>
        <v/>
      </c>
      <c r="G77" s="3"/>
      <c r="H77" s="2"/>
      <c r="I77" s="2"/>
      <c r="J77" s="2"/>
      <c r="K77" s="2"/>
      <c r="L77" s="2"/>
      <c r="M77" s="26"/>
      <c r="N77" s="2"/>
      <c r="O77" s="5"/>
      <c r="P77" s="6"/>
      <c r="Q77" s="2"/>
      <c r="R77" s="2"/>
      <c r="S77" s="2"/>
      <c r="T77" s="2"/>
      <c r="U77" s="2"/>
      <c r="V77" s="13"/>
      <c r="W77" s="13" t="str">
        <f t="shared" si="5"/>
        <v/>
      </c>
    </row>
    <row r="78" spans="1:23" ht="14.5" x14ac:dyDescent="0.35">
      <c r="A78" s="2"/>
      <c r="B78" s="3"/>
      <c r="C78" s="2"/>
      <c r="D78" s="2"/>
      <c r="E78" s="2"/>
      <c r="F78" s="3" t="str">
        <f t="shared" si="4"/>
        <v/>
      </c>
      <c r="G78" s="3"/>
      <c r="H78" s="2"/>
      <c r="I78" s="2"/>
      <c r="J78" s="2"/>
      <c r="K78" s="2"/>
      <c r="L78" s="2"/>
      <c r="M78" s="26"/>
      <c r="N78" s="2"/>
      <c r="O78" s="5"/>
      <c r="P78" s="6"/>
      <c r="Q78" s="2"/>
      <c r="R78" s="2"/>
      <c r="S78" s="2"/>
      <c r="T78" s="2"/>
      <c r="U78" s="2"/>
      <c r="V78" s="13"/>
      <c r="W78" s="13" t="str">
        <f t="shared" si="5"/>
        <v/>
      </c>
    </row>
    <row r="79" spans="1:23" ht="14.5" x14ac:dyDescent="0.35">
      <c r="A79" s="2"/>
      <c r="B79" s="3"/>
      <c r="C79" s="2"/>
      <c r="D79" s="2"/>
      <c r="E79" s="2"/>
      <c r="F79" s="3" t="str">
        <f t="shared" si="4"/>
        <v/>
      </c>
      <c r="G79" s="3"/>
      <c r="H79" s="2"/>
      <c r="I79" s="2"/>
      <c r="J79" s="2"/>
      <c r="K79" s="2"/>
      <c r="L79" s="2"/>
      <c r="M79" s="26"/>
      <c r="N79" s="2"/>
      <c r="O79" s="5"/>
      <c r="P79" s="6"/>
      <c r="Q79" s="2"/>
      <c r="R79" s="2"/>
      <c r="S79" s="2"/>
      <c r="T79" s="2"/>
      <c r="U79" s="2"/>
      <c r="V79" s="13"/>
      <c r="W79" s="13" t="str">
        <f t="shared" si="5"/>
        <v/>
      </c>
    </row>
    <row r="80" spans="1:23" ht="14.5" x14ac:dyDescent="0.35">
      <c r="A80" s="2"/>
      <c r="B80" s="3"/>
      <c r="C80" s="2"/>
      <c r="D80" s="2"/>
      <c r="E80" s="2"/>
      <c r="F80" s="3" t="str">
        <f t="shared" si="4"/>
        <v/>
      </c>
      <c r="G80" s="3"/>
      <c r="H80" s="2"/>
      <c r="I80" s="2"/>
      <c r="J80" s="2"/>
      <c r="K80" s="2"/>
      <c r="L80" s="2"/>
      <c r="M80" s="26"/>
      <c r="N80" s="2"/>
      <c r="O80" s="5"/>
      <c r="P80" s="6"/>
      <c r="Q80" s="2"/>
      <c r="R80" s="2"/>
      <c r="S80" s="2"/>
      <c r="T80" s="2"/>
      <c r="U80" s="2"/>
      <c r="V80" s="13"/>
      <c r="W80" s="13" t="str">
        <f t="shared" si="5"/>
        <v/>
      </c>
    </row>
    <row r="81" spans="1:23" ht="14.5" x14ac:dyDescent="0.35">
      <c r="A81" s="2"/>
      <c r="B81" s="3"/>
      <c r="C81" s="2"/>
      <c r="D81" s="2"/>
      <c r="E81" s="2"/>
      <c r="F81" s="3" t="str">
        <f t="shared" si="4"/>
        <v/>
      </c>
      <c r="G81" s="3"/>
      <c r="H81" s="2"/>
      <c r="I81" s="2"/>
      <c r="J81" s="2"/>
      <c r="K81" s="2"/>
      <c r="L81" s="2"/>
      <c r="M81" s="26"/>
      <c r="N81" s="2"/>
      <c r="O81" s="5"/>
      <c r="P81" s="6"/>
      <c r="Q81" s="2"/>
      <c r="R81" s="2"/>
      <c r="S81" s="2"/>
      <c r="T81" s="2"/>
      <c r="U81" s="2"/>
      <c r="V81" s="13"/>
      <c r="W81" s="13" t="str">
        <f t="shared" si="5"/>
        <v/>
      </c>
    </row>
    <row r="82" spans="1:23" ht="14.5" x14ac:dyDescent="0.35">
      <c r="A82" s="2"/>
      <c r="B82" s="3"/>
      <c r="C82" s="2"/>
      <c r="D82" s="2"/>
      <c r="E82" s="2"/>
      <c r="F82" s="3" t="str">
        <f t="shared" si="4"/>
        <v/>
      </c>
      <c r="G82" s="3"/>
      <c r="H82" s="2"/>
      <c r="I82" s="2"/>
      <c r="J82" s="2"/>
      <c r="K82" s="2"/>
      <c r="L82" s="2"/>
      <c r="M82" s="26"/>
      <c r="N82" s="2"/>
      <c r="O82" s="5"/>
      <c r="P82" s="6"/>
      <c r="Q82" s="2"/>
      <c r="R82" s="2"/>
      <c r="S82" s="2"/>
      <c r="T82" s="2"/>
      <c r="U82" s="2"/>
      <c r="V82" s="13"/>
      <c r="W82" s="13" t="str">
        <f t="shared" si="5"/>
        <v/>
      </c>
    </row>
    <row r="83" spans="1:23" ht="14.5" x14ac:dyDescent="0.35">
      <c r="A83" s="2"/>
      <c r="B83" s="3"/>
      <c r="C83" s="2"/>
      <c r="D83" s="2"/>
      <c r="E83" s="2"/>
      <c r="F83" s="3" t="str">
        <f t="shared" si="4"/>
        <v/>
      </c>
      <c r="G83" s="3"/>
      <c r="H83" s="2"/>
      <c r="I83" s="2"/>
      <c r="J83" s="2"/>
      <c r="K83" s="2"/>
      <c r="L83" s="2"/>
      <c r="M83" s="26"/>
      <c r="N83" s="2"/>
      <c r="O83" s="5"/>
      <c r="P83" s="6"/>
      <c r="Q83" s="2"/>
      <c r="R83" s="2"/>
      <c r="S83" s="2"/>
      <c r="T83" s="2"/>
      <c r="U83" s="2"/>
      <c r="V83" s="13"/>
      <c r="W83" s="13" t="str">
        <f t="shared" si="5"/>
        <v/>
      </c>
    </row>
    <row r="84" spans="1:23" ht="14.5" x14ac:dyDescent="0.35">
      <c r="A84" s="2"/>
      <c r="B84" s="3"/>
      <c r="C84" s="2"/>
      <c r="D84" s="2"/>
      <c r="E84" s="2"/>
      <c r="F84" s="3" t="str">
        <f t="shared" si="4"/>
        <v/>
      </c>
      <c r="G84" s="3"/>
      <c r="H84" s="2"/>
      <c r="I84" s="2"/>
      <c r="J84" s="2"/>
      <c r="K84" s="2"/>
      <c r="L84" s="2"/>
      <c r="M84" s="26"/>
      <c r="N84" s="2"/>
      <c r="O84" s="5"/>
      <c r="P84" s="6"/>
      <c r="Q84" s="2"/>
      <c r="R84" s="2"/>
      <c r="S84" s="2"/>
      <c r="T84" s="2"/>
      <c r="U84" s="2"/>
      <c r="V84" s="13"/>
      <c r="W84" s="13" t="str">
        <f t="shared" si="5"/>
        <v/>
      </c>
    </row>
    <row r="85" spans="1:23" ht="14.5" x14ac:dyDescent="0.35">
      <c r="A85" s="2"/>
      <c r="B85" s="3"/>
      <c r="C85" s="2"/>
      <c r="D85" s="2"/>
      <c r="E85" s="2"/>
      <c r="F85" s="3" t="str">
        <f t="shared" si="4"/>
        <v/>
      </c>
      <c r="G85" s="3"/>
      <c r="H85" s="2"/>
      <c r="I85" s="2"/>
      <c r="J85" s="2"/>
      <c r="K85" s="2"/>
      <c r="L85" s="2"/>
      <c r="M85" s="26"/>
      <c r="N85" s="2"/>
      <c r="O85" s="5"/>
      <c r="P85" s="6"/>
      <c r="Q85" s="2"/>
      <c r="R85" s="2"/>
      <c r="S85" s="2"/>
      <c r="T85" s="2"/>
      <c r="U85" s="2"/>
      <c r="V85" s="13"/>
      <c r="W85" s="13" t="str">
        <f t="shared" si="5"/>
        <v/>
      </c>
    </row>
    <row r="86" spans="1:23" ht="14.5" x14ac:dyDescent="0.35">
      <c r="A86" s="2"/>
      <c r="B86" s="3"/>
      <c r="C86" s="2"/>
      <c r="D86" s="2"/>
      <c r="E86" s="2"/>
      <c r="F86" s="3" t="str">
        <f t="shared" si="4"/>
        <v/>
      </c>
      <c r="G86" s="3"/>
      <c r="H86" s="2"/>
      <c r="I86" s="2"/>
      <c r="J86" s="2"/>
      <c r="K86" s="2"/>
      <c r="L86" s="2"/>
      <c r="M86" s="26"/>
      <c r="N86" s="2"/>
      <c r="O86" s="5"/>
      <c r="P86" s="6"/>
      <c r="Q86" s="2"/>
      <c r="R86" s="2"/>
      <c r="S86" s="2"/>
      <c r="T86" s="2"/>
      <c r="U86" s="2"/>
      <c r="V86" s="13"/>
      <c r="W86" s="13" t="str">
        <f t="shared" si="5"/>
        <v/>
      </c>
    </row>
    <row r="87" spans="1:23" ht="14.5" x14ac:dyDescent="0.35">
      <c r="A87" s="2"/>
      <c r="B87" s="3"/>
      <c r="C87" s="2"/>
      <c r="D87" s="2"/>
      <c r="E87" s="2"/>
      <c r="F87" s="3" t="str">
        <f t="shared" si="4"/>
        <v/>
      </c>
      <c r="G87" s="3"/>
      <c r="H87" s="2"/>
      <c r="I87" s="2"/>
      <c r="J87" s="2"/>
      <c r="K87" s="2"/>
      <c r="L87" s="2"/>
      <c r="M87" s="26"/>
      <c r="N87" s="2"/>
      <c r="O87" s="5"/>
      <c r="P87" s="6"/>
      <c r="Q87" s="2"/>
      <c r="R87" s="2"/>
      <c r="S87" s="2"/>
      <c r="T87" s="2"/>
      <c r="U87" s="2"/>
      <c r="V87" s="13"/>
      <c r="W87" s="13" t="str">
        <f t="shared" si="5"/>
        <v/>
      </c>
    </row>
    <row r="88" spans="1:23" ht="14.5" x14ac:dyDescent="0.35">
      <c r="A88" s="2"/>
      <c r="B88" s="3"/>
      <c r="C88" s="2"/>
      <c r="D88" s="2"/>
      <c r="E88" s="2"/>
      <c r="F88" s="3" t="str">
        <f t="shared" si="4"/>
        <v/>
      </c>
      <c r="G88" s="3"/>
      <c r="H88" s="2"/>
      <c r="I88" s="2"/>
      <c r="J88" s="2"/>
      <c r="K88" s="2"/>
      <c r="L88" s="2"/>
      <c r="M88" s="26"/>
      <c r="N88" s="2"/>
      <c r="O88" s="5"/>
      <c r="P88" s="6"/>
      <c r="Q88" s="2"/>
      <c r="R88" s="2"/>
      <c r="S88" s="2"/>
      <c r="T88" s="2"/>
      <c r="U88" s="2"/>
      <c r="V88" s="13"/>
      <c r="W88" s="13" t="str">
        <f t="shared" si="5"/>
        <v/>
      </c>
    </row>
    <row r="89" spans="1:23" ht="14.5" x14ac:dyDescent="0.35">
      <c r="A89" s="2"/>
      <c r="B89" s="3"/>
      <c r="C89" s="2"/>
      <c r="D89" s="2"/>
      <c r="E89" s="2"/>
      <c r="F89" s="3" t="str">
        <f t="shared" si="4"/>
        <v/>
      </c>
      <c r="G89" s="3"/>
      <c r="H89" s="2"/>
      <c r="I89" s="2"/>
      <c r="J89" s="2"/>
      <c r="K89" s="2"/>
      <c r="L89" s="2"/>
      <c r="M89" s="26"/>
      <c r="N89" s="2"/>
      <c r="O89" s="5"/>
      <c r="P89" s="6"/>
      <c r="Q89" s="2"/>
      <c r="R89" s="2"/>
      <c r="S89" s="2"/>
      <c r="T89" s="2"/>
      <c r="U89" s="2"/>
      <c r="V89" s="13"/>
      <c r="W89" s="13" t="str">
        <f t="shared" si="5"/>
        <v/>
      </c>
    </row>
    <row r="90" spans="1:23" ht="14.5" x14ac:dyDescent="0.35">
      <c r="A90" s="2"/>
      <c r="B90" s="3"/>
      <c r="C90" s="2"/>
      <c r="D90" s="2"/>
      <c r="E90" s="2"/>
      <c r="F90" s="3" t="str">
        <f t="shared" si="4"/>
        <v/>
      </c>
      <c r="G90" s="3"/>
      <c r="H90" s="2"/>
      <c r="I90" s="2"/>
      <c r="J90" s="2"/>
      <c r="K90" s="2"/>
      <c r="L90" s="2"/>
      <c r="M90" s="26"/>
      <c r="N90" s="2"/>
      <c r="O90" s="5"/>
      <c r="P90" s="6"/>
      <c r="Q90" s="2"/>
      <c r="R90" s="2"/>
      <c r="S90" s="2"/>
      <c r="T90" s="2"/>
      <c r="U90" s="2"/>
      <c r="V90" s="13"/>
      <c r="W90" s="13" t="str">
        <f t="shared" si="5"/>
        <v/>
      </c>
    </row>
    <row r="91" spans="1:23" ht="14.5" x14ac:dyDescent="0.35">
      <c r="A91" s="2"/>
      <c r="B91" s="3"/>
      <c r="C91" s="2"/>
      <c r="D91" s="2"/>
      <c r="E91" s="2"/>
      <c r="F91" s="3" t="str">
        <f t="shared" si="4"/>
        <v/>
      </c>
      <c r="G91" s="3"/>
      <c r="H91" s="2"/>
      <c r="I91" s="2"/>
      <c r="J91" s="2"/>
      <c r="K91" s="2"/>
      <c r="L91" s="2"/>
      <c r="M91" s="26"/>
      <c r="N91" s="2"/>
      <c r="O91" s="5"/>
      <c r="P91" s="6"/>
      <c r="Q91" s="2"/>
      <c r="R91" s="2"/>
      <c r="S91" s="2"/>
      <c r="T91" s="2"/>
      <c r="U91" s="2"/>
      <c r="V91" s="13"/>
      <c r="W91" s="13" t="str">
        <f t="shared" si="5"/>
        <v/>
      </c>
    </row>
    <row r="92" spans="1:23" ht="14.5" x14ac:dyDescent="0.35">
      <c r="A92" s="2"/>
      <c r="B92" s="3"/>
      <c r="C92" s="2"/>
      <c r="D92" s="2"/>
      <c r="E92" s="2"/>
      <c r="F92" s="3" t="str">
        <f t="shared" si="4"/>
        <v/>
      </c>
      <c r="G92" s="3"/>
      <c r="H92" s="2"/>
      <c r="I92" s="2"/>
      <c r="J92" s="2"/>
      <c r="K92" s="2"/>
      <c r="L92" s="2"/>
      <c r="M92" s="26"/>
      <c r="N92" s="2"/>
      <c r="O92" s="5"/>
      <c r="P92" s="6"/>
      <c r="Q92" s="2"/>
      <c r="R92" s="2"/>
      <c r="S92" s="2"/>
      <c r="T92" s="2"/>
      <c r="U92" s="2"/>
      <c r="V92" s="13"/>
      <c r="W92" s="13" t="str">
        <f t="shared" si="5"/>
        <v/>
      </c>
    </row>
    <row r="93" spans="1:23" ht="14.5" x14ac:dyDescent="0.35">
      <c r="A93" s="2"/>
      <c r="B93" s="3"/>
      <c r="C93" s="2"/>
      <c r="D93" s="2"/>
      <c r="E93" s="2"/>
      <c r="F93" s="3" t="str">
        <f t="shared" si="4"/>
        <v/>
      </c>
      <c r="G93" s="3"/>
      <c r="H93" s="2"/>
      <c r="I93" s="2"/>
      <c r="J93" s="2"/>
      <c r="K93" s="2"/>
      <c r="L93" s="2"/>
      <c r="M93" s="26"/>
      <c r="N93" s="2"/>
      <c r="O93" s="5"/>
      <c r="P93" s="6"/>
      <c r="Q93" s="2"/>
      <c r="R93" s="2"/>
      <c r="S93" s="2"/>
      <c r="T93" s="2"/>
      <c r="U93" s="2"/>
      <c r="V93" s="13"/>
      <c r="W93" s="13" t="str">
        <f t="shared" si="5"/>
        <v/>
      </c>
    </row>
    <row r="94" spans="1:23" ht="14.5" x14ac:dyDescent="0.35">
      <c r="A94" s="2"/>
      <c r="B94" s="3"/>
      <c r="C94" s="2"/>
      <c r="D94" s="2"/>
      <c r="E94" s="2"/>
      <c r="F94" s="3" t="str">
        <f t="shared" si="4"/>
        <v/>
      </c>
      <c r="G94" s="3"/>
      <c r="H94" s="2"/>
      <c r="I94" s="2"/>
      <c r="J94" s="2"/>
      <c r="K94" s="2"/>
      <c r="L94" s="2"/>
      <c r="M94" s="26"/>
      <c r="N94" s="2"/>
      <c r="O94" s="5"/>
      <c r="P94" s="6"/>
      <c r="Q94" s="2"/>
      <c r="R94" s="2"/>
      <c r="S94" s="2"/>
      <c r="T94" s="2"/>
      <c r="U94" s="2"/>
      <c r="V94" s="13"/>
      <c r="W94" s="13" t="str">
        <f t="shared" si="5"/>
        <v/>
      </c>
    </row>
    <row r="95" spans="1:23" ht="14.5" x14ac:dyDescent="0.35">
      <c r="A95" s="2"/>
      <c r="B95" s="3"/>
      <c r="C95" s="2"/>
      <c r="D95" s="2"/>
      <c r="E95" s="2"/>
      <c r="F95" s="3" t="str">
        <f t="shared" si="4"/>
        <v/>
      </c>
      <c r="G95" s="3"/>
      <c r="H95" s="2"/>
      <c r="I95" s="2"/>
      <c r="J95" s="2"/>
      <c r="K95" s="2"/>
      <c r="L95" s="2"/>
      <c r="M95" s="26"/>
      <c r="N95" s="2"/>
      <c r="O95" s="5"/>
      <c r="P95" s="6"/>
      <c r="Q95" s="2"/>
      <c r="R95" s="2"/>
      <c r="S95" s="2"/>
      <c r="T95" s="2"/>
      <c r="U95" s="2"/>
      <c r="V95" s="13"/>
      <c r="W95" s="13" t="str">
        <f t="shared" si="5"/>
        <v/>
      </c>
    </row>
    <row r="96" spans="1:23" ht="14.5" x14ac:dyDescent="0.35">
      <c r="A96" s="2"/>
      <c r="B96" s="3"/>
      <c r="C96" s="2"/>
      <c r="D96" s="2"/>
      <c r="E96" s="2"/>
      <c r="F96" s="3" t="str">
        <f t="shared" si="4"/>
        <v/>
      </c>
      <c r="G96" s="3"/>
      <c r="H96" s="2"/>
      <c r="I96" s="2"/>
      <c r="J96" s="2"/>
      <c r="K96" s="2"/>
      <c r="L96" s="2"/>
      <c r="M96" s="26"/>
      <c r="N96" s="2"/>
      <c r="O96" s="5"/>
      <c r="P96" s="6"/>
      <c r="Q96" s="2"/>
      <c r="R96" s="2"/>
      <c r="S96" s="2"/>
      <c r="T96" s="2"/>
      <c r="U96" s="2"/>
      <c r="V96" s="13"/>
      <c r="W96" s="13" t="str">
        <f t="shared" si="5"/>
        <v/>
      </c>
    </row>
    <row r="97" spans="1:23" ht="14.5" x14ac:dyDescent="0.35">
      <c r="A97" s="2"/>
      <c r="B97" s="3"/>
      <c r="C97" s="2"/>
      <c r="D97" s="2"/>
      <c r="E97" s="2"/>
      <c r="F97" s="3" t="str">
        <f t="shared" si="4"/>
        <v/>
      </c>
      <c r="G97" s="3"/>
      <c r="H97" s="2"/>
      <c r="I97" s="2"/>
      <c r="J97" s="2"/>
      <c r="K97" s="2"/>
      <c r="L97" s="2"/>
      <c r="M97" s="26"/>
      <c r="N97" s="2"/>
      <c r="O97" s="5"/>
      <c r="P97" s="6"/>
      <c r="Q97" s="2"/>
      <c r="R97" s="2"/>
      <c r="S97" s="2"/>
      <c r="T97" s="2"/>
      <c r="U97" s="2"/>
      <c r="V97" s="13"/>
      <c r="W97" s="13" t="str">
        <f t="shared" si="5"/>
        <v/>
      </c>
    </row>
    <row r="98" spans="1:23" ht="14.5" x14ac:dyDescent="0.35">
      <c r="A98" s="2"/>
      <c r="B98" s="3"/>
      <c r="C98" s="2"/>
      <c r="D98" s="2"/>
      <c r="E98" s="2"/>
      <c r="F98" s="3" t="str">
        <f t="shared" si="4"/>
        <v/>
      </c>
      <c r="G98" s="3"/>
      <c r="H98" s="2"/>
      <c r="I98" s="2"/>
      <c r="J98" s="2"/>
      <c r="K98" s="2"/>
      <c r="L98" s="2"/>
      <c r="M98" s="26"/>
      <c r="N98" s="2"/>
      <c r="O98" s="5"/>
      <c r="P98" s="6"/>
      <c r="Q98" s="2"/>
      <c r="R98" s="2"/>
      <c r="S98" s="2"/>
      <c r="T98" s="2"/>
      <c r="U98" s="2"/>
      <c r="V98" s="13"/>
      <c r="W98" s="13" t="str">
        <f t="shared" si="5"/>
        <v/>
      </c>
    </row>
    <row r="99" spans="1:23" ht="14.5" x14ac:dyDescent="0.35">
      <c r="A99" s="2"/>
      <c r="B99" s="3"/>
      <c r="C99" s="2"/>
      <c r="D99" s="2"/>
      <c r="E99" s="2"/>
      <c r="F99" s="3" t="str">
        <f t="shared" si="4"/>
        <v/>
      </c>
      <c r="G99" s="3"/>
      <c r="H99" s="2"/>
      <c r="I99" s="2"/>
      <c r="J99" s="2"/>
      <c r="K99" s="2"/>
      <c r="L99" s="2"/>
      <c r="M99" s="26"/>
      <c r="N99" s="2"/>
      <c r="O99" s="5"/>
      <c r="P99" s="6"/>
      <c r="Q99" s="2"/>
      <c r="R99" s="2"/>
      <c r="S99" s="2"/>
      <c r="T99" s="2"/>
      <c r="U99" s="2"/>
      <c r="V99" s="13"/>
      <c r="W99" s="13" t="str">
        <f t="shared" si="5"/>
        <v/>
      </c>
    </row>
    <row r="100" spans="1:23" ht="14.5" x14ac:dyDescent="0.35">
      <c r="A100" s="2"/>
      <c r="B100" s="3"/>
      <c r="C100" s="2"/>
      <c r="D100" s="2"/>
      <c r="E100" s="2"/>
      <c r="F100" s="3" t="str">
        <f t="shared" si="4"/>
        <v/>
      </c>
      <c r="G100" s="3"/>
      <c r="H100" s="2"/>
      <c r="I100" s="2"/>
      <c r="J100" s="2"/>
      <c r="K100" s="2"/>
      <c r="L100" s="2"/>
      <c r="M100" s="26"/>
      <c r="N100" s="2"/>
      <c r="O100" s="5"/>
      <c r="P100" s="6"/>
      <c r="Q100" s="2"/>
      <c r="R100" s="2"/>
      <c r="S100" s="2"/>
      <c r="T100" s="2"/>
      <c r="U100" s="2"/>
      <c r="V100" s="13"/>
      <c r="W100" s="13" t="str">
        <f t="shared" si="5"/>
        <v/>
      </c>
    </row>
    <row r="101" spans="1:23" ht="14.5" x14ac:dyDescent="0.35">
      <c r="A101" s="2"/>
      <c r="B101" s="3"/>
      <c r="C101" s="2"/>
      <c r="D101" s="2"/>
      <c r="E101" s="2"/>
      <c r="F101" s="3" t="str">
        <f t="shared" si="4"/>
        <v/>
      </c>
      <c r="G101" s="3"/>
      <c r="H101" s="2"/>
      <c r="I101" s="2"/>
      <c r="J101" s="2"/>
      <c r="K101" s="2"/>
      <c r="L101" s="2"/>
      <c r="M101" s="26"/>
      <c r="N101" s="2"/>
      <c r="O101" s="5"/>
      <c r="P101" s="6"/>
      <c r="Q101" s="2"/>
      <c r="R101" s="2"/>
      <c r="S101" s="2"/>
      <c r="T101" s="2"/>
      <c r="U101" s="2"/>
      <c r="V101" s="13"/>
      <c r="W101" s="13" t="str">
        <f t="shared" si="5"/>
        <v/>
      </c>
    </row>
  </sheetData>
  <conditionalFormatting sqref="A2:A101">
    <cfRule type="expression" dxfId="81" priority="1">
      <formula>$A2="Active"</formula>
    </cfRule>
    <cfRule type="expression" dxfId="80" priority="2">
      <formula>$A2="Inactive"</formula>
    </cfRule>
  </conditionalFormatting>
  <conditionalFormatting sqref="A2:P101">
    <cfRule type="expression" dxfId="79" priority="9">
      <formula>$S2=1</formula>
    </cfRule>
    <cfRule type="expression" dxfId="78" priority="10">
      <formula>$S2=2</formula>
    </cfRule>
    <cfRule type="expression" dxfId="77" priority="11">
      <formula>$S2=3</formula>
    </cfRule>
    <cfRule type="expression" dxfId="76" priority="12">
      <formula>$S2=4</formula>
    </cfRule>
    <cfRule type="expression" dxfId="75" priority="13">
      <formula>$S2=5</formula>
    </cfRule>
  </conditionalFormatting>
  <conditionalFormatting sqref="E2:E101">
    <cfRule type="expression" dxfId="74" priority="15">
      <formula>$S2&gt;=1</formula>
    </cfRule>
  </conditionalFormatting>
  <conditionalFormatting sqref="F2:F101">
    <cfRule type="expression" dxfId="73" priority="16">
      <formula>AND(ISNUMBER($F2),$F2&gt;=1,$F2&lt;3)</formula>
    </cfRule>
    <cfRule type="expression" dxfId="72" priority="17">
      <formula>AND(ISNUMBER($F2),$F2&gt;=3,$F2&lt;6)</formula>
    </cfRule>
    <cfRule type="expression" dxfId="71" priority="18">
      <formula>AND(ISNUMBER($F2),$F2&gt;=6,$F2&lt;11)</formula>
    </cfRule>
    <cfRule type="expression" dxfId="70" priority="19">
      <formula>AND(ISNUMBER($F2),$F2&gt;=11,$F2&lt;21)</formula>
    </cfRule>
    <cfRule type="expression" dxfId="69" priority="20">
      <formula>AND(ISNUMBER($F2),$F2&gt;=21)</formula>
    </cfRule>
  </conditionalFormatting>
  <conditionalFormatting sqref="J2:J101">
    <cfRule type="expression" dxfId="68" priority="3">
      <formula>$J2="Low"</formula>
    </cfRule>
    <cfRule type="expression" dxfId="67" priority="4">
      <formula>$J2="Medium"</formula>
    </cfRule>
    <cfRule type="expression" dxfId="66" priority="5">
      <formula>$J2="High"</formula>
    </cfRule>
  </conditionalFormatting>
  <conditionalFormatting sqref="K2:K101">
    <cfRule type="expression" dxfId="65" priority="6">
      <formula>$K2="Daily"</formula>
    </cfRule>
    <cfRule type="expression" dxfId="64" priority="7">
      <formula>$K2="Weekly"</formula>
    </cfRule>
    <cfRule type="expression" dxfId="63" priority="8">
      <formula>$K2="Monthly"</formula>
    </cfRule>
  </conditionalFormatting>
  <conditionalFormatting sqref="N2:N101">
    <cfRule type="expression" dxfId="62" priority="14">
      <formula>$S2&gt;=1</formula>
    </cfRule>
  </conditionalFormatting>
  <dataValidations count="8">
    <dataValidation type="list" allowBlank="1" sqref="A2:A101" xr:uid="{00000000-0002-0000-0500-000000000000}">
      <formula1>"Active,Inactive"</formula1>
    </dataValidation>
    <dataValidation type="list" allowBlank="1" sqref="J2:J101" xr:uid="{00000000-0002-0000-0500-000001000000}">
      <formula1>"Low,Medium,High"</formula1>
    </dataValidation>
    <dataValidation type="list" allowBlank="1" sqref="K2:K101" xr:uid="{00000000-0002-0000-0500-000002000000}">
      <formula1>"Daily,Weekly,Monthly"</formula1>
    </dataValidation>
    <dataValidation type="list" allowBlank="1" sqref="N2:N101" xr:uid="{00000000-0002-0000-0500-000003000000}">
      <formula1>"Carry over,Skip"</formula1>
    </dataValidation>
    <dataValidation type="list" allowBlank="1" sqref="M2:M101" xr:uid="{00000000-0002-0000-0500-000004000000}">
      <formula1>TimeList</formula1>
    </dataValidation>
    <dataValidation type="list" allowBlank="1" sqref="I2:I101" xr:uid="{00000000-0002-0000-0500-000005000000}">
      <formula1>CampaignNameList</formula1>
    </dataValidation>
    <dataValidation type="list" allowBlank="1" sqref="L2:L101" xr:uid="{00000000-0002-0000-0500-000006000000}">
      <formula1>INDIRECT(IF($K2="Weekly","WeekdayList",IF($K2="Monthly","DayNumberList","")))</formula1>
    </dataValidation>
    <dataValidation type="custom" showErrorMessage="1" errorTitle="Use the popup instead" error="Double-click this cell to open the Notes popup instead." sqref="P2:P101" xr:uid="{00000000-0002-0000-0500-000007000000}">
      <formula1>FALSE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1F4E79"/>
  </sheetPr>
  <dimension ref="A1:J12"/>
  <sheetViews>
    <sheetView showGridLines="0" zoomScale="115" workbookViewId="0"/>
  </sheetViews>
  <sheetFormatPr defaultRowHeight="19" customHeight="1" x14ac:dyDescent="0.35"/>
  <cols>
    <col min="1" max="7" width="10" customWidth="1"/>
    <col min="10" max="10" width="13" hidden="1" customWidth="1"/>
  </cols>
  <sheetData>
    <row r="1" spans="1:10" ht="26" customHeight="1" x14ac:dyDescent="0.35">
      <c r="A1" s="27" t="s">
        <v>58</v>
      </c>
      <c r="B1" s="59" t="str">
        <f>INDEX({"January","February","March","April","May","June","July","August","September","October","November","December"},MONTH(DATE(SelectedYear,SelectedMonth,1)))&amp;" "&amp;TEXT(DATE(SelectedYear,SelectedMonth,1),"YYYY")</f>
        <v>October 2026</v>
      </c>
      <c r="C1" s="54"/>
      <c r="D1" s="54"/>
      <c r="E1" s="54"/>
      <c r="F1" s="28" t="s">
        <v>59</v>
      </c>
      <c r="G1" s="27" t="s">
        <v>60</v>
      </c>
      <c r="J1">
        <v>2026</v>
      </c>
    </row>
    <row r="2" spans="1:10" ht="17" x14ac:dyDescent="0.35">
      <c r="A2" s="29" t="s">
        <v>61</v>
      </c>
      <c r="B2" s="29" t="s">
        <v>62</v>
      </c>
      <c r="C2" s="29" t="s">
        <v>63</v>
      </c>
      <c r="D2" s="29" t="s">
        <v>64</v>
      </c>
      <c r="E2" s="29" t="s">
        <v>65</v>
      </c>
      <c r="F2" s="29" t="s">
        <v>66</v>
      </c>
      <c r="G2" s="30" t="s">
        <v>67</v>
      </c>
      <c r="J2">
        <v>10</v>
      </c>
    </row>
    <row r="3" spans="1:10" ht="22" customHeight="1" x14ac:dyDescent="0.35">
      <c r="A3" s="31">
        <f>J6</f>
        <v>46293</v>
      </c>
      <c r="B3" s="31">
        <f>J6+1</f>
        <v>46294</v>
      </c>
      <c r="C3" s="31">
        <f>J6+2</f>
        <v>46295</v>
      </c>
      <c r="D3" s="31">
        <f>J6+3</f>
        <v>46296</v>
      </c>
      <c r="E3" s="31">
        <f>J6+4</f>
        <v>46297</v>
      </c>
      <c r="F3" s="32">
        <f>J6+5</f>
        <v>46298</v>
      </c>
      <c r="G3" s="32">
        <f>J6+6</f>
        <v>46299</v>
      </c>
    </row>
    <row r="4" spans="1:10" ht="22" customHeight="1" x14ac:dyDescent="0.35">
      <c r="A4" s="31">
        <f>J6+7</f>
        <v>46300</v>
      </c>
      <c r="B4" s="31">
        <f>J6+8</f>
        <v>46301</v>
      </c>
      <c r="C4" s="31">
        <f>J6+9</f>
        <v>46302</v>
      </c>
      <c r="D4" s="31">
        <f>J6+10</f>
        <v>46303</v>
      </c>
      <c r="E4" s="31">
        <f>J6+11</f>
        <v>46304</v>
      </c>
      <c r="F4" s="32">
        <f>J6+12</f>
        <v>46305</v>
      </c>
      <c r="G4" s="32">
        <f>J6+13</f>
        <v>46306</v>
      </c>
      <c r="J4" t="str">
        <f>IF(J3="","",J3+TIME(VALUE(SelectedHour),VALUE(SelectedMinute),0))</f>
        <v/>
      </c>
    </row>
    <row r="5" spans="1:10" ht="22" customHeight="1" x14ac:dyDescent="0.35">
      <c r="A5" s="31">
        <f>J6+14</f>
        <v>46307</v>
      </c>
      <c r="B5" s="31">
        <f>J6+15</f>
        <v>46308</v>
      </c>
      <c r="C5" s="31">
        <f>J6+16</f>
        <v>46309</v>
      </c>
      <c r="D5" s="31">
        <f>J6+17</f>
        <v>46310</v>
      </c>
      <c r="E5" s="31">
        <f>J6+18</f>
        <v>46311</v>
      </c>
      <c r="F5" s="32">
        <f>J6+19</f>
        <v>46312</v>
      </c>
      <c r="G5" s="32">
        <f>J6+20</f>
        <v>46313</v>
      </c>
    </row>
    <row r="6" spans="1:10" ht="22" customHeight="1" x14ac:dyDescent="0.35">
      <c r="A6" s="31">
        <f>J6+21</f>
        <v>46314</v>
      </c>
      <c r="B6" s="31">
        <f>J6+22</f>
        <v>46315</v>
      </c>
      <c r="C6" s="31">
        <f>J6+23</f>
        <v>46316</v>
      </c>
      <c r="D6" s="31">
        <f>J6+24</f>
        <v>46317</v>
      </c>
      <c r="E6" s="31">
        <f>J6+25</f>
        <v>46318</v>
      </c>
      <c r="F6" s="32">
        <f>J6+26</f>
        <v>46319</v>
      </c>
      <c r="G6" s="32">
        <f>J6+27</f>
        <v>46320</v>
      </c>
      <c r="J6">
        <f>DATE(SelectedYear,SelectedMonth,1)-WEEKDAY(DATE(SelectedYear,SelectedMonth,1),3)</f>
        <v>46293</v>
      </c>
    </row>
    <row r="7" spans="1:10" ht="22" customHeight="1" x14ac:dyDescent="0.35">
      <c r="A7" s="31">
        <f>J6+28</f>
        <v>46321</v>
      </c>
      <c r="B7" s="31">
        <f>J6+29</f>
        <v>46322</v>
      </c>
      <c r="C7" s="31">
        <f>J6+30</f>
        <v>46323</v>
      </c>
      <c r="D7" s="31">
        <f>J6+31</f>
        <v>46324</v>
      </c>
      <c r="E7" s="31">
        <f>J6+32</f>
        <v>46325</v>
      </c>
      <c r="F7" s="32">
        <f>J6+33</f>
        <v>46326</v>
      </c>
      <c r="G7" s="32">
        <f>J6+34</f>
        <v>46327</v>
      </c>
    </row>
    <row r="8" spans="1:10" ht="22" customHeight="1" x14ac:dyDescent="0.35">
      <c r="A8" s="31">
        <f>J6+35</f>
        <v>46328</v>
      </c>
      <c r="B8" s="31">
        <f>J6+36</f>
        <v>46329</v>
      </c>
      <c r="C8" s="31">
        <f>J6+37</f>
        <v>46330</v>
      </c>
      <c r="D8" s="31">
        <f>J6+38</f>
        <v>46331</v>
      </c>
      <c r="E8" s="31">
        <f>J6+39</f>
        <v>46332</v>
      </c>
      <c r="F8" s="32">
        <f>J6+40</f>
        <v>46333</v>
      </c>
      <c r="G8" s="32">
        <f>J6+41</f>
        <v>46334</v>
      </c>
    </row>
    <row r="10" spans="1:10" ht="16.5" x14ac:dyDescent="0.45">
      <c r="A10" s="33" t="s">
        <v>68</v>
      </c>
      <c r="B10" s="34" t="s">
        <v>69</v>
      </c>
      <c r="C10" s="35" t="s">
        <v>70</v>
      </c>
      <c r="D10" s="34" t="s">
        <v>69</v>
      </c>
      <c r="E10" s="34"/>
      <c r="F10" s="34"/>
      <c r="G10" s="36"/>
    </row>
    <row r="11" spans="1:10" ht="16.5" x14ac:dyDescent="0.35">
      <c r="A11" s="56" t="str">
        <f>IF(SelectedDate="","No date selected yet",INDEX({"Monday","Tuesday","Wednesday","Thursday","Friday","Saturday","Sunday"},WEEKDAY(SelectedDateTime,2))&amp;", "&amp;TEXT(SelectedDateTime,"DD")&amp;" "&amp;INDEX({"January","February","March","April","May","June","July","August","September","October","November","December"},MONTH(SelectedDateTime))&amp;" "&amp;TEXT(SelectedDateTime,"YYYY")&amp;" — "&amp;TEXT(SelectedDateTime,"HH:MM"))</f>
        <v>No date selected yet</v>
      </c>
      <c r="B11" s="57"/>
      <c r="C11" s="57"/>
      <c r="D11" s="57"/>
      <c r="E11" s="57"/>
      <c r="F11" s="57"/>
      <c r="G11" s="58"/>
    </row>
    <row r="12" spans="1:10" ht="16.5" x14ac:dyDescent="0.35">
      <c r="A12" s="53" t="s">
        <v>71</v>
      </c>
      <c r="B12" s="54"/>
      <c r="C12" s="54"/>
      <c r="E12" s="55" t="s">
        <v>72</v>
      </c>
      <c r="F12" s="51"/>
      <c r="G12" s="52"/>
    </row>
  </sheetData>
  <mergeCells count="4">
    <mergeCell ref="A12:C12"/>
    <mergeCell ref="E12:G12"/>
    <mergeCell ref="A11:G11"/>
    <mergeCell ref="B1:E1"/>
  </mergeCells>
  <conditionalFormatting sqref="A3:G8">
    <cfRule type="expression" dxfId="61" priority="1">
      <formula>MONTH(A3)&lt;&gt;SelectedMonth</formula>
    </cfRule>
    <cfRule type="expression" dxfId="59" priority="3">
      <formula>A3=SelectedDate</formula>
    </cfRule>
    <cfRule type="expression" dxfId="58" priority="4">
      <formula>A3=TODAY()</formula>
    </cfRule>
  </conditionalFormatting>
  <dataValidations count="2">
    <dataValidation type="list" sqref="B10" xr:uid="{00000000-0002-0000-0600-000000000000}">
      <formula1>"00,01,02,03,04,05,06,07,08,09,10,11,12,13,14,15,16,17,18,19,20,21,22,23"</formula1>
    </dataValidation>
    <dataValidation type="list" sqref="D10" xr:uid="{00000000-0002-0000-0600-000001000000}">
      <formula1>"00,15,30,45"</formula1>
    </dataValidation>
  </dataValidations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600-000002000000}">
            <xm:f>COUNTIFS(Tasks!$K:$K,"&gt;="&amp;A3,Tasks!$K:$K,"&lt;"&amp;A3+1)&gt;0</xm:f>
            <x14:dxf>
              <fill>
                <patternFill patternType="solid">
                  <bgColor rgb="FFB7D3F6"/>
                </patternFill>
              </fill>
            </x14:dxf>
          </x14:cfRule>
          <xm:sqref>A3:G8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>
    <tabColor rgb="FF898781"/>
  </sheetPr>
  <dimension ref="A1:J40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2" width="14" customWidth="1"/>
    <col min="4" max="4" width="24" customWidth="1"/>
    <col min="5" max="7" width="12" customWidth="1"/>
    <col min="8" max="8" width="14" customWidth="1"/>
    <col min="9" max="9" width="12" customWidth="1"/>
    <col min="10" max="10" width="13" hidden="1" customWidth="1"/>
  </cols>
  <sheetData>
    <row r="1" spans="1:10" ht="32" customHeight="1" x14ac:dyDescent="0.35">
      <c r="A1" s="1" t="s">
        <v>73</v>
      </c>
      <c r="B1" s="1" t="s">
        <v>74</v>
      </c>
      <c r="D1" s="1" t="s">
        <v>75</v>
      </c>
      <c r="E1" s="1" t="s">
        <v>76</v>
      </c>
      <c r="F1" s="1" t="s">
        <v>77</v>
      </c>
      <c r="G1" s="1" t="s">
        <v>42</v>
      </c>
      <c r="H1" s="1" t="s">
        <v>78</v>
      </c>
      <c r="I1" s="1" t="s">
        <v>16</v>
      </c>
      <c r="J1" s="1" t="s">
        <v>79</v>
      </c>
    </row>
    <row r="2" spans="1:10" ht="14.5" x14ac:dyDescent="0.35">
      <c r="A2" s="13"/>
      <c r="B2" s="2"/>
      <c r="D2" s="2"/>
      <c r="E2" s="37"/>
      <c r="F2" s="37"/>
      <c r="G2" s="2"/>
      <c r="H2" s="13"/>
      <c r="I2" s="2"/>
      <c r="J2" s="2"/>
    </row>
    <row r="3" spans="1:10" ht="14.5" x14ac:dyDescent="0.35">
      <c r="A3" s="2"/>
      <c r="B3" s="2"/>
      <c r="D3" s="2"/>
      <c r="E3" s="2"/>
      <c r="F3" s="2"/>
      <c r="G3" s="2"/>
      <c r="H3" s="2"/>
      <c r="I3" s="2"/>
      <c r="J3" s="2"/>
    </row>
    <row r="4" spans="1:10" ht="14.5" x14ac:dyDescent="0.35">
      <c r="A4" s="2"/>
      <c r="B4" s="2"/>
      <c r="D4" s="2"/>
      <c r="E4" s="2"/>
      <c r="F4" s="2"/>
      <c r="G4" s="2"/>
      <c r="H4" s="2"/>
      <c r="I4" s="2"/>
      <c r="J4" s="2"/>
    </row>
    <row r="5" spans="1:10" ht="14.5" x14ac:dyDescent="0.35">
      <c r="A5" s="2"/>
      <c r="B5" s="2"/>
      <c r="D5" s="2"/>
      <c r="E5" s="2"/>
      <c r="F5" s="2"/>
      <c r="G5" s="2"/>
      <c r="H5" s="2"/>
      <c r="I5" s="2"/>
      <c r="J5" s="2"/>
    </row>
    <row r="6" spans="1:10" ht="14.5" x14ac:dyDescent="0.35">
      <c r="A6" s="2"/>
      <c r="B6" s="2"/>
      <c r="D6" s="2"/>
      <c r="E6" s="2"/>
      <c r="F6" s="2"/>
      <c r="G6" s="2"/>
      <c r="H6" s="2"/>
      <c r="I6" s="2"/>
      <c r="J6" s="2"/>
    </row>
    <row r="7" spans="1:10" ht="14.5" x14ac:dyDescent="0.35">
      <c r="A7" s="2"/>
      <c r="B7" s="2"/>
      <c r="D7" s="2"/>
      <c r="E7" s="2"/>
      <c r="F7" s="2"/>
      <c r="G7" s="2"/>
      <c r="H7" s="2"/>
      <c r="I7" s="2"/>
      <c r="J7" s="2"/>
    </row>
    <row r="8" spans="1:10" ht="14.5" x14ac:dyDescent="0.35">
      <c r="A8" s="2"/>
      <c r="B8" s="2"/>
      <c r="D8" s="2"/>
      <c r="E8" s="2"/>
      <c r="F8" s="2"/>
      <c r="G8" s="2"/>
      <c r="H8" s="2"/>
      <c r="I8" s="2"/>
      <c r="J8" s="2"/>
    </row>
    <row r="9" spans="1:10" ht="14.5" x14ac:dyDescent="0.35">
      <c r="A9" s="2"/>
      <c r="B9" s="2"/>
      <c r="D9" s="2"/>
      <c r="E9" s="2"/>
      <c r="F9" s="2"/>
      <c r="G9" s="2"/>
      <c r="H9" s="2"/>
      <c r="I9" s="2"/>
      <c r="J9" s="2"/>
    </row>
    <row r="10" spans="1:10" ht="14.5" x14ac:dyDescent="0.35">
      <c r="A10" s="2"/>
      <c r="B10" s="2"/>
      <c r="D10" s="2"/>
      <c r="E10" s="2"/>
      <c r="F10" s="2"/>
      <c r="G10" s="2"/>
      <c r="H10" s="2"/>
      <c r="I10" s="2"/>
      <c r="J10" s="2"/>
    </row>
    <row r="11" spans="1:10" ht="14.5" x14ac:dyDescent="0.35">
      <c r="A11" s="2"/>
      <c r="B11" s="2"/>
      <c r="D11" s="2"/>
      <c r="E11" s="2"/>
      <c r="F11" s="2"/>
      <c r="G11" s="2"/>
      <c r="H11" s="2"/>
      <c r="I11" s="2"/>
      <c r="J11" s="2"/>
    </row>
    <row r="12" spans="1:10" ht="14.5" x14ac:dyDescent="0.35">
      <c r="A12" s="2"/>
      <c r="B12" s="2"/>
      <c r="D12" s="2"/>
      <c r="E12" s="2"/>
      <c r="F12" s="2"/>
      <c r="G12" s="2"/>
      <c r="H12" s="2"/>
      <c r="I12" s="2"/>
      <c r="J12" s="2"/>
    </row>
    <row r="13" spans="1:10" ht="14.5" x14ac:dyDescent="0.35">
      <c r="A13" s="2"/>
      <c r="B13" s="2"/>
      <c r="D13" s="2"/>
      <c r="E13" s="2"/>
      <c r="F13" s="2"/>
      <c r="G13" s="2"/>
      <c r="H13" s="2"/>
      <c r="I13" s="2"/>
      <c r="J13" s="2"/>
    </row>
    <row r="14" spans="1:10" ht="14.5" x14ac:dyDescent="0.35">
      <c r="A14" s="2"/>
      <c r="B14" s="2"/>
      <c r="D14" s="2"/>
      <c r="E14" s="2"/>
      <c r="F14" s="2"/>
      <c r="G14" s="2"/>
      <c r="H14" s="2"/>
      <c r="I14" s="2"/>
      <c r="J14" s="2"/>
    </row>
    <row r="15" spans="1:10" ht="14.5" x14ac:dyDescent="0.35">
      <c r="A15" s="2"/>
      <c r="B15" s="2"/>
      <c r="D15" s="2"/>
      <c r="E15" s="2"/>
      <c r="F15" s="2"/>
      <c r="G15" s="2"/>
      <c r="H15" s="2"/>
      <c r="I15" s="2"/>
      <c r="J15" s="2"/>
    </row>
    <row r="16" spans="1:10" ht="14.5" x14ac:dyDescent="0.35">
      <c r="A16" s="2"/>
      <c r="B16" s="2"/>
      <c r="D16" s="2"/>
      <c r="E16" s="2"/>
      <c r="F16" s="2"/>
      <c r="G16" s="2"/>
      <c r="H16" s="2"/>
      <c r="I16" s="2"/>
      <c r="J16" s="2"/>
    </row>
    <row r="17" spans="1:10" ht="14.5" x14ac:dyDescent="0.35">
      <c r="A17" s="2"/>
      <c r="B17" s="2"/>
      <c r="D17" s="2"/>
      <c r="E17" s="2"/>
      <c r="F17" s="2"/>
      <c r="G17" s="2"/>
      <c r="H17" s="2"/>
      <c r="I17" s="2"/>
      <c r="J17" s="2"/>
    </row>
    <row r="18" spans="1:10" ht="14.5" x14ac:dyDescent="0.35">
      <c r="A18" s="2"/>
      <c r="B18" s="2"/>
      <c r="D18" s="2"/>
      <c r="E18" s="2"/>
      <c r="F18" s="2"/>
      <c r="G18" s="2"/>
      <c r="H18" s="2"/>
      <c r="I18" s="2"/>
      <c r="J18" s="2"/>
    </row>
    <row r="19" spans="1:10" ht="14.5" x14ac:dyDescent="0.35">
      <c r="A19" s="2"/>
      <c r="B19" s="2"/>
      <c r="D19" s="2"/>
      <c r="E19" s="2"/>
      <c r="F19" s="2"/>
      <c r="G19" s="2"/>
      <c r="H19" s="2"/>
      <c r="I19" s="2"/>
      <c r="J19" s="2"/>
    </row>
    <row r="20" spans="1:10" ht="14.5" x14ac:dyDescent="0.35">
      <c r="A20" s="2"/>
      <c r="B20" s="2"/>
      <c r="D20" s="2"/>
      <c r="E20" s="2"/>
      <c r="F20" s="2"/>
      <c r="G20" s="2"/>
      <c r="H20" s="2"/>
      <c r="I20" s="2"/>
      <c r="J20" s="2"/>
    </row>
    <row r="21" spans="1:10" ht="14.5" x14ac:dyDescent="0.35">
      <c r="A21" s="2"/>
      <c r="B21" s="2"/>
      <c r="D21" s="2"/>
      <c r="E21" s="2"/>
      <c r="F21" s="2"/>
      <c r="G21" s="2"/>
      <c r="H21" s="2"/>
      <c r="I21" s="2"/>
      <c r="J21" s="2"/>
    </row>
    <row r="22" spans="1:10" ht="14.5" x14ac:dyDescent="0.35">
      <c r="A22" s="2"/>
      <c r="B22" s="2"/>
      <c r="D22" s="2"/>
      <c r="E22" s="2"/>
      <c r="F22" s="2"/>
      <c r="G22" s="2"/>
      <c r="H22" s="2"/>
      <c r="I22" s="2"/>
      <c r="J22" s="2"/>
    </row>
    <row r="23" spans="1:10" ht="14.5" x14ac:dyDescent="0.35">
      <c r="A23" s="2"/>
      <c r="B23" s="2"/>
      <c r="D23" s="2"/>
      <c r="E23" s="2"/>
      <c r="F23" s="2"/>
      <c r="G23" s="2"/>
      <c r="H23" s="2"/>
      <c r="I23" s="2"/>
      <c r="J23" s="2"/>
    </row>
    <row r="24" spans="1:10" ht="14.5" x14ac:dyDescent="0.35">
      <c r="A24" s="2"/>
      <c r="B24" s="2"/>
      <c r="D24" s="2"/>
      <c r="E24" s="2"/>
      <c r="F24" s="2"/>
      <c r="G24" s="2"/>
      <c r="H24" s="2"/>
      <c r="I24" s="2"/>
      <c r="J24" s="2"/>
    </row>
    <row r="25" spans="1:10" ht="14.5" x14ac:dyDescent="0.35">
      <c r="A25" s="2"/>
      <c r="B25" s="2"/>
      <c r="D25" s="2"/>
      <c r="E25" s="2"/>
      <c r="F25" s="2"/>
      <c r="G25" s="2"/>
      <c r="H25" s="2"/>
      <c r="I25" s="2"/>
      <c r="J25" s="2"/>
    </row>
    <row r="26" spans="1:10" ht="14.5" x14ac:dyDescent="0.35">
      <c r="A26" s="2"/>
      <c r="B26" s="2"/>
      <c r="D26" s="2"/>
      <c r="E26" s="2"/>
      <c r="F26" s="2"/>
      <c r="G26" s="2"/>
      <c r="H26" s="2"/>
      <c r="I26" s="2"/>
      <c r="J26" s="2"/>
    </row>
    <row r="27" spans="1:10" ht="14.5" x14ac:dyDescent="0.35">
      <c r="A27" s="2"/>
      <c r="B27" s="2"/>
      <c r="D27" s="2"/>
      <c r="E27" s="2"/>
      <c r="F27" s="2"/>
      <c r="G27" s="2"/>
      <c r="H27" s="2"/>
      <c r="I27" s="2"/>
      <c r="J27" s="2"/>
    </row>
    <row r="28" spans="1:10" ht="14.5" x14ac:dyDescent="0.35">
      <c r="A28" s="2"/>
      <c r="B28" s="2"/>
      <c r="D28" s="2"/>
      <c r="E28" s="2"/>
      <c r="F28" s="2"/>
      <c r="G28" s="2"/>
      <c r="H28" s="2"/>
      <c r="I28" s="2"/>
      <c r="J28" s="2"/>
    </row>
    <row r="29" spans="1:10" ht="14.5" x14ac:dyDescent="0.35">
      <c r="A29" s="2"/>
      <c r="B29" s="2"/>
      <c r="D29" s="2"/>
      <c r="E29" s="2"/>
      <c r="F29" s="2"/>
      <c r="G29" s="2"/>
      <c r="H29" s="2"/>
      <c r="I29" s="2"/>
      <c r="J29" s="2"/>
    </row>
    <row r="30" spans="1:10" ht="14.5" x14ac:dyDescent="0.35">
      <c r="A30" s="2"/>
      <c r="B30" s="2"/>
      <c r="D30" s="2"/>
      <c r="E30" s="2"/>
      <c r="F30" s="2"/>
      <c r="G30" s="2"/>
      <c r="H30" s="2"/>
      <c r="I30" s="2"/>
      <c r="J30" s="2"/>
    </row>
    <row r="31" spans="1:10" ht="14.5" x14ac:dyDescent="0.35">
      <c r="A31" s="2"/>
      <c r="B31" s="2"/>
      <c r="D31" s="2"/>
      <c r="E31" s="2"/>
      <c r="F31" s="2"/>
      <c r="G31" s="2"/>
      <c r="H31" s="2"/>
      <c r="I31" s="2"/>
      <c r="J31" s="2"/>
    </row>
    <row r="32" spans="1:10" ht="14.5" x14ac:dyDescent="0.35">
      <c r="A32" s="2"/>
      <c r="B32" s="2"/>
      <c r="D32" s="2"/>
      <c r="E32" s="2"/>
      <c r="F32" s="2"/>
      <c r="G32" s="2"/>
      <c r="H32" s="2"/>
      <c r="I32" s="2"/>
      <c r="J32" s="2"/>
    </row>
    <row r="33" spans="1:10" ht="14.5" x14ac:dyDescent="0.35">
      <c r="A33" s="2"/>
      <c r="B33" s="2"/>
      <c r="D33" s="2"/>
      <c r="E33" s="2"/>
      <c r="F33" s="2"/>
      <c r="G33" s="2"/>
      <c r="H33" s="2"/>
      <c r="I33" s="2"/>
      <c r="J33" s="2"/>
    </row>
    <row r="34" spans="1:10" ht="14.5" x14ac:dyDescent="0.35">
      <c r="A34" s="2"/>
      <c r="B34" s="2"/>
      <c r="D34" s="2"/>
      <c r="E34" s="2"/>
      <c r="F34" s="2"/>
      <c r="G34" s="2"/>
      <c r="H34" s="2"/>
      <c r="I34" s="2"/>
      <c r="J34" s="2"/>
    </row>
    <row r="35" spans="1:10" ht="14.5" x14ac:dyDescent="0.35">
      <c r="A35" s="2"/>
      <c r="B35" s="2"/>
      <c r="D35" s="2"/>
      <c r="E35" s="2"/>
      <c r="F35" s="2"/>
      <c r="G35" s="2"/>
      <c r="H35" s="2"/>
      <c r="I35" s="2"/>
      <c r="J35" s="2"/>
    </row>
    <row r="36" spans="1:10" ht="14.5" x14ac:dyDescent="0.35">
      <c r="A36" s="2"/>
      <c r="B36" s="2"/>
      <c r="D36" s="2"/>
      <c r="E36" s="2"/>
      <c r="F36" s="2"/>
      <c r="G36" s="2"/>
      <c r="H36" s="2"/>
      <c r="I36" s="2"/>
      <c r="J36" s="2"/>
    </row>
    <row r="37" spans="1:10" ht="14.5" x14ac:dyDescent="0.35">
      <c r="A37" s="2"/>
      <c r="B37" s="2"/>
      <c r="D37" s="2"/>
      <c r="E37" s="2"/>
      <c r="F37" s="2"/>
      <c r="G37" s="2"/>
      <c r="H37" s="2"/>
      <c r="I37" s="2"/>
      <c r="J37" s="2"/>
    </row>
    <row r="38" spans="1:10" ht="14.5" x14ac:dyDescent="0.35">
      <c r="A38" s="2"/>
      <c r="B38" s="2"/>
      <c r="D38" s="2"/>
      <c r="E38" s="2"/>
      <c r="F38" s="2"/>
      <c r="G38" s="2"/>
      <c r="H38" s="2"/>
      <c r="I38" s="2"/>
      <c r="J38" s="2"/>
    </row>
    <row r="39" spans="1:10" ht="14.5" x14ac:dyDescent="0.35">
      <c r="A39" s="2"/>
      <c r="B39" s="2"/>
      <c r="D39" s="2"/>
      <c r="E39" s="2"/>
      <c r="F39" s="2"/>
      <c r="G39" s="2"/>
      <c r="H39" s="2"/>
      <c r="I39" s="2"/>
      <c r="J39" s="2"/>
    </row>
    <row r="40" spans="1:10" ht="14.5" x14ac:dyDescent="0.35">
      <c r="A40" s="2"/>
      <c r="B40" s="2"/>
      <c r="D40" s="2"/>
      <c r="E40" s="2"/>
      <c r="F40" s="2"/>
      <c r="G40" s="2"/>
      <c r="H40" s="2"/>
      <c r="I40" s="2"/>
      <c r="J40" s="2"/>
    </row>
    <row r="41" spans="1:10" ht="14.5" x14ac:dyDescent="0.35">
      <c r="A41" s="2"/>
      <c r="B41" s="2"/>
      <c r="D41" s="2"/>
      <c r="E41" s="2"/>
      <c r="F41" s="2"/>
      <c r="G41" s="2"/>
      <c r="H41" s="2"/>
      <c r="I41" s="2"/>
      <c r="J41" s="2"/>
    </row>
    <row r="42" spans="1:10" ht="14.5" x14ac:dyDescent="0.35">
      <c r="A42" s="2"/>
      <c r="B42" s="2"/>
      <c r="D42" s="2"/>
      <c r="E42" s="2"/>
      <c r="F42" s="2"/>
      <c r="G42" s="2"/>
      <c r="H42" s="2"/>
      <c r="I42" s="2"/>
      <c r="J42" s="2"/>
    </row>
    <row r="43" spans="1:10" ht="14.5" x14ac:dyDescent="0.35">
      <c r="A43" s="2"/>
      <c r="B43" s="2"/>
      <c r="D43" s="2"/>
      <c r="E43" s="2"/>
      <c r="F43" s="2"/>
      <c r="G43" s="2"/>
      <c r="H43" s="2"/>
      <c r="I43" s="2"/>
      <c r="J43" s="2"/>
    </row>
    <row r="44" spans="1:10" ht="14.5" x14ac:dyDescent="0.35">
      <c r="A44" s="2"/>
      <c r="B44" s="2"/>
      <c r="D44" s="2"/>
      <c r="E44" s="2"/>
      <c r="F44" s="2"/>
      <c r="G44" s="2"/>
      <c r="H44" s="2"/>
      <c r="I44" s="2"/>
      <c r="J44" s="2"/>
    </row>
    <row r="45" spans="1:10" ht="14.5" x14ac:dyDescent="0.35">
      <c r="A45" s="2"/>
      <c r="B45" s="2"/>
      <c r="D45" s="2"/>
      <c r="E45" s="2"/>
      <c r="F45" s="2"/>
      <c r="G45" s="2"/>
      <c r="H45" s="2"/>
      <c r="I45" s="2"/>
      <c r="J45" s="2"/>
    </row>
    <row r="46" spans="1:10" ht="14.5" x14ac:dyDescent="0.35">
      <c r="A46" s="2"/>
      <c r="B46" s="2"/>
      <c r="D46" s="2"/>
      <c r="E46" s="2"/>
      <c r="F46" s="2"/>
      <c r="G46" s="2"/>
      <c r="H46" s="2"/>
      <c r="I46" s="2"/>
      <c r="J46" s="2"/>
    </row>
    <row r="47" spans="1:10" ht="14.5" x14ac:dyDescent="0.35">
      <c r="A47" s="2"/>
      <c r="B47" s="2"/>
      <c r="D47" s="2"/>
      <c r="E47" s="2"/>
      <c r="F47" s="2"/>
      <c r="G47" s="2"/>
      <c r="H47" s="2"/>
      <c r="I47" s="2"/>
      <c r="J47" s="2"/>
    </row>
    <row r="48" spans="1:10" ht="14.5" x14ac:dyDescent="0.35">
      <c r="A48" s="2"/>
      <c r="B48" s="2"/>
      <c r="D48" s="2"/>
      <c r="E48" s="2"/>
      <c r="F48" s="2"/>
      <c r="G48" s="2"/>
      <c r="H48" s="2"/>
      <c r="I48" s="2"/>
      <c r="J48" s="2"/>
    </row>
    <row r="49" spans="1:10" ht="14.5" x14ac:dyDescent="0.35">
      <c r="A49" s="2"/>
      <c r="B49" s="2"/>
      <c r="D49" s="2"/>
      <c r="E49" s="2"/>
      <c r="F49" s="2"/>
      <c r="G49" s="2"/>
      <c r="H49" s="2"/>
      <c r="I49" s="2"/>
      <c r="J49" s="2"/>
    </row>
    <row r="50" spans="1:10" ht="14.5" x14ac:dyDescent="0.35">
      <c r="A50" s="2"/>
      <c r="B50" s="2"/>
      <c r="D50" s="2"/>
      <c r="E50" s="2"/>
      <c r="F50" s="2"/>
      <c r="G50" s="2"/>
      <c r="H50" s="2"/>
      <c r="I50" s="2"/>
      <c r="J50" s="2"/>
    </row>
    <row r="51" spans="1:10" ht="14.5" x14ac:dyDescent="0.35">
      <c r="A51" s="2"/>
      <c r="B51" s="2"/>
      <c r="D51" s="2"/>
      <c r="E51" s="2"/>
      <c r="F51" s="2"/>
      <c r="G51" s="2"/>
      <c r="H51" s="2"/>
      <c r="I51" s="2"/>
      <c r="J51" s="2"/>
    </row>
    <row r="52" spans="1:10" ht="14.5" x14ac:dyDescent="0.35">
      <c r="A52" s="2"/>
      <c r="B52" s="2"/>
      <c r="D52" s="2"/>
      <c r="E52" s="2"/>
      <c r="F52" s="2"/>
      <c r="G52" s="2"/>
      <c r="H52" s="2"/>
      <c r="I52" s="2"/>
      <c r="J52" s="2"/>
    </row>
    <row r="53" spans="1:10" ht="14.5" x14ac:dyDescent="0.35">
      <c r="A53" s="2"/>
      <c r="B53" s="2"/>
      <c r="D53" s="2"/>
      <c r="E53" s="2"/>
      <c r="F53" s="2"/>
      <c r="G53" s="2"/>
      <c r="H53" s="2"/>
      <c r="I53" s="2"/>
      <c r="J53" s="2"/>
    </row>
    <row r="54" spans="1:10" ht="14.5" x14ac:dyDescent="0.35">
      <c r="A54" s="2"/>
      <c r="B54" s="2"/>
      <c r="D54" s="2"/>
      <c r="E54" s="2"/>
      <c r="F54" s="2"/>
      <c r="G54" s="2"/>
      <c r="H54" s="2"/>
      <c r="I54" s="2"/>
      <c r="J54" s="2"/>
    </row>
    <row r="55" spans="1:10" ht="14.5" x14ac:dyDescent="0.35">
      <c r="A55" s="2"/>
      <c r="B55" s="2"/>
      <c r="D55" s="2"/>
      <c r="E55" s="2"/>
      <c r="F55" s="2"/>
      <c r="G55" s="2"/>
      <c r="H55" s="2"/>
      <c r="I55" s="2"/>
      <c r="J55" s="2"/>
    </row>
    <row r="56" spans="1:10" ht="14.5" x14ac:dyDescent="0.35">
      <c r="A56" s="2"/>
      <c r="B56" s="2"/>
      <c r="D56" s="2"/>
      <c r="E56" s="2"/>
      <c r="F56" s="2"/>
      <c r="G56" s="2"/>
      <c r="H56" s="2"/>
      <c r="I56" s="2"/>
      <c r="J56" s="2"/>
    </row>
    <row r="57" spans="1:10" ht="14.5" x14ac:dyDescent="0.35">
      <c r="A57" s="2"/>
      <c r="B57" s="2"/>
      <c r="D57" s="2"/>
      <c r="E57" s="2"/>
      <c r="F57" s="2"/>
      <c r="G57" s="2"/>
      <c r="H57" s="2"/>
      <c r="I57" s="2"/>
      <c r="J57" s="2"/>
    </row>
    <row r="58" spans="1:10" ht="14.5" x14ac:dyDescent="0.35">
      <c r="A58" s="2"/>
      <c r="B58" s="2"/>
      <c r="D58" s="2"/>
      <c r="E58" s="2"/>
      <c r="F58" s="2"/>
      <c r="G58" s="2"/>
      <c r="H58" s="2"/>
      <c r="I58" s="2"/>
      <c r="J58" s="2"/>
    </row>
    <row r="59" spans="1:10" ht="14.5" x14ac:dyDescent="0.35">
      <c r="A59" s="2"/>
      <c r="B59" s="2"/>
      <c r="D59" s="2"/>
      <c r="E59" s="2"/>
      <c r="F59" s="2"/>
      <c r="G59" s="2"/>
      <c r="H59" s="2"/>
      <c r="I59" s="2"/>
      <c r="J59" s="2"/>
    </row>
    <row r="60" spans="1:10" ht="14.5" x14ac:dyDescent="0.35">
      <c r="A60" s="2"/>
      <c r="B60" s="2"/>
      <c r="D60" s="2"/>
      <c r="E60" s="2"/>
      <c r="F60" s="2"/>
      <c r="G60" s="2"/>
      <c r="H60" s="2"/>
      <c r="I60" s="2"/>
      <c r="J60" s="2"/>
    </row>
    <row r="61" spans="1:10" ht="14.5" x14ac:dyDescent="0.35">
      <c r="A61" s="2"/>
      <c r="B61" s="2"/>
      <c r="D61" s="2"/>
      <c r="E61" s="2"/>
      <c r="F61" s="2"/>
      <c r="G61" s="2"/>
      <c r="H61" s="2"/>
      <c r="I61" s="2"/>
      <c r="J61" s="2"/>
    </row>
    <row r="62" spans="1:10" ht="14.5" x14ac:dyDescent="0.35">
      <c r="A62" s="2"/>
      <c r="B62" s="2"/>
    </row>
    <row r="63" spans="1:10" ht="14.5" x14ac:dyDescent="0.35">
      <c r="A63" s="2"/>
      <c r="B63" s="2"/>
    </row>
    <row r="64" spans="1:10" ht="14.5" x14ac:dyDescent="0.35">
      <c r="A64" s="2"/>
      <c r="B64" s="2"/>
    </row>
    <row r="65" spans="1:2" ht="14.5" x14ac:dyDescent="0.35">
      <c r="A65" s="2"/>
      <c r="B65" s="2"/>
    </row>
    <row r="66" spans="1:2" ht="14.5" x14ac:dyDescent="0.35">
      <c r="A66" s="2"/>
      <c r="B66" s="2"/>
    </row>
    <row r="67" spans="1:2" ht="14.5" x14ac:dyDescent="0.35">
      <c r="A67" s="2"/>
      <c r="B67" s="2"/>
    </row>
    <row r="68" spans="1:2" ht="14.5" x14ac:dyDescent="0.35">
      <c r="A68" s="2"/>
      <c r="B68" s="2"/>
    </row>
    <row r="69" spans="1:2" ht="14.5" x14ac:dyDescent="0.35">
      <c r="A69" s="2"/>
      <c r="B69" s="2"/>
    </row>
    <row r="70" spans="1:2" ht="14.5" x14ac:dyDescent="0.35">
      <c r="A70" s="2"/>
      <c r="B70" s="2"/>
    </row>
    <row r="71" spans="1:2" ht="14.5" x14ac:dyDescent="0.35">
      <c r="A71" s="2"/>
      <c r="B71" s="2"/>
    </row>
    <row r="72" spans="1:2" ht="14.5" x14ac:dyDescent="0.35">
      <c r="A72" s="2"/>
      <c r="B72" s="2"/>
    </row>
    <row r="73" spans="1:2" ht="14.5" x14ac:dyDescent="0.35">
      <c r="A73" s="2"/>
      <c r="B73" s="2"/>
    </row>
    <row r="74" spans="1:2" ht="14.5" x14ac:dyDescent="0.35">
      <c r="A74" s="2"/>
      <c r="B74" s="2"/>
    </row>
    <row r="75" spans="1:2" ht="14.5" x14ac:dyDescent="0.35">
      <c r="A75" s="2"/>
      <c r="B75" s="2"/>
    </row>
    <row r="76" spans="1:2" ht="14.5" x14ac:dyDescent="0.35">
      <c r="A76" s="2"/>
      <c r="B76" s="2"/>
    </row>
    <row r="77" spans="1:2" ht="14.5" x14ac:dyDescent="0.35">
      <c r="A77" s="2"/>
      <c r="B77" s="2"/>
    </row>
    <row r="78" spans="1:2" ht="14.5" x14ac:dyDescent="0.35">
      <c r="A78" s="2"/>
      <c r="B78" s="2"/>
    </row>
    <row r="79" spans="1:2" ht="14.5" x14ac:dyDescent="0.35">
      <c r="A79" s="2"/>
      <c r="B79" s="2"/>
    </row>
    <row r="80" spans="1:2" ht="14.5" x14ac:dyDescent="0.35">
      <c r="A80" s="2"/>
      <c r="B80" s="2"/>
    </row>
    <row r="81" spans="1:2" ht="14.5" x14ac:dyDescent="0.35">
      <c r="A81" s="2"/>
      <c r="B81" s="2"/>
    </row>
    <row r="82" spans="1:2" ht="14.5" x14ac:dyDescent="0.35">
      <c r="A82" s="2"/>
      <c r="B82" s="2"/>
    </row>
    <row r="83" spans="1:2" ht="14.5" x14ac:dyDescent="0.35">
      <c r="A83" s="2"/>
      <c r="B83" s="2"/>
    </row>
    <row r="84" spans="1:2" ht="14.5" x14ac:dyDescent="0.35">
      <c r="A84" s="2"/>
      <c r="B84" s="2"/>
    </row>
    <row r="85" spans="1:2" ht="14.5" x14ac:dyDescent="0.35">
      <c r="A85" s="2"/>
      <c r="B85" s="2"/>
    </row>
    <row r="86" spans="1:2" ht="14.5" x14ac:dyDescent="0.35">
      <c r="A86" s="2"/>
      <c r="B86" s="2"/>
    </row>
    <row r="87" spans="1:2" ht="14.5" x14ac:dyDescent="0.35">
      <c r="A87" s="2"/>
      <c r="B87" s="2"/>
    </row>
    <row r="88" spans="1:2" ht="14.5" x14ac:dyDescent="0.35">
      <c r="A88" s="2"/>
      <c r="B88" s="2"/>
    </row>
    <row r="89" spans="1:2" ht="14.5" x14ac:dyDescent="0.35">
      <c r="A89" s="2"/>
      <c r="B89" s="2"/>
    </row>
    <row r="90" spans="1:2" ht="14.5" x14ac:dyDescent="0.35">
      <c r="A90" s="2"/>
      <c r="B90" s="2"/>
    </row>
    <row r="91" spans="1:2" ht="14.5" x14ac:dyDescent="0.35">
      <c r="A91" s="2"/>
      <c r="B91" s="2"/>
    </row>
    <row r="92" spans="1:2" ht="14.5" x14ac:dyDescent="0.35">
      <c r="A92" s="2"/>
      <c r="B92" s="2"/>
    </row>
    <row r="93" spans="1:2" ht="14.5" x14ac:dyDescent="0.35">
      <c r="A93" s="2"/>
      <c r="B93" s="2"/>
    </row>
    <row r="94" spans="1:2" ht="14.5" x14ac:dyDescent="0.35">
      <c r="A94" s="2"/>
      <c r="B94" s="2"/>
    </row>
    <row r="95" spans="1:2" ht="14.5" x14ac:dyDescent="0.35">
      <c r="A95" s="2"/>
      <c r="B95" s="2"/>
    </row>
    <row r="96" spans="1:2" ht="14.5" x14ac:dyDescent="0.35">
      <c r="A96" s="2"/>
      <c r="B96" s="2"/>
    </row>
    <row r="97" spans="1:2" ht="14.5" x14ac:dyDescent="0.35">
      <c r="A97" s="2"/>
      <c r="B97" s="2"/>
    </row>
    <row r="98" spans="1:2" ht="14.5" x14ac:dyDescent="0.35">
      <c r="A98" s="2"/>
      <c r="B98" s="2"/>
    </row>
    <row r="99" spans="1:2" ht="14.5" x14ac:dyDescent="0.35">
      <c r="A99" s="2"/>
      <c r="B99" s="2"/>
    </row>
    <row r="100" spans="1:2" ht="14.5" x14ac:dyDescent="0.35">
      <c r="A100" s="2"/>
      <c r="B100" s="2"/>
    </row>
    <row r="101" spans="1:2" ht="14.5" x14ac:dyDescent="0.35">
      <c r="A101" s="2"/>
      <c r="B101" s="2"/>
    </row>
    <row r="102" spans="1:2" ht="14.5" x14ac:dyDescent="0.35">
      <c r="A102" s="2"/>
      <c r="B102" s="2"/>
    </row>
    <row r="103" spans="1:2" ht="14.5" x14ac:dyDescent="0.35">
      <c r="A103" s="2"/>
      <c r="B103" s="2"/>
    </row>
    <row r="104" spans="1:2" ht="14.5" x14ac:dyDescent="0.35">
      <c r="A104" s="2"/>
      <c r="B104" s="2"/>
    </row>
    <row r="105" spans="1:2" ht="14.5" x14ac:dyDescent="0.35">
      <c r="A105" s="2"/>
      <c r="B105" s="2"/>
    </row>
    <row r="106" spans="1:2" ht="14.5" x14ac:dyDescent="0.35">
      <c r="A106" s="2"/>
      <c r="B106" s="2"/>
    </row>
    <row r="107" spans="1:2" ht="14.5" x14ac:dyDescent="0.35">
      <c r="A107" s="2"/>
      <c r="B107" s="2"/>
    </row>
    <row r="108" spans="1:2" ht="14.5" x14ac:dyDescent="0.35">
      <c r="A108" s="2"/>
      <c r="B108" s="2"/>
    </row>
    <row r="109" spans="1:2" ht="14.5" x14ac:dyDescent="0.35">
      <c r="A109" s="2"/>
      <c r="B109" s="2"/>
    </row>
    <row r="110" spans="1:2" ht="14.5" x14ac:dyDescent="0.35">
      <c r="A110" s="2"/>
      <c r="B110" s="2"/>
    </row>
    <row r="111" spans="1:2" ht="14.5" x14ac:dyDescent="0.35">
      <c r="A111" s="2"/>
      <c r="B111" s="2"/>
    </row>
    <row r="112" spans="1:2" ht="14.5" x14ac:dyDescent="0.35">
      <c r="A112" s="2"/>
      <c r="B112" s="2"/>
    </row>
    <row r="113" spans="1:2" ht="14.5" x14ac:dyDescent="0.35">
      <c r="A113" s="2"/>
      <c r="B113" s="2"/>
    </row>
    <row r="114" spans="1:2" ht="14.5" x14ac:dyDescent="0.35">
      <c r="A114" s="2"/>
      <c r="B114" s="2"/>
    </row>
    <row r="115" spans="1:2" ht="14.5" x14ac:dyDescent="0.35">
      <c r="A115" s="2"/>
      <c r="B115" s="2"/>
    </row>
    <row r="116" spans="1:2" ht="14.5" x14ac:dyDescent="0.35">
      <c r="A116" s="2"/>
      <c r="B116" s="2"/>
    </row>
    <row r="117" spans="1:2" ht="14.5" x14ac:dyDescent="0.35">
      <c r="A117" s="2"/>
      <c r="B117" s="2"/>
    </row>
    <row r="118" spans="1:2" ht="14.5" x14ac:dyDescent="0.35">
      <c r="A118" s="2"/>
      <c r="B118" s="2"/>
    </row>
    <row r="119" spans="1:2" ht="14.5" x14ac:dyDescent="0.35">
      <c r="A119" s="2"/>
      <c r="B119" s="2"/>
    </row>
    <row r="120" spans="1:2" ht="14.5" x14ac:dyDescent="0.35">
      <c r="A120" s="2"/>
      <c r="B120" s="2"/>
    </row>
    <row r="121" spans="1:2" ht="14.5" x14ac:dyDescent="0.35">
      <c r="A121" s="2"/>
      <c r="B121" s="2"/>
    </row>
    <row r="122" spans="1:2" ht="14.5" x14ac:dyDescent="0.35">
      <c r="A122" s="2"/>
      <c r="B122" s="2"/>
    </row>
    <row r="123" spans="1:2" ht="14.5" x14ac:dyDescent="0.35">
      <c r="A123" s="2"/>
      <c r="B123" s="2"/>
    </row>
    <row r="124" spans="1:2" ht="14.5" x14ac:dyDescent="0.35">
      <c r="A124" s="2"/>
      <c r="B124" s="2"/>
    </row>
    <row r="125" spans="1:2" ht="14.5" x14ac:dyDescent="0.35">
      <c r="A125" s="2"/>
      <c r="B125" s="2"/>
    </row>
    <row r="126" spans="1:2" ht="14.5" x14ac:dyDescent="0.35">
      <c r="A126" s="2"/>
      <c r="B126" s="2"/>
    </row>
    <row r="127" spans="1:2" ht="14.5" x14ac:dyDescent="0.35">
      <c r="A127" s="2"/>
      <c r="B127" s="2"/>
    </row>
    <row r="128" spans="1:2" ht="14.5" x14ac:dyDescent="0.35">
      <c r="A128" s="2"/>
      <c r="B128" s="2"/>
    </row>
    <row r="129" spans="1:2" ht="14.5" x14ac:dyDescent="0.35">
      <c r="A129" s="2"/>
      <c r="B129" s="2"/>
    </row>
    <row r="130" spans="1:2" ht="14.5" x14ac:dyDescent="0.35">
      <c r="A130" s="2"/>
      <c r="B130" s="2"/>
    </row>
    <row r="131" spans="1:2" ht="14.5" x14ac:dyDescent="0.35">
      <c r="A131" s="2"/>
      <c r="B131" s="2"/>
    </row>
    <row r="132" spans="1:2" ht="14.5" x14ac:dyDescent="0.35">
      <c r="A132" s="2"/>
      <c r="B132" s="2"/>
    </row>
    <row r="133" spans="1:2" ht="14.5" x14ac:dyDescent="0.35">
      <c r="A133" s="2"/>
      <c r="B133" s="2"/>
    </row>
    <row r="134" spans="1:2" ht="14.5" x14ac:dyDescent="0.35">
      <c r="A134" s="2"/>
      <c r="B134" s="2"/>
    </row>
    <row r="135" spans="1:2" ht="14.5" x14ac:dyDescent="0.35">
      <c r="A135" s="2"/>
      <c r="B135" s="2"/>
    </row>
    <row r="136" spans="1:2" ht="14.5" x14ac:dyDescent="0.35">
      <c r="A136" s="2"/>
      <c r="B136" s="2"/>
    </row>
    <row r="137" spans="1:2" ht="14.5" x14ac:dyDescent="0.35">
      <c r="A137" s="2"/>
      <c r="B137" s="2"/>
    </row>
    <row r="138" spans="1:2" ht="14.5" x14ac:dyDescent="0.35">
      <c r="A138" s="2"/>
      <c r="B138" s="2"/>
    </row>
    <row r="139" spans="1:2" ht="14.5" x14ac:dyDescent="0.35">
      <c r="A139" s="2"/>
      <c r="B139" s="2"/>
    </row>
    <row r="140" spans="1:2" ht="14.5" x14ac:dyDescent="0.35">
      <c r="A140" s="2"/>
      <c r="B140" s="2"/>
    </row>
    <row r="141" spans="1:2" ht="14.5" x14ac:dyDescent="0.35">
      <c r="A141" s="2"/>
      <c r="B141" s="2"/>
    </row>
    <row r="142" spans="1:2" ht="14.5" x14ac:dyDescent="0.35">
      <c r="A142" s="2"/>
      <c r="B142" s="2"/>
    </row>
    <row r="143" spans="1:2" ht="14.5" x14ac:dyDescent="0.35">
      <c r="A143" s="2"/>
      <c r="B143" s="2"/>
    </row>
    <row r="144" spans="1:2" ht="14.5" x14ac:dyDescent="0.35">
      <c r="A144" s="2"/>
      <c r="B144" s="2"/>
    </row>
    <row r="145" spans="1:2" ht="14.5" x14ac:dyDescent="0.35">
      <c r="A145" s="2"/>
      <c r="B145" s="2"/>
    </row>
    <row r="146" spans="1:2" ht="14.5" x14ac:dyDescent="0.35">
      <c r="A146" s="2"/>
      <c r="B146" s="2"/>
    </row>
    <row r="147" spans="1:2" ht="14.5" x14ac:dyDescent="0.35">
      <c r="A147" s="2"/>
      <c r="B147" s="2"/>
    </row>
    <row r="148" spans="1:2" ht="14.5" x14ac:dyDescent="0.35">
      <c r="A148" s="2"/>
      <c r="B148" s="2"/>
    </row>
    <row r="149" spans="1:2" ht="14.5" x14ac:dyDescent="0.35">
      <c r="A149" s="2"/>
      <c r="B149" s="2"/>
    </row>
    <row r="150" spans="1:2" ht="14.5" x14ac:dyDescent="0.35">
      <c r="A150" s="2"/>
      <c r="B150" s="2"/>
    </row>
    <row r="151" spans="1:2" ht="14.5" x14ac:dyDescent="0.35">
      <c r="A151" s="2"/>
      <c r="B151" s="2"/>
    </row>
    <row r="152" spans="1:2" ht="14.5" x14ac:dyDescent="0.35">
      <c r="A152" s="2"/>
      <c r="B152" s="2"/>
    </row>
    <row r="153" spans="1:2" ht="14.5" x14ac:dyDescent="0.35">
      <c r="A153" s="2"/>
      <c r="B153" s="2"/>
    </row>
    <row r="154" spans="1:2" ht="14.5" x14ac:dyDescent="0.35">
      <c r="A154" s="2"/>
      <c r="B154" s="2"/>
    </row>
    <row r="155" spans="1:2" ht="14.5" x14ac:dyDescent="0.35">
      <c r="A155" s="2"/>
      <c r="B155" s="2"/>
    </row>
    <row r="156" spans="1:2" ht="14.5" x14ac:dyDescent="0.35">
      <c r="A156" s="2"/>
      <c r="B156" s="2"/>
    </row>
    <row r="157" spans="1:2" ht="14.5" x14ac:dyDescent="0.35">
      <c r="A157" s="2"/>
      <c r="B157" s="2"/>
    </row>
    <row r="158" spans="1:2" ht="14.5" x14ac:dyDescent="0.35">
      <c r="A158" s="2"/>
      <c r="B158" s="2"/>
    </row>
    <row r="159" spans="1:2" ht="14.5" x14ac:dyDescent="0.35">
      <c r="A159" s="2"/>
      <c r="B159" s="2"/>
    </row>
    <row r="160" spans="1:2" ht="14.5" x14ac:dyDescent="0.35">
      <c r="A160" s="2"/>
      <c r="B160" s="2"/>
    </row>
    <row r="161" spans="1:2" ht="14.5" x14ac:dyDescent="0.35">
      <c r="A161" s="2"/>
      <c r="B161" s="2"/>
    </row>
    <row r="162" spans="1:2" ht="14.5" x14ac:dyDescent="0.35">
      <c r="A162" s="2"/>
      <c r="B162" s="2"/>
    </row>
    <row r="163" spans="1:2" ht="14.5" x14ac:dyDescent="0.35">
      <c r="A163" s="2"/>
      <c r="B163" s="2"/>
    </row>
    <row r="164" spans="1:2" ht="14.5" x14ac:dyDescent="0.35">
      <c r="A164" s="2"/>
      <c r="B164" s="2"/>
    </row>
    <row r="165" spans="1:2" ht="14.5" x14ac:dyDescent="0.35">
      <c r="A165" s="2"/>
      <c r="B165" s="2"/>
    </row>
    <row r="166" spans="1:2" ht="14.5" x14ac:dyDescent="0.35">
      <c r="A166" s="2"/>
      <c r="B166" s="2"/>
    </row>
    <row r="167" spans="1:2" ht="14.5" x14ac:dyDescent="0.35">
      <c r="A167" s="2"/>
      <c r="B167" s="2"/>
    </row>
    <row r="168" spans="1:2" ht="14.5" x14ac:dyDescent="0.35">
      <c r="A168" s="2"/>
      <c r="B168" s="2"/>
    </row>
    <row r="169" spans="1:2" ht="14.5" x14ac:dyDescent="0.35">
      <c r="A169" s="2"/>
      <c r="B169" s="2"/>
    </row>
    <row r="170" spans="1:2" ht="14.5" x14ac:dyDescent="0.35">
      <c r="A170" s="2"/>
      <c r="B170" s="2"/>
    </row>
    <row r="171" spans="1:2" ht="14.5" x14ac:dyDescent="0.35">
      <c r="A171" s="2"/>
      <c r="B171" s="2"/>
    </row>
    <row r="172" spans="1:2" ht="14.5" x14ac:dyDescent="0.35">
      <c r="A172" s="2"/>
      <c r="B172" s="2"/>
    </row>
    <row r="173" spans="1:2" ht="14.5" x14ac:dyDescent="0.35">
      <c r="A173" s="2"/>
      <c r="B173" s="2"/>
    </row>
    <row r="174" spans="1:2" ht="14.5" x14ac:dyDescent="0.35">
      <c r="A174" s="2"/>
      <c r="B174" s="2"/>
    </row>
    <row r="175" spans="1:2" ht="14.5" x14ac:dyDescent="0.35">
      <c r="A175" s="2"/>
      <c r="B175" s="2"/>
    </row>
    <row r="176" spans="1:2" ht="14.5" x14ac:dyDescent="0.35">
      <c r="A176" s="2"/>
      <c r="B176" s="2"/>
    </row>
    <row r="177" spans="1:2" ht="14.5" x14ac:dyDescent="0.35">
      <c r="A177" s="2"/>
      <c r="B177" s="2"/>
    </row>
    <row r="178" spans="1:2" ht="14.5" x14ac:dyDescent="0.35">
      <c r="A178" s="2"/>
      <c r="B178" s="2"/>
    </row>
    <row r="179" spans="1:2" ht="14.5" x14ac:dyDescent="0.35">
      <c r="A179" s="2"/>
      <c r="B179" s="2"/>
    </row>
    <row r="180" spans="1:2" ht="14.5" x14ac:dyDescent="0.35">
      <c r="A180" s="2"/>
      <c r="B180" s="2"/>
    </row>
    <row r="181" spans="1:2" ht="14.5" x14ac:dyDescent="0.35">
      <c r="A181" s="2"/>
      <c r="B181" s="2"/>
    </row>
    <row r="182" spans="1:2" ht="14.5" x14ac:dyDescent="0.35">
      <c r="A182" s="2"/>
      <c r="B182" s="2"/>
    </row>
    <row r="183" spans="1:2" ht="14.5" x14ac:dyDescent="0.35">
      <c r="A183" s="2"/>
      <c r="B183" s="2"/>
    </row>
    <row r="184" spans="1:2" ht="14.5" x14ac:dyDescent="0.35">
      <c r="A184" s="2"/>
      <c r="B184" s="2"/>
    </row>
    <row r="185" spans="1:2" ht="14.5" x14ac:dyDescent="0.35">
      <c r="A185" s="2"/>
      <c r="B185" s="2"/>
    </row>
    <row r="186" spans="1:2" ht="14.5" x14ac:dyDescent="0.35">
      <c r="A186" s="2"/>
      <c r="B186" s="2"/>
    </row>
    <row r="187" spans="1:2" ht="14.5" x14ac:dyDescent="0.35">
      <c r="A187" s="2"/>
      <c r="B187" s="2"/>
    </row>
    <row r="188" spans="1:2" ht="14.5" x14ac:dyDescent="0.35">
      <c r="A188" s="2"/>
      <c r="B188" s="2"/>
    </row>
    <row r="189" spans="1:2" ht="14.5" x14ac:dyDescent="0.35">
      <c r="A189" s="2"/>
      <c r="B189" s="2"/>
    </row>
    <row r="190" spans="1:2" ht="14.5" x14ac:dyDescent="0.35">
      <c r="A190" s="2"/>
      <c r="B190" s="2"/>
    </row>
    <row r="191" spans="1:2" ht="14.5" x14ac:dyDescent="0.35">
      <c r="A191" s="2"/>
      <c r="B191" s="2"/>
    </row>
    <row r="192" spans="1:2" ht="14.5" x14ac:dyDescent="0.35">
      <c r="A192" s="2"/>
      <c r="B192" s="2"/>
    </row>
    <row r="193" spans="1:2" ht="14.5" x14ac:dyDescent="0.35">
      <c r="A193" s="2"/>
      <c r="B193" s="2"/>
    </row>
    <row r="194" spans="1:2" ht="14.5" x14ac:dyDescent="0.35">
      <c r="A194" s="2"/>
      <c r="B194" s="2"/>
    </row>
    <row r="195" spans="1:2" ht="14.5" x14ac:dyDescent="0.35">
      <c r="A195" s="2"/>
      <c r="B195" s="2"/>
    </row>
    <row r="196" spans="1:2" ht="14.5" x14ac:dyDescent="0.35">
      <c r="A196" s="2"/>
      <c r="B196" s="2"/>
    </row>
    <row r="197" spans="1:2" ht="14.5" x14ac:dyDescent="0.35">
      <c r="A197" s="2"/>
      <c r="B197" s="2"/>
    </row>
    <row r="198" spans="1:2" ht="14.5" x14ac:dyDescent="0.35">
      <c r="A198" s="2"/>
      <c r="B198" s="2"/>
    </row>
    <row r="199" spans="1:2" ht="14.5" x14ac:dyDescent="0.35">
      <c r="A199" s="2"/>
      <c r="B199" s="2"/>
    </row>
    <row r="200" spans="1:2" ht="14.5" x14ac:dyDescent="0.35">
      <c r="A200" s="2"/>
      <c r="B200" s="2"/>
    </row>
    <row r="201" spans="1:2" ht="14.5" x14ac:dyDescent="0.35">
      <c r="A201" s="2"/>
      <c r="B201" s="2"/>
    </row>
    <row r="202" spans="1:2" ht="14.5" x14ac:dyDescent="0.35">
      <c r="A202" s="2"/>
      <c r="B202" s="2"/>
    </row>
    <row r="203" spans="1:2" ht="14.5" x14ac:dyDescent="0.35">
      <c r="A203" s="2"/>
      <c r="B203" s="2"/>
    </row>
    <row r="204" spans="1:2" ht="14.5" x14ac:dyDescent="0.35">
      <c r="A204" s="2"/>
      <c r="B204" s="2"/>
    </row>
    <row r="205" spans="1:2" ht="14.5" x14ac:dyDescent="0.35">
      <c r="A205" s="2"/>
      <c r="B205" s="2"/>
    </row>
    <row r="206" spans="1:2" ht="14.5" x14ac:dyDescent="0.35">
      <c r="A206" s="2"/>
      <c r="B206" s="2"/>
    </row>
    <row r="207" spans="1:2" ht="14.5" x14ac:dyDescent="0.35">
      <c r="A207" s="2"/>
      <c r="B207" s="2"/>
    </row>
    <row r="208" spans="1:2" ht="14.5" x14ac:dyDescent="0.35">
      <c r="A208" s="2"/>
      <c r="B208" s="2"/>
    </row>
    <row r="209" spans="1:2" ht="14.5" x14ac:dyDescent="0.35">
      <c r="A209" s="2"/>
      <c r="B209" s="2"/>
    </row>
    <row r="210" spans="1:2" ht="14.5" x14ac:dyDescent="0.35">
      <c r="A210" s="2"/>
      <c r="B210" s="2"/>
    </row>
    <row r="211" spans="1:2" ht="14.5" x14ac:dyDescent="0.35">
      <c r="A211" s="2"/>
      <c r="B211" s="2"/>
    </row>
    <row r="212" spans="1:2" ht="14.5" x14ac:dyDescent="0.35">
      <c r="A212" s="2"/>
      <c r="B212" s="2"/>
    </row>
    <row r="213" spans="1:2" ht="14.5" x14ac:dyDescent="0.35">
      <c r="A213" s="2"/>
      <c r="B213" s="2"/>
    </row>
    <row r="214" spans="1:2" ht="14.5" x14ac:dyDescent="0.35">
      <c r="A214" s="2"/>
      <c r="B214" s="2"/>
    </row>
    <row r="215" spans="1:2" ht="14.5" x14ac:dyDescent="0.35">
      <c r="A215" s="2"/>
      <c r="B215" s="2"/>
    </row>
    <row r="216" spans="1:2" ht="14.5" x14ac:dyDescent="0.35">
      <c r="A216" s="2"/>
      <c r="B216" s="2"/>
    </row>
    <row r="217" spans="1:2" ht="14.5" x14ac:dyDescent="0.35">
      <c r="A217" s="2"/>
      <c r="B217" s="2"/>
    </row>
    <row r="218" spans="1:2" ht="14.5" x14ac:dyDescent="0.35">
      <c r="A218" s="2"/>
      <c r="B218" s="2"/>
    </row>
    <row r="219" spans="1:2" ht="14.5" x14ac:dyDescent="0.35">
      <c r="A219" s="2"/>
      <c r="B219" s="2"/>
    </row>
    <row r="220" spans="1:2" ht="14.5" x14ac:dyDescent="0.35">
      <c r="A220" s="2"/>
      <c r="B220" s="2"/>
    </row>
    <row r="221" spans="1:2" ht="14.5" x14ac:dyDescent="0.35">
      <c r="A221" s="2"/>
      <c r="B221" s="2"/>
    </row>
    <row r="222" spans="1:2" ht="14.5" x14ac:dyDescent="0.35">
      <c r="A222" s="2"/>
      <c r="B222" s="2"/>
    </row>
    <row r="223" spans="1:2" ht="14.5" x14ac:dyDescent="0.35">
      <c r="A223" s="2"/>
      <c r="B223" s="2"/>
    </row>
    <row r="224" spans="1:2" ht="14.5" x14ac:dyDescent="0.35">
      <c r="A224" s="2"/>
      <c r="B224" s="2"/>
    </row>
    <row r="225" spans="1:2" ht="14.5" x14ac:dyDescent="0.35">
      <c r="A225" s="2"/>
      <c r="B225" s="2"/>
    </row>
    <row r="226" spans="1:2" ht="14.5" x14ac:dyDescent="0.35">
      <c r="A226" s="2"/>
      <c r="B226" s="2"/>
    </row>
    <row r="227" spans="1:2" ht="14.5" x14ac:dyDescent="0.35">
      <c r="A227" s="2"/>
      <c r="B227" s="2"/>
    </row>
    <row r="228" spans="1:2" ht="14.5" x14ac:dyDescent="0.35">
      <c r="A228" s="2"/>
      <c r="B228" s="2"/>
    </row>
    <row r="229" spans="1:2" ht="14.5" x14ac:dyDescent="0.35">
      <c r="A229" s="2"/>
      <c r="B229" s="2"/>
    </row>
    <row r="230" spans="1:2" ht="14.5" x14ac:dyDescent="0.35">
      <c r="A230" s="2"/>
      <c r="B230" s="2"/>
    </row>
    <row r="231" spans="1:2" ht="14.5" x14ac:dyDescent="0.35">
      <c r="A231" s="2"/>
      <c r="B231" s="2"/>
    </row>
    <row r="232" spans="1:2" ht="14.5" x14ac:dyDescent="0.35">
      <c r="A232" s="2"/>
      <c r="B232" s="2"/>
    </row>
    <row r="233" spans="1:2" ht="14.5" x14ac:dyDescent="0.35">
      <c r="A233" s="2"/>
      <c r="B233" s="2"/>
    </row>
    <row r="234" spans="1:2" ht="14.5" x14ac:dyDescent="0.35">
      <c r="A234" s="2"/>
      <c r="B234" s="2"/>
    </row>
    <row r="235" spans="1:2" ht="14.5" x14ac:dyDescent="0.35">
      <c r="A235" s="2"/>
      <c r="B235" s="2"/>
    </row>
    <row r="236" spans="1:2" ht="14.5" x14ac:dyDescent="0.35">
      <c r="A236" s="2"/>
      <c r="B236" s="2"/>
    </row>
    <row r="237" spans="1:2" ht="14.5" x14ac:dyDescent="0.35">
      <c r="A237" s="2"/>
      <c r="B237" s="2"/>
    </row>
    <row r="238" spans="1:2" ht="14.5" x14ac:dyDescent="0.35">
      <c r="A238" s="2"/>
      <c r="B238" s="2"/>
    </row>
    <row r="239" spans="1:2" ht="14.5" x14ac:dyDescent="0.35">
      <c r="A239" s="2"/>
      <c r="B239" s="2"/>
    </row>
    <row r="240" spans="1:2" ht="14.5" x14ac:dyDescent="0.35">
      <c r="A240" s="2"/>
      <c r="B240" s="2"/>
    </row>
    <row r="241" spans="1:2" ht="14.5" x14ac:dyDescent="0.35">
      <c r="A241" s="2"/>
      <c r="B241" s="2"/>
    </row>
    <row r="242" spans="1:2" ht="14.5" x14ac:dyDescent="0.35">
      <c r="A242" s="2"/>
      <c r="B242" s="2"/>
    </row>
    <row r="243" spans="1:2" ht="14.5" x14ac:dyDescent="0.35">
      <c r="A243" s="2"/>
      <c r="B243" s="2"/>
    </row>
    <row r="244" spans="1:2" ht="14.5" x14ac:dyDescent="0.35">
      <c r="A244" s="2"/>
      <c r="B244" s="2"/>
    </row>
    <row r="245" spans="1:2" ht="14.5" x14ac:dyDescent="0.35">
      <c r="A245" s="2"/>
      <c r="B245" s="2"/>
    </row>
    <row r="246" spans="1:2" ht="14.5" x14ac:dyDescent="0.35">
      <c r="A246" s="2"/>
      <c r="B246" s="2"/>
    </row>
    <row r="247" spans="1:2" ht="14.5" x14ac:dyDescent="0.35">
      <c r="A247" s="2"/>
      <c r="B247" s="2"/>
    </row>
    <row r="248" spans="1:2" ht="14.5" x14ac:dyDescent="0.35">
      <c r="A248" s="2"/>
      <c r="B248" s="2"/>
    </row>
    <row r="249" spans="1:2" ht="14.5" x14ac:dyDescent="0.35">
      <c r="A249" s="2"/>
      <c r="B249" s="2"/>
    </row>
    <row r="250" spans="1:2" ht="14.5" x14ac:dyDescent="0.35">
      <c r="A250" s="2"/>
      <c r="B250" s="2"/>
    </row>
    <row r="251" spans="1:2" ht="14.5" x14ac:dyDescent="0.35">
      <c r="A251" s="2"/>
      <c r="B251" s="2"/>
    </row>
    <row r="252" spans="1:2" ht="14.5" x14ac:dyDescent="0.35">
      <c r="A252" s="2"/>
      <c r="B252" s="2"/>
    </row>
    <row r="253" spans="1:2" ht="14.5" x14ac:dyDescent="0.35">
      <c r="A253" s="2"/>
      <c r="B253" s="2"/>
    </row>
    <row r="254" spans="1:2" ht="14.5" x14ac:dyDescent="0.35">
      <c r="A254" s="2"/>
      <c r="B254" s="2"/>
    </row>
    <row r="255" spans="1:2" ht="14.5" x14ac:dyDescent="0.35">
      <c r="A255" s="2"/>
      <c r="B255" s="2"/>
    </row>
    <row r="256" spans="1:2" ht="14.5" x14ac:dyDescent="0.35">
      <c r="A256" s="2"/>
      <c r="B256" s="2"/>
    </row>
    <row r="257" spans="1:2" ht="14.5" x14ac:dyDescent="0.35">
      <c r="A257" s="2"/>
      <c r="B257" s="2"/>
    </row>
    <row r="258" spans="1:2" ht="14.5" x14ac:dyDescent="0.35">
      <c r="A258" s="2"/>
      <c r="B258" s="2"/>
    </row>
    <row r="259" spans="1:2" ht="14.5" x14ac:dyDescent="0.35">
      <c r="A259" s="2"/>
      <c r="B259" s="2"/>
    </row>
    <row r="260" spans="1:2" ht="14.5" x14ac:dyDescent="0.35">
      <c r="A260" s="2"/>
      <c r="B260" s="2"/>
    </row>
    <row r="261" spans="1:2" ht="14.5" x14ac:dyDescent="0.35">
      <c r="A261" s="2"/>
      <c r="B261" s="2"/>
    </row>
    <row r="262" spans="1:2" ht="14.5" x14ac:dyDescent="0.35">
      <c r="A262" s="2"/>
      <c r="B262" s="2"/>
    </row>
    <row r="263" spans="1:2" ht="14.5" x14ac:dyDescent="0.35">
      <c r="A263" s="2"/>
      <c r="B263" s="2"/>
    </row>
    <row r="264" spans="1:2" ht="14.5" x14ac:dyDescent="0.35">
      <c r="A264" s="2"/>
      <c r="B264" s="2"/>
    </row>
    <row r="265" spans="1:2" ht="14.5" x14ac:dyDescent="0.35">
      <c r="A265" s="2"/>
      <c r="B265" s="2"/>
    </row>
    <row r="266" spans="1:2" ht="14.5" x14ac:dyDescent="0.35">
      <c r="A266" s="2"/>
      <c r="B266" s="2"/>
    </row>
    <row r="267" spans="1:2" ht="14.5" x14ac:dyDescent="0.35">
      <c r="A267" s="2"/>
      <c r="B267" s="2"/>
    </row>
    <row r="268" spans="1:2" ht="14.5" x14ac:dyDescent="0.35">
      <c r="A268" s="2"/>
      <c r="B268" s="2"/>
    </row>
    <row r="269" spans="1:2" ht="14.5" x14ac:dyDescent="0.35">
      <c r="A269" s="2"/>
      <c r="B269" s="2"/>
    </row>
    <row r="270" spans="1:2" ht="14.5" x14ac:dyDescent="0.35">
      <c r="A270" s="2"/>
      <c r="B270" s="2"/>
    </row>
    <row r="271" spans="1:2" ht="14.5" x14ac:dyDescent="0.35">
      <c r="A271" s="2"/>
      <c r="B271" s="2"/>
    </row>
    <row r="272" spans="1:2" ht="14.5" x14ac:dyDescent="0.35">
      <c r="A272" s="2"/>
      <c r="B272" s="2"/>
    </row>
    <row r="273" spans="1:2" ht="14.5" x14ac:dyDescent="0.35">
      <c r="A273" s="2"/>
      <c r="B273" s="2"/>
    </row>
    <row r="274" spans="1:2" ht="14.5" x14ac:dyDescent="0.35">
      <c r="A274" s="2"/>
      <c r="B274" s="2"/>
    </row>
    <row r="275" spans="1:2" ht="14.5" x14ac:dyDescent="0.35">
      <c r="A275" s="2"/>
      <c r="B275" s="2"/>
    </row>
    <row r="276" spans="1:2" ht="14.5" x14ac:dyDescent="0.35">
      <c r="A276" s="2"/>
      <c r="B276" s="2"/>
    </row>
    <row r="277" spans="1:2" ht="14.5" x14ac:dyDescent="0.35">
      <c r="A277" s="2"/>
      <c r="B277" s="2"/>
    </row>
    <row r="278" spans="1:2" ht="14.5" x14ac:dyDescent="0.35">
      <c r="A278" s="2"/>
      <c r="B278" s="2"/>
    </row>
    <row r="279" spans="1:2" ht="14.5" x14ac:dyDescent="0.35">
      <c r="A279" s="2"/>
      <c r="B279" s="2"/>
    </row>
    <row r="280" spans="1:2" ht="14.5" x14ac:dyDescent="0.35">
      <c r="A280" s="2"/>
      <c r="B280" s="2"/>
    </row>
    <row r="281" spans="1:2" ht="14.5" x14ac:dyDescent="0.35">
      <c r="A281" s="2"/>
      <c r="B281" s="2"/>
    </row>
    <row r="282" spans="1:2" ht="14.5" x14ac:dyDescent="0.35">
      <c r="A282" s="2"/>
      <c r="B282" s="2"/>
    </row>
    <row r="283" spans="1:2" ht="14.5" x14ac:dyDescent="0.35">
      <c r="A283" s="2"/>
      <c r="B283" s="2"/>
    </row>
    <row r="284" spans="1:2" ht="14.5" x14ac:dyDescent="0.35">
      <c r="A284" s="2"/>
      <c r="B284" s="2"/>
    </row>
    <row r="285" spans="1:2" ht="14.5" x14ac:dyDescent="0.35">
      <c r="A285" s="2"/>
      <c r="B285" s="2"/>
    </row>
    <row r="286" spans="1:2" ht="14.5" x14ac:dyDescent="0.35">
      <c r="A286" s="2"/>
      <c r="B286" s="2"/>
    </row>
    <row r="287" spans="1:2" ht="14.5" x14ac:dyDescent="0.35">
      <c r="A287" s="2"/>
      <c r="B287" s="2"/>
    </row>
    <row r="288" spans="1:2" ht="14.5" x14ac:dyDescent="0.35">
      <c r="A288" s="2"/>
      <c r="B288" s="2"/>
    </row>
    <row r="289" spans="1:2" ht="14.5" x14ac:dyDescent="0.35">
      <c r="A289" s="2"/>
      <c r="B289" s="2"/>
    </row>
    <row r="290" spans="1:2" ht="14.5" x14ac:dyDescent="0.35">
      <c r="A290" s="2"/>
      <c r="B290" s="2"/>
    </row>
    <row r="291" spans="1:2" ht="14.5" x14ac:dyDescent="0.35">
      <c r="A291" s="2"/>
      <c r="B291" s="2"/>
    </row>
    <row r="292" spans="1:2" ht="14.5" x14ac:dyDescent="0.35">
      <c r="A292" s="2"/>
      <c r="B292" s="2"/>
    </row>
    <row r="293" spans="1:2" ht="14.5" x14ac:dyDescent="0.35">
      <c r="A293" s="2"/>
      <c r="B293" s="2"/>
    </row>
    <row r="294" spans="1:2" ht="14.5" x14ac:dyDescent="0.35">
      <c r="A294" s="2"/>
      <c r="B294" s="2"/>
    </row>
    <row r="295" spans="1:2" ht="14.5" x14ac:dyDescent="0.35">
      <c r="A295" s="2"/>
      <c r="B295" s="2"/>
    </row>
    <row r="296" spans="1:2" ht="14.5" x14ac:dyDescent="0.35">
      <c r="A296" s="2"/>
      <c r="B296" s="2"/>
    </row>
    <row r="297" spans="1:2" ht="14.5" x14ac:dyDescent="0.35">
      <c r="A297" s="2"/>
      <c r="B297" s="2"/>
    </row>
    <row r="298" spans="1:2" ht="14.5" x14ac:dyDescent="0.35">
      <c r="A298" s="2"/>
      <c r="B298" s="2"/>
    </row>
    <row r="299" spans="1:2" ht="14.5" x14ac:dyDescent="0.35">
      <c r="A299" s="2"/>
      <c r="B299" s="2"/>
    </row>
    <row r="300" spans="1:2" ht="14.5" x14ac:dyDescent="0.35">
      <c r="A300" s="2"/>
      <c r="B300" s="2"/>
    </row>
    <row r="301" spans="1:2" ht="14.5" x14ac:dyDescent="0.35">
      <c r="A301" s="2"/>
      <c r="B301" s="2"/>
    </row>
    <row r="302" spans="1:2" ht="14.5" x14ac:dyDescent="0.35">
      <c r="A302" s="2"/>
      <c r="B302" s="2"/>
    </row>
    <row r="303" spans="1:2" ht="14.5" x14ac:dyDescent="0.35">
      <c r="A303" s="2"/>
      <c r="B303" s="2"/>
    </row>
    <row r="304" spans="1:2" ht="14.5" x14ac:dyDescent="0.35">
      <c r="A304" s="2"/>
      <c r="B304" s="2"/>
    </row>
    <row r="305" spans="1:2" ht="14.5" x14ac:dyDescent="0.35">
      <c r="A305" s="2"/>
      <c r="B305" s="2"/>
    </row>
    <row r="306" spans="1:2" ht="14.5" x14ac:dyDescent="0.35">
      <c r="A306" s="2"/>
      <c r="B306" s="2"/>
    </row>
    <row r="307" spans="1:2" ht="14.5" x14ac:dyDescent="0.35">
      <c r="A307" s="2"/>
      <c r="B307" s="2"/>
    </row>
    <row r="308" spans="1:2" ht="14.5" x14ac:dyDescent="0.35">
      <c r="A308" s="2"/>
      <c r="B308" s="2"/>
    </row>
    <row r="309" spans="1:2" ht="14.5" x14ac:dyDescent="0.35">
      <c r="A309" s="2"/>
      <c r="B309" s="2"/>
    </row>
    <row r="310" spans="1:2" ht="14.5" x14ac:dyDescent="0.35">
      <c r="A310" s="2"/>
      <c r="B310" s="2"/>
    </row>
    <row r="311" spans="1:2" ht="14.5" x14ac:dyDescent="0.35">
      <c r="A311" s="2"/>
      <c r="B311" s="2"/>
    </row>
    <row r="312" spans="1:2" ht="14.5" x14ac:dyDescent="0.35">
      <c r="A312" s="2"/>
      <c r="B312" s="2"/>
    </row>
    <row r="313" spans="1:2" ht="14.5" x14ac:dyDescent="0.35">
      <c r="A313" s="2"/>
      <c r="B313" s="2"/>
    </row>
    <row r="314" spans="1:2" ht="14.5" x14ac:dyDescent="0.35">
      <c r="A314" s="2"/>
      <c r="B314" s="2"/>
    </row>
    <row r="315" spans="1:2" ht="14.5" x14ac:dyDescent="0.35">
      <c r="A315" s="2"/>
      <c r="B315" s="2"/>
    </row>
    <row r="316" spans="1:2" ht="14.5" x14ac:dyDescent="0.35">
      <c r="A316" s="2"/>
      <c r="B316" s="2"/>
    </row>
    <row r="317" spans="1:2" ht="14.5" x14ac:dyDescent="0.35">
      <c r="A317" s="2"/>
      <c r="B317" s="2"/>
    </row>
    <row r="318" spans="1:2" ht="14.5" x14ac:dyDescent="0.35">
      <c r="A318" s="2"/>
      <c r="B318" s="2"/>
    </row>
    <row r="319" spans="1:2" ht="14.5" x14ac:dyDescent="0.35">
      <c r="A319" s="2"/>
      <c r="B319" s="2"/>
    </row>
    <row r="320" spans="1:2" ht="14.5" x14ac:dyDescent="0.35">
      <c r="A320" s="2"/>
      <c r="B320" s="2"/>
    </row>
    <row r="321" spans="1:2" ht="14.5" x14ac:dyDescent="0.35">
      <c r="A321" s="2"/>
      <c r="B321" s="2"/>
    </row>
    <row r="322" spans="1:2" ht="14.5" x14ac:dyDescent="0.35">
      <c r="A322" s="2"/>
      <c r="B322" s="2"/>
    </row>
    <row r="323" spans="1:2" ht="14.5" x14ac:dyDescent="0.35">
      <c r="A323" s="2"/>
      <c r="B323" s="2"/>
    </row>
    <row r="324" spans="1:2" ht="14.5" x14ac:dyDescent="0.35">
      <c r="A324" s="2"/>
      <c r="B324" s="2"/>
    </row>
    <row r="325" spans="1:2" ht="14.5" x14ac:dyDescent="0.35">
      <c r="A325" s="2"/>
      <c r="B325" s="2"/>
    </row>
    <row r="326" spans="1:2" ht="14.5" x14ac:dyDescent="0.35">
      <c r="A326" s="2"/>
      <c r="B326" s="2"/>
    </row>
    <row r="327" spans="1:2" ht="14.5" x14ac:dyDescent="0.35">
      <c r="A327" s="2"/>
      <c r="B327" s="2"/>
    </row>
    <row r="328" spans="1:2" ht="14.5" x14ac:dyDescent="0.35">
      <c r="A328" s="2"/>
      <c r="B328" s="2"/>
    </row>
    <row r="329" spans="1:2" ht="14.5" x14ac:dyDescent="0.35">
      <c r="A329" s="2"/>
      <c r="B329" s="2"/>
    </row>
    <row r="330" spans="1:2" ht="14.5" x14ac:dyDescent="0.35">
      <c r="A330" s="2"/>
      <c r="B330" s="2"/>
    </row>
    <row r="331" spans="1:2" ht="14.5" x14ac:dyDescent="0.35">
      <c r="A331" s="2"/>
      <c r="B331" s="2"/>
    </row>
    <row r="332" spans="1:2" ht="14.5" x14ac:dyDescent="0.35">
      <c r="A332" s="2"/>
      <c r="B332" s="2"/>
    </row>
    <row r="333" spans="1:2" ht="14.5" x14ac:dyDescent="0.35">
      <c r="A333" s="2"/>
      <c r="B333" s="2"/>
    </row>
    <row r="334" spans="1:2" ht="14.5" x14ac:dyDescent="0.35">
      <c r="A334" s="2"/>
      <c r="B334" s="2"/>
    </row>
    <row r="335" spans="1:2" ht="14.5" x14ac:dyDescent="0.35">
      <c r="A335" s="2"/>
      <c r="B335" s="2"/>
    </row>
    <row r="336" spans="1:2" ht="14.5" x14ac:dyDescent="0.35">
      <c r="A336" s="2"/>
      <c r="B336" s="2"/>
    </row>
    <row r="337" spans="1:2" ht="14.5" x14ac:dyDescent="0.35">
      <c r="A337" s="2"/>
      <c r="B337" s="2"/>
    </row>
    <row r="338" spans="1:2" ht="14.5" x14ac:dyDescent="0.35">
      <c r="A338" s="2"/>
      <c r="B338" s="2"/>
    </row>
    <row r="339" spans="1:2" ht="14.5" x14ac:dyDescent="0.35">
      <c r="A339" s="2"/>
      <c r="B339" s="2"/>
    </row>
    <row r="340" spans="1:2" ht="14.5" x14ac:dyDescent="0.35">
      <c r="A340" s="2"/>
      <c r="B340" s="2"/>
    </row>
    <row r="341" spans="1:2" ht="14.5" x14ac:dyDescent="0.35">
      <c r="A341" s="2"/>
      <c r="B341" s="2"/>
    </row>
    <row r="342" spans="1:2" ht="14.5" x14ac:dyDescent="0.35">
      <c r="A342" s="2"/>
      <c r="B342" s="2"/>
    </row>
    <row r="343" spans="1:2" ht="14.5" x14ac:dyDescent="0.35">
      <c r="A343" s="2"/>
      <c r="B343" s="2"/>
    </row>
    <row r="344" spans="1:2" ht="14.5" x14ac:dyDescent="0.35">
      <c r="A344" s="2"/>
      <c r="B344" s="2"/>
    </row>
    <row r="345" spans="1:2" ht="14.5" x14ac:dyDescent="0.35">
      <c r="A345" s="2"/>
      <c r="B345" s="2"/>
    </row>
    <row r="346" spans="1:2" ht="14.5" x14ac:dyDescent="0.35">
      <c r="A346" s="2"/>
      <c r="B346" s="2"/>
    </row>
    <row r="347" spans="1:2" ht="14.5" x14ac:dyDescent="0.35">
      <c r="A347" s="2"/>
      <c r="B347" s="2"/>
    </row>
    <row r="348" spans="1:2" ht="14.5" x14ac:dyDescent="0.35">
      <c r="A348" s="2"/>
      <c r="B348" s="2"/>
    </row>
    <row r="349" spans="1:2" ht="14.5" x14ac:dyDescent="0.35">
      <c r="A349" s="2"/>
      <c r="B349" s="2"/>
    </row>
    <row r="350" spans="1:2" ht="14.5" x14ac:dyDescent="0.35">
      <c r="A350" s="2"/>
      <c r="B350" s="2"/>
    </row>
    <row r="351" spans="1:2" ht="14.5" x14ac:dyDescent="0.35">
      <c r="A351" s="2"/>
      <c r="B351" s="2"/>
    </row>
    <row r="352" spans="1:2" ht="14.5" x14ac:dyDescent="0.35">
      <c r="A352" s="2"/>
      <c r="B352" s="2"/>
    </row>
    <row r="353" spans="1:2" ht="14.5" x14ac:dyDescent="0.35">
      <c r="A353" s="2"/>
      <c r="B353" s="2"/>
    </row>
    <row r="354" spans="1:2" ht="14.5" x14ac:dyDescent="0.35">
      <c r="A354" s="2"/>
      <c r="B354" s="2"/>
    </row>
    <row r="355" spans="1:2" ht="14.5" x14ac:dyDescent="0.35">
      <c r="A355" s="2"/>
      <c r="B355" s="2"/>
    </row>
    <row r="356" spans="1:2" ht="14.5" x14ac:dyDescent="0.35">
      <c r="A356" s="2"/>
      <c r="B356" s="2"/>
    </row>
    <row r="357" spans="1:2" ht="14.5" x14ac:dyDescent="0.35">
      <c r="A357" s="2"/>
      <c r="B357" s="2"/>
    </row>
    <row r="358" spans="1:2" ht="14.5" x14ac:dyDescent="0.35">
      <c r="A358" s="2"/>
      <c r="B358" s="2"/>
    </row>
    <row r="359" spans="1:2" ht="14.5" x14ac:dyDescent="0.35">
      <c r="A359" s="2"/>
      <c r="B359" s="2"/>
    </row>
    <row r="360" spans="1:2" ht="14.5" x14ac:dyDescent="0.35">
      <c r="A360" s="2"/>
      <c r="B360" s="2"/>
    </row>
    <row r="361" spans="1:2" ht="14.5" x14ac:dyDescent="0.35">
      <c r="A361" s="2"/>
      <c r="B361" s="2"/>
    </row>
    <row r="362" spans="1:2" ht="14.5" x14ac:dyDescent="0.35">
      <c r="A362" s="2"/>
      <c r="B362" s="2"/>
    </row>
    <row r="363" spans="1:2" ht="14.5" x14ac:dyDescent="0.35">
      <c r="A363" s="2"/>
      <c r="B363" s="2"/>
    </row>
    <row r="364" spans="1:2" ht="14.5" x14ac:dyDescent="0.35">
      <c r="A364" s="2"/>
      <c r="B364" s="2"/>
    </row>
    <row r="365" spans="1:2" ht="14.5" x14ac:dyDescent="0.35">
      <c r="A365" s="2"/>
      <c r="B365" s="2"/>
    </row>
    <row r="366" spans="1:2" ht="14.5" x14ac:dyDescent="0.35">
      <c r="A366" s="2"/>
      <c r="B366" s="2"/>
    </row>
    <row r="367" spans="1:2" ht="14.5" x14ac:dyDescent="0.35">
      <c r="A367" s="2"/>
      <c r="B367" s="2"/>
    </row>
    <row r="368" spans="1:2" ht="14.5" x14ac:dyDescent="0.35">
      <c r="A368" s="2"/>
      <c r="B368" s="2"/>
    </row>
    <row r="369" spans="1:2" ht="14.5" x14ac:dyDescent="0.35">
      <c r="A369" s="2"/>
      <c r="B369" s="2"/>
    </row>
    <row r="370" spans="1:2" ht="14.5" x14ac:dyDescent="0.35">
      <c r="A370" s="2"/>
      <c r="B370" s="2"/>
    </row>
    <row r="371" spans="1:2" ht="14.5" x14ac:dyDescent="0.35">
      <c r="A371" s="2"/>
      <c r="B371" s="2"/>
    </row>
    <row r="372" spans="1:2" ht="14.5" x14ac:dyDescent="0.35">
      <c r="A372" s="2"/>
      <c r="B372" s="2"/>
    </row>
    <row r="373" spans="1:2" ht="14.5" x14ac:dyDescent="0.35">
      <c r="A373" s="2"/>
      <c r="B373" s="2"/>
    </row>
    <row r="374" spans="1:2" ht="14.5" x14ac:dyDescent="0.35">
      <c r="A374" s="2"/>
      <c r="B374" s="2"/>
    </row>
    <row r="375" spans="1:2" ht="14.5" x14ac:dyDescent="0.35">
      <c r="A375" s="2"/>
      <c r="B375" s="2"/>
    </row>
    <row r="376" spans="1:2" ht="14.5" x14ac:dyDescent="0.35">
      <c r="A376" s="2"/>
      <c r="B376" s="2"/>
    </row>
    <row r="377" spans="1:2" ht="14.5" x14ac:dyDescent="0.35">
      <c r="A377" s="2"/>
      <c r="B377" s="2"/>
    </row>
    <row r="378" spans="1:2" ht="14.5" x14ac:dyDescent="0.35">
      <c r="A378" s="2"/>
      <c r="B378" s="2"/>
    </row>
    <row r="379" spans="1:2" ht="14.5" x14ac:dyDescent="0.35">
      <c r="A379" s="2"/>
      <c r="B379" s="2"/>
    </row>
    <row r="380" spans="1:2" ht="14.5" x14ac:dyDescent="0.35">
      <c r="A380" s="2"/>
      <c r="B380" s="2"/>
    </row>
    <row r="381" spans="1:2" ht="14.5" x14ac:dyDescent="0.35">
      <c r="A381" s="2"/>
      <c r="B381" s="2"/>
    </row>
    <row r="382" spans="1:2" ht="14.5" x14ac:dyDescent="0.35">
      <c r="A382" s="2"/>
      <c r="B382" s="2"/>
    </row>
    <row r="383" spans="1:2" ht="14.5" x14ac:dyDescent="0.35">
      <c r="A383" s="2"/>
      <c r="B383" s="2"/>
    </row>
    <row r="384" spans="1:2" ht="14.5" x14ac:dyDescent="0.35">
      <c r="A384" s="2"/>
      <c r="B384" s="2"/>
    </row>
    <row r="385" spans="1:2" ht="14.5" x14ac:dyDescent="0.35">
      <c r="A385" s="2"/>
      <c r="B385" s="2"/>
    </row>
    <row r="386" spans="1:2" ht="14.5" x14ac:dyDescent="0.35">
      <c r="A386" s="2"/>
      <c r="B386" s="2"/>
    </row>
    <row r="387" spans="1:2" ht="14.5" x14ac:dyDescent="0.35">
      <c r="A387" s="2"/>
      <c r="B387" s="2"/>
    </row>
    <row r="388" spans="1:2" ht="14.5" x14ac:dyDescent="0.35">
      <c r="A388" s="2"/>
      <c r="B388" s="2"/>
    </row>
    <row r="389" spans="1:2" ht="14.5" x14ac:dyDescent="0.35">
      <c r="A389" s="2"/>
      <c r="B389" s="2"/>
    </row>
    <row r="390" spans="1:2" ht="14.5" x14ac:dyDescent="0.35">
      <c r="A390" s="2"/>
      <c r="B390" s="2"/>
    </row>
    <row r="391" spans="1:2" ht="14.5" x14ac:dyDescent="0.35">
      <c r="A391" s="2"/>
      <c r="B391" s="2"/>
    </row>
    <row r="392" spans="1:2" ht="14.5" x14ac:dyDescent="0.35">
      <c r="A392" s="2"/>
      <c r="B392" s="2"/>
    </row>
    <row r="393" spans="1:2" ht="14.5" x14ac:dyDescent="0.35">
      <c r="A393" s="2"/>
      <c r="B393" s="2"/>
    </row>
    <row r="394" spans="1:2" ht="14.5" x14ac:dyDescent="0.35">
      <c r="A394" s="2"/>
      <c r="B394" s="2"/>
    </row>
    <row r="395" spans="1:2" ht="14.5" x14ac:dyDescent="0.35">
      <c r="A395" s="2"/>
      <c r="B395" s="2"/>
    </row>
    <row r="396" spans="1:2" ht="14.5" x14ac:dyDescent="0.35">
      <c r="A396" s="2"/>
      <c r="B396" s="2"/>
    </row>
    <row r="397" spans="1:2" ht="14.5" x14ac:dyDescent="0.35">
      <c r="A397" s="2"/>
      <c r="B397" s="2"/>
    </row>
    <row r="398" spans="1:2" ht="14.5" x14ac:dyDescent="0.35">
      <c r="A398" s="2"/>
      <c r="B398" s="2"/>
    </row>
    <row r="399" spans="1:2" ht="14.5" x14ac:dyDescent="0.35">
      <c r="A399" s="2"/>
      <c r="B399" s="2"/>
    </row>
    <row r="400" spans="1:2" ht="14.5" x14ac:dyDescent="0.35">
      <c r="A400" s="2"/>
      <c r="B400" s="2"/>
    </row>
    <row r="401" spans="1:2" ht="14.5" x14ac:dyDescent="0.35">
      <c r="A401" s="2"/>
      <c r="B401" s="2"/>
    </row>
  </sheetData>
  <conditionalFormatting sqref="A2:B401">
    <cfRule type="expression" dxfId="57" priority="13">
      <formula>MOD(ROW()-2,2)=0</formula>
    </cfRule>
  </conditionalFormatting>
  <conditionalFormatting sqref="B2:B401">
    <cfRule type="expression" dxfId="56" priority="1">
      <formula>$B2="Home Office"</formula>
    </cfRule>
    <cfRule type="expression" dxfId="55" priority="2">
      <formula>$B2="Office"</formula>
    </cfRule>
    <cfRule type="expression" dxfId="54" priority="3">
      <formula>$B2="Holiday"</formula>
    </cfRule>
    <cfRule type="expression" dxfId="53" priority="4">
      <formula>$B2="Sick"</formula>
    </cfRule>
    <cfRule type="expression" dxfId="52" priority="5">
      <formula>$B2="Out of Office"</formula>
    </cfRule>
  </conditionalFormatting>
  <conditionalFormatting sqref="D2:J61">
    <cfRule type="expression" dxfId="51" priority="14">
      <formula>MOD(ROW()-2,2)=0</formula>
    </cfRule>
  </conditionalFormatting>
  <conditionalFormatting sqref="G2:G61">
    <cfRule type="expression" dxfId="50" priority="6">
      <formula>$G2="Daily"</formula>
    </cfRule>
    <cfRule type="expression" dxfId="49" priority="7">
      <formula>$G2="Weekdays"</formula>
    </cfRule>
    <cfRule type="expression" dxfId="48" priority="8">
      <formula>$G2="Weekly"</formula>
    </cfRule>
    <cfRule type="expression" dxfId="47" priority="9">
      <formula>$G2="Monthly"</formula>
    </cfRule>
    <cfRule type="expression" dxfId="46" priority="10">
      <formula>$G2="One-time"</formula>
    </cfRule>
  </conditionalFormatting>
  <conditionalFormatting sqref="I2:I61">
    <cfRule type="expression" dxfId="45" priority="11">
      <formula>$I2="Active"</formula>
    </cfRule>
    <cfRule type="expression" dxfId="44" priority="12">
      <formula>$I2="Inactive"</formula>
    </cfRule>
  </conditionalFormatting>
  <dataValidations count="3">
    <dataValidation type="list" allowBlank="1" sqref="B2:B401" xr:uid="{00000000-0002-0000-0700-000000000000}">
      <formula1>"Home Office,Office,Holiday"</formula1>
    </dataValidation>
    <dataValidation type="list" allowBlank="1" sqref="G2:G61" xr:uid="{00000000-0002-0000-0700-000001000000}">
      <formula1>"One-time,Daily,Weekly,Monthly"</formula1>
    </dataValidation>
    <dataValidation type="list" allowBlank="1" sqref="I2:I61" xr:uid="{00000000-0002-0000-0700-000002000000}">
      <formula1>"Active,Inactive"</formula1>
    </dataValidation>
  </dataValidations>
  <pageMargins left="0.75" right="0.75" top="1" bottom="1" header="0.5" footer="0.5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>
    <tabColor rgb="FF1F4E79"/>
  </sheetPr>
  <dimension ref="A1:J15"/>
  <sheetViews>
    <sheetView showGridLines="0" zoomScale="115" workbookViewId="0"/>
  </sheetViews>
  <sheetFormatPr defaultRowHeight="19" customHeight="1" x14ac:dyDescent="0.35"/>
  <cols>
    <col min="1" max="7" width="14" customWidth="1"/>
    <col min="10" max="10" width="13" hidden="1" customWidth="1"/>
  </cols>
  <sheetData>
    <row r="1" spans="1:10" ht="26" customHeight="1" x14ac:dyDescent="0.35">
      <c r="A1" s="27" t="s">
        <v>58</v>
      </c>
      <c r="B1" s="59" t="str">
        <f>INDEX({"January","February","March","April","May","June","July","August","September","October","November","December"},MONTH(DATE(ScheduleYear,ScheduleMonth,1)))&amp;" "&amp;TEXT(DATE(ScheduleYear,ScheduleMonth,1),"YYYY")</f>
        <v>October 2026</v>
      </c>
      <c r="C1" s="54"/>
      <c r="D1" s="54"/>
      <c r="E1" s="54"/>
      <c r="F1" s="28" t="s">
        <v>59</v>
      </c>
      <c r="G1" s="27" t="s">
        <v>60</v>
      </c>
      <c r="J1">
        <v>2026</v>
      </c>
    </row>
    <row r="2" spans="1:10" ht="17" x14ac:dyDescent="0.35">
      <c r="A2" s="29" t="s">
        <v>61</v>
      </c>
      <c r="B2" s="29" t="s">
        <v>62</v>
      </c>
      <c r="C2" s="29" t="s">
        <v>63</v>
      </c>
      <c r="D2" s="29" t="s">
        <v>64</v>
      </c>
      <c r="E2" s="29" t="s">
        <v>65</v>
      </c>
      <c r="F2" s="29" t="s">
        <v>66</v>
      </c>
      <c r="G2" s="30" t="s">
        <v>67</v>
      </c>
      <c r="J2">
        <v>10</v>
      </c>
    </row>
    <row r="3" spans="1:10" ht="20" customHeight="1" x14ac:dyDescent="0.35">
      <c r="A3" s="31">
        <f>J8</f>
        <v>46293</v>
      </c>
      <c r="B3" s="31">
        <f>J8+1</f>
        <v>46294</v>
      </c>
      <c r="C3" s="31">
        <f>J8+2</f>
        <v>46295</v>
      </c>
      <c r="D3" s="31">
        <f>J8+3</f>
        <v>46296</v>
      </c>
      <c r="E3" s="31">
        <f>J8+4</f>
        <v>46297</v>
      </c>
      <c r="F3" s="32">
        <f>J8+5</f>
        <v>46298</v>
      </c>
      <c r="G3" s="32">
        <f>J8+6</f>
        <v>46299</v>
      </c>
      <c r="J3">
        <v>10</v>
      </c>
    </row>
    <row r="4" spans="1:10" ht="14" customHeight="1" x14ac:dyDescent="0.35">
      <c r="A4" s="38" t="str">
        <f>IF((COUNTIFS('Schedule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Data'!$I$2:$I$61="Active")*('Schedule Data'!$H$2:$H$61&lt;=A3)*(('Schedule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Data'!$H$2:$H$61)=DAY(A3)))))))=0,"",COUNTIFS('Schedule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Data'!$I$2:$I$61="Active")*('Schedule Data'!$H$2:$H$61&lt;=A3)*(('Schedule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</f>
        <v/>
      </c>
      <c r="B4" s="38" t="str">
        <f>IF((COUNTIFS('Schedule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Data'!$I$2:$I$61="Active")*('Schedule Data'!$H$2:$H$61&lt;=B3)*(('Schedule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Data'!$H$2:$H$61)=DAY(B3)))))))=0,"",COUNTIFS('Schedule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Data'!$I$2:$I$61="Active")*('Schedule Data'!$H$2:$H$61&lt;=B3)*(('Schedule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</f>
        <v/>
      </c>
      <c r="C4" s="38" t="str">
        <f>IF((COUNTIFS('Schedule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Data'!$I$2:$I$61="Active")*('Schedule Data'!$H$2:$H$61&lt;=C3)*(('Schedule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Data'!$H$2:$H$61)=DAY(C3)))))))=0,"",COUNTIFS('Schedule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Data'!$I$2:$I$61="Active")*('Schedule Data'!$H$2:$H$61&lt;=C3)*(('Schedule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</f>
        <v/>
      </c>
      <c r="D4" s="38" t="str">
        <f>IF((COUNTIFS('Schedule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Data'!$I$2:$I$61="Active")*('Schedule Data'!$H$2:$H$61&lt;=D3)*(('Schedule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Data'!$H$2:$H$61)=DAY(D3)))))))=0,"",COUNTIFS('Schedule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Data'!$I$2:$I$61="Active")*('Schedule Data'!$H$2:$H$61&lt;=D3)*(('Schedule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</f>
        <v/>
      </c>
      <c r="E4" s="38" t="str">
        <f>IF((COUNTIFS('Schedule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Data'!$I$2:$I$61="Active")*('Schedule Data'!$H$2:$H$61&lt;=E3)*(('Schedule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Data'!$H$2:$H$61)=DAY(E3)))))))=0,"",COUNTIFS('Schedule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Data'!$I$2:$I$61="Active")*('Schedule Data'!$H$2:$H$61&lt;=E3)*(('Schedule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</f>
        <v/>
      </c>
      <c r="F4" s="38" t="str">
        <f>IF((COUNTIFS('Schedule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Data'!$I$2:$I$61="Active")*('Schedule Data'!$H$2:$H$61&lt;=F3)*(('Schedule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Data'!$H$2:$H$61)=DAY(F3)))))))=0,"",COUNTIFS('Schedule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Data'!$I$2:$I$61="Active")*('Schedule Data'!$H$2:$H$61&lt;=F3)*(('Schedule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</f>
        <v/>
      </c>
      <c r="G4" s="38" t="str">
        <f>IF((COUNTIFS('Schedule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Data'!$I$2:$I$61="Active")*('Schedule Data'!$H$2:$H$61&lt;=G3)*(('Schedule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Data'!$H$2:$H$61)=DAY(G3)))))))=0,"",COUNTIFS('Schedule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Data'!$I$2:$I$61="Active")*('Schedule Data'!$H$2:$H$61&lt;=G3)*(('Schedule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</f>
        <v/>
      </c>
      <c r="J4">
        <v>1</v>
      </c>
    </row>
    <row r="5" spans="1:10" ht="20" customHeight="1" x14ac:dyDescent="0.35">
      <c r="A5" s="31">
        <f>J8+7</f>
        <v>46300</v>
      </c>
      <c r="B5" s="31">
        <f>J8+8</f>
        <v>46301</v>
      </c>
      <c r="C5" s="31">
        <f>J8+9</f>
        <v>46302</v>
      </c>
      <c r="D5" s="31">
        <f>J8+10</f>
        <v>46303</v>
      </c>
      <c r="E5" s="31">
        <f>J8+11</f>
        <v>46304</v>
      </c>
      <c r="F5" s="32">
        <f>J8+12</f>
        <v>46305</v>
      </c>
      <c r="G5" s="32">
        <f>J8+13</f>
        <v>46306</v>
      </c>
      <c r="J5">
        <v>5</v>
      </c>
    </row>
    <row r="6" spans="1:10" ht="14" customHeight="1" x14ac:dyDescent="0.35">
      <c r="A6" s="38" t="str">
        <f>IF((COUNTIFS('Schedule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Data'!$I$2:$I$61="Active")*('Schedule Data'!$H$2:$H$61&lt;=A5)*(('Schedule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Data'!$H$2:$H$61)=DAY(A5)))))))=0,"",COUNTIFS('Schedule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Data'!$I$2:$I$61="Active")*('Schedule Data'!$H$2:$H$61&lt;=A5)*(('Schedule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</f>
        <v/>
      </c>
      <c r="B6" s="38" t="str">
        <f>IF((COUNTIFS('Schedule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Data'!$I$2:$I$61="Active")*('Schedule Data'!$H$2:$H$61&lt;=B5)*(('Schedule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Data'!$H$2:$H$61)=DAY(B5)))))))=0,"",COUNTIFS('Schedule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Data'!$I$2:$I$61="Active")*('Schedule Data'!$H$2:$H$61&lt;=B5)*(('Schedule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</f>
        <v/>
      </c>
      <c r="C6" s="38" t="str">
        <f>IF((COUNTIFS('Schedule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Data'!$I$2:$I$61="Active")*('Schedule Data'!$H$2:$H$61&lt;=C5)*(('Schedule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Data'!$H$2:$H$61)=DAY(C5)))))))=0,"",COUNTIFS('Schedule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Data'!$I$2:$I$61="Active")*('Schedule Data'!$H$2:$H$61&lt;=C5)*(('Schedule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</f>
        <v/>
      </c>
      <c r="D6" s="38" t="str">
        <f>IF((COUNTIFS('Schedule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Data'!$I$2:$I$61="Active")*('Schedule Data'!$H$2:$H$61&lt;=D5)*(('Schedule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Data'!$H$2:$H$61)=DAY(D5)))))))=0,"",COUNTIFS('Schedule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Data'!$I$2:$I$61="Active")*('Schedule Data'!$H$2:$H$61&lt;=D5)*(('Schedule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</f>
        <v/>
      </c>
      <c r="E6" s="38" t="str">
        <f>IF((COUNTIFS('Schedule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Data'!$I$2:$I$61="Active")*('Schedule Data'!$H$2:$H$61&lt;=E5)*(('Schedule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Data'!$H$2:$H$61)=DAY(E5)))))))=0,"",COUNTIFS('Schedule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Data'!$I$2:$I$61="Active")*('Schedule Data'!$H$2:$H$61&lt;=E5)*(('Schedule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</f>
        <v/>
      </c>
      <c r="F6" s="38" t="str">
        <f>IF((COUNTIFS('Schedule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Data'!$I$2:$I$61="Active")*('Schedule Data'!$H$2:$H$61&lt;=F5)*(('Schedule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Data'!$H$2:$H$61)=DAY(F5)))))))=0,"",COUNTIFS('Schedule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Data'!$I$2:$I$61="Active")*('Schedule Data'!$H$2:$H$61&lt;=F5)*(('Schedule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</f>
        <v/>
      </c>
      <c r="G6" s="38" t="str">
        <f>IF((COUNTIFS('Schedule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Data'!$I$2:$I$61="Active")*('Schedule Data'!$H$2:$H$61&lt;=G5)*(('Schedule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Data'!$H$2:$H$61)=DAY(G5)))))))=0,"",COUNTIFS('Schedule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Data'!$I$2:$I$61="Active")*('Schedule Data'!$H$2:$H$61&lt;=G5)*(('Schedule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</f>
        <v/>
      </c>
    </row>
    <row r="7" spans="1:10" ht="20" customHeight="1" x14ac:dyDescent="0.35">
      <c r="A7" s="31">
        <f>J8+14</f>
        <v>46307</v>
      </c>
      <c r="B7" s="31">
        <f>J8+15</f>
        <v>46308</v>
      </c>
      <c r="C7" s="31">
        <f>J8+16</f>
        <v>46309</v>
      </c>
      <c r="D7" s="31">
        <f>J8+17</f>
        <v>46310</v>
      </c>
      <c r="E7" s="31">
        <f>J8+18</f>
        <v>46311</v>
      </c>
      <c r="F7" s="32">
        <f>J8+19</f>
        <v>46312</v>
      </c>
      <c r="G7" s="32">
        <f>J8+20</f>
        <v>46313</v>
      </c>
    </row>
    <row r="8" spans="1:10" ht="14" customHeight="1" x14ac:dyDescent="0.35">
      <c r="A8" s="38" t="str">
        <f>IF((COUNTIFS('Schedule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Data'!$I$2:$I$61="Active")*('Schedule Data'!$H$2:$H$61&lt;=A7)*(('Schedule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Data'!$H$2:$H$61)=DAY(A7)))))))=0,"",COUNTIFS('Schedule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Data'!$I$2:$I$61="Active")*('Schedule Data'!$H$2:$H$61&lt;=A7)*(('Schedule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</f>
        <v/>
      </c>
      <c r="B8" s="38" t="str">
        <f>IF((COUNTIFS('Schedule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Data'!$I$2:$I$61="Active")*('Schedule Data'!$H$2:$H$61&lt;=B7)*(('Schedule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Data'!$H$2:$H$61)=DAY(B7)))))))=0,"",COUNTIFS('Schedule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Data'!$I$2:$I$61="Active")*('Schedule Data'!$H$2:$H$61&lt;=B7)*(('Schedule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</f>
        <v/>
      </c>
      <c r="C8" s="38" t="str">
        <f>IF((COUNTIFS('Schedule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Data'!$I$2:$I$61="Active")*('Schedule Data'!$H$2:$H$61&lt;=C7)*(('Schedule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Data'!$H$2:$H$61)=DAY(C7)))))))=0,"",COUNTIFS('Schedule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Data'!$I$2:$I$61="Active")*('Schedule Data'!$H$2:$H$61&lt;=C7)*(('Schedule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</f>
        <v/>
      </c>
      <c r="D8" s="38" t="str">
        <f>IF((COUNTIFS('Schedule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Data'!$I$2:$I$61="Active")*('Schedule Data'!$H$2:$H$61&lt;=D7)*(('Schedule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Data'!$H$2:$H$61)=DAY(D7)))))))=0,"",COUNTIFS('Schedule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Data'!$I$2:$I$61="Active")*('Schedule Data'!$H$2:$H$61&lt;=D7)*(('Schedule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</f>
        <v/>
      </c>
      <c r="E8" s="38" t="str">
        <f>IF((COUNTIFS('Schedule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Data'!$I$2:$I$61="Active")*('Schedule Data'!$H$2:$H$61&lt;=E7)*(('Schedule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Data'!$H$2:$H$61)=DAY(E7)))))))=0,"",COUNTIFS('Schedule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Data'!$I$2:$I$61="Active")*('Schedule Data'!$H$2:$H$61&lt;=E7)*(('Schedule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</f>
        <v/>
      </c>
      <c r="F8" s="38" t="str">
        <f>IF((COUNTIFS('Schedule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Data'!$I$2:$I$61="Active")*('Schedule Data'!$H$2:$H$61&lt;=F7)*(('Schedule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Data'!$H$2:$H$61)=DAY(F7)))))))=0,"",COUNTIFS('Schedule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Data'!$I$2:$I$61="Active")*('Schedule Data'!$H$2:$H$61&lt;=F7)*(('Schedule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</f>
        <v/>
      </c>
      <c r="G8" s="38" t="str">
        <f>IF((COUNTIFS('Schedule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Data'!$I$2:$I$61="Active")*('Schedule Data'!$H$2:$H$61&lt;=G7)*(('Schedule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Data'!$H$2:$H$61)=DAY(G7)))))))=0,"",COUNTIFS('Schedule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Data'!$I$2:$I$61="Active")*('Schedule Data'!$H$2:$H$61&lt;=G7)*(('Schedule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</f>
        <v/>
      </c>
      <c r="J8">
        <f>DATE(ScheduleYear,ScheduleMonth,1)-WEEKDAY(DATE(ScheduleYear,ScheduleMonth,1),3)</f>
        <v>46293</v>
      </c>
    </row>
    <row r="9" spans="1:10" ht="20" customHeight="1" x14ac:dyDescent="0.35">
      <c r="A9" s="31">
        <f>J8+21</f>
        <v>46314</v>
      </c>
      <c r="B9" s="31">
        <f>J8+22</f>
        <v>46315</v>
      </c>
      <c r="C9" s="31">
        <f>J8+23</f>
        <v>46316</v>
      </c>
      <c r="D9" s="31">
        <f>J8+24</f>
        <v>46317</v>
      </c>
      <c r="E9" s="31">
        <f>J8+25</f>
        <v>46318</v>
      </c>
      <c r="F9" s="32">
        <f>J8+26</f>
        <v>46319</v>
      </c>
      <c r="G9" s="32">
        <f>J8+27</f>
        <v>46320</v>
      </c>
    </row>
    <row r="10" spans="1:10" ht="14" customHeight="1" x14ac:dyDescent="0.35">
      <c r="A10" s="38" t="str">
        <f>IF((COUNTIFS('Schedule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Data'!$I$2:$I$61="Active")*('Schedule Data'!$H$2:$H$61&lt;=A9)*(('Schedule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Data'!$H$2:$H$61)=DAY(A9)))))))=0,"",COUNTIFS('Schedule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Data'!$I$2:$I$61="Active")*('Schedule Data'!$H$2:$H$61&lt;=A9)*(('Schedule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</f>
        <v/>
      </c>
      <c r="B10" s="38" t="str">
        <f>IF((COUNTIFS('Schedule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Data'!$I$2:$I$61="Active")*('Schedule Data'!$H$2:$H$61&lt;=B9)*(('Schedule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Data'!$H$2:$H$61)=DAY(B9)))))))=0,"",COUNTIFS('Schedule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Data'!$I$2:$I$61="Active")*('Schedule Data'!$H$2:$H$61&lt;=B9)*(('Schedule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</f>
        <v/>
      </c>
      <c r="C10" s="38" t="str">
        <f>IF((COUNTIFS('Schedule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Data'!$I$2:$I$61="Active")*('Schedule Data'!$H$2:$H$61&lt;=C9)*(('Schedule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Data'!$H$2:$H$61)=DAY(C9)))))))=0,"",COUNTIFS('Schedule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Data'!$I$2:$I$61="Active")*('Schedule Data'!$H$2:$H$61&lt;=C9)*(('Schedule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</f>
        <v/>
      </c>
      <c r="D10" s="38" t="str">
        <f>IF((COUNTIFS('Schedule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Data'!$I$2:$I$61="Active")*('Schedule Data'!$H$2:$H$61&lt;=D9)*(('Schedule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Data'!$H$2:$H$61)=DAY(D9)))))))=0,"",COUNTIFS('Schedule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Data'!$I$2:$I$61="Active")*('Schedule Data'!$H$2:$H$61&lt;=D9)*(('Schedule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</f>
        <v/>
      </c>
      <c r="E10" s="38" t="str">
        <f>IF((COUNTIFS('Schedule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Data'!$I$2:$I$61="Active")*('Schedule Data'!$H$2:$H$61&lt;=E9)*(('Schedule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Data'!$H$2:$H$61)=DAY(E9)))))))=0,"",COUNTIFS('Schedule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Data'!$I$2:$I$61="Active")*('Schedule Data'!$H$2:$H$61&lt;=E9)*(('Schedule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</f>
        <v/>
      </c>
      <c r="F10" s="38" t="str">
        <f>IF((COUNTIFS('Schedule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Data'!$I$2:$I$61="Active")*('Schedule Data'!$H$2:$H$61&lt;=F9)*(('Schedule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Data'!$H$2:$H$61)=DAY(F9)))))))=0,"",COUNTIFS('Schedule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Data'!$I$2:$I$61="Active")*('Schedule Data'!$H$2:$H$61&lt;=F9)*(('Schedule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</f>
        <v/>
      </c>
      <c r="G10" s="38" t="str">
        <f>IF((COUNTIFS('Schedule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Data'!$I$2:$I$61="Active")*('Schedule Data'!$H$2:$H$61&lt;=G9)*(('Schedule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Data'!$H$2:$H$61)=DAY(G9)))))))=0,"",COUNTIFS('Schedule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Data'!$I$2:$I$61="Active")*('Schedule Data'!$H$2:$H$61&lt;=G9)*(('Schedule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</f>
        <v/>
      </c>
    </row>
    <row r="11" spans="1:10" ht="20" customHeight="1" x14ac:dyDescent="0.35">
      <c r="A11" s="31">
        <f>J8+28</f>
        <v>46321</v>
      </c>
      <c r="B11" s="31">
        <f>J8+29</f>
        <v>46322</v>
      </c>
      <c r="C11" s="31">
        <f>J8+30</f>
        <v>46323</v>
      </c>
      <c r="D11" s="31">
        <f>J8+31</f>
        <v>46324</v>
      </c>
      <c r="E11" s="31">
        <f>J8+32</f>
        <v>46325</v>
      </c>
      <c r="F11" s="32">
        <f>J8+33</f>
        <v>46326</v>
      </c>
      <c r="G11" s="32">
        <f>J8+34</f>
        <v>46327</v>
      </c>
    </row>
    <row r="12" spans="1:10" ht="14" customHeight="1" x14ac:dyDescent="0.35">
      <c r="A12" s="38" t="str">
        <f>IF((COUNTIFS('Schedule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Data'!$I$2:$I$61="Active")*('Schedule Data'!$H$2:$H$61&lt;=A11)*(('Schedule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Data'!$H$2:$H$61)=DAY(A11)))))))=0,"",COUNTIFS('Schedule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Data'!$I$2:$I$61="Active")*('Schedule Data'!$H$2:$H$61&lt;=A11)*(('Schedule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</f>
        <v/>
      </c>
      <c r="B12" s="38" t="str">
        <f>IF((COUNTIFS('Schedule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Data'!$I$2:$I$61="Active")*('Schedule Data'!$H$2:$H$61&lt;=B11)*(('Schedule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Data'!$H$2:$H$61)=DAY(B11)))))))=0,"",COUNTIFS('Schedule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Data'!$I$2:$I$61="Active")*('Schedule Data'!$H$2:$H$61&lt;=B11)*(('Schedule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</f>
        <v/>
      </c>
      <c r="C12" s="38" t="str">
        <f>IF((COUNTIFS('Schedule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Data'!$I$2:$I$61="Active")*('Schedule Data'!$H$2:$H$61&lt;=C11)*(('Schedule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Data'!$H$2:$H$61)=DAY(C11)))))))=0,"",COUNTIFS('Schedule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Data'!$I$2:$I$61="Active")*('Schedule Data'!$H$2:$H$61&lt;=C11)*(('Schedule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</f>
        <v/>
      </c>
      <c r="D12" s="38" t="str">
        <f>IF((COUNTIFS('Schedule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Data'!$I$2:$I$61="Active")*('Schedule Data'!$H$2:$H$61&lt;=D11)*(('Schedule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Data'!$H$2:$H$61)=DAY(D11)))))))=0,"",COUNTIFS('Schedule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Data'!$I$2:$I$61="Active")*('Schedule Data'!$H$2:$H$61&lt;=D11)*(('Schedule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</f>
        <v/>
      </c>
      <c r="E12" s="38" t="str">
        <f>IF((COUNTIFS('Schedule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Data'!$I$2:$I$61="Active")*('Schedule Data'!$H$2:$H$61&lt;=E11)*(('Schedule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Data'!$H$2:$H$61)=DAY(E11)))))))=0,"",COUNTIFS('Schedule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Data'!$I$2:$I$61="Active")*('Schedule Data'!$H$2:$H$61&lt;=E11)*(('Schedule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</f>
        <v/>
      </c>
      <c r="F12" s="38" t="str">
        <f>IF((COUNTIFS('Schedule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Data'!$I$2:$I$61="Active")*('Schedule Data'!$H$2:$H$61&lt;=F11)*(('Schedule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Data'!$H$2:$H$61)=DAY(F11)))))))=0,"",COUNTIFS('Schedule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Data'!$I$2:$I$61="Active")*('Schedule Data'!$H$2:$H$61&lt;=F11)*(('Schedule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</f>
        <v/>
      </c>
      <c r="G12" s="38" t="str">
        <f>IF((COUNTIFS('Schedule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Data'!$I$2:$I$61="Active")*('Schedule Data'!$H$2:$H$61&lt;=G11)*(('Schedule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Data'!$H$2:$H$61)=DAY(G11)))))))=0,"",COUNTIFS('Schedule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Data'!$I$2:$I$61="Active")*('Schedule Data'!$H$2:$H$61&lt;=G11)*(('Schedule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</f>
        <v/>
      </c>
    </row>
    <row r="13" spans="1:10" ht="20" customHeight="1" x14ac:dyDescent="0.35">
      <c r="A13" s="31">
        <f>J8+35</f>
        <v>46328</v>
      </c>
      <c r="B13" s="31">
        <f>J8+36</f>
        <v>46329</v>
      </c>
      <c r="C13" s="31">
        <f>J8+37</f>
        <v>46330</v>
      </c>
      <c r="D13" s="31">
        <f>J8+38</f>
        <v>46331</v>
      </c>
      <c r="E13" s="31">
        <f>J8+39</f>
        <v>46332</v>
      </c>
      <c r="F13" s="32">
        <f>J8+40</f>
        <v>46333</v>
      </c>
      <c r="G13" s="32">
        <f>J8+41</f>
        <v>46334</v>
      </c>
    </row>
    <row r="14" spans="1:10" ht="14" customHeight="1" x14ac:dyDescent="0.35">
      <c r="A14" s="38" t="str">
        <f>IF((COUNTIFS('Schedule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Data'!$I$2:$I$61="Active")*('Schedule Data'!$H$2:$H$61&lt;=A13)*(('Schedule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Data'!$H$2:$H$61)=DAY(A13)))))))=0,"",COUNTIFS('Schedule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Data'!$I$2:$I$61="Active")*('Schedule Data'!$H$2:$H$61&lt;=A13)*(('Schedule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</f>
        <v/>
      </c>
      <c r="B14" s="38" t="str">
        <f>IF((COUNTIFS('Schedule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Data'!$I$2:$I$61="Active")*('Schedule Data'!$H$2:$H$61&lt;=B13)*(('Schedule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Data'!$H$2:$H$61)=DAY(B13)))))))=0,"",COUNTIFS('Schedule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Data'!$I$2:$I$61="Active")*('Schedule Data'!$H$2:$H$61&lt;=B13)*(('Schedule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</f>
        <v/>
      </c>
      <c r="C14" s="38" t="str">
        <f>IF((COUNTIFS('Schedule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Data'!$I$2:$I$61="Active")*('Schedule Data'!$H$2:$H$61&lt;=C13)*(('Schedule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Data'!$H$2:$H$61)=DAY(C13)))))))=0,"",COUNTIFS('Schedule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Data'!$I$2:$I$61="Active")*('Schedule Data'!$H$2:$H$61&lt;=C13)*(('Schedule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</f>
        <v/>
      </c>
      <c r="D14" s="38" t="str">
        <f>IF((COUNTIFS('Schedule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Data'!$I$2:$I$61="Active")*('Schedule Data'!$H$2:$H$61&lt;=D13)*(('Schedule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Data'!$H$2:$H$61)=DAY(D13)))))))=0,"",COUNTIFS('Schedule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Data'!$I$2:$I$61="Active")*('Schedule Data'!$H$2:$H$61&lt;=D13)*(('Schedule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</f>
        <v/>
      </c>
      <c r="E14" s="38" t="str">
        <f>IF((COUNTIFS('Schedule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Data'!$I$2:$I$61="Active")*('Schedule Data'!$H$2:$H$61&lt;=E13)*(('Schedule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Data'!$H$2:$H$61)=DAY(E13)))))))=0,"",COUNTIFS('Schedule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Data'!$I$2:$I$61="Active")*('Schedule Data'!$H$2:$H$61&lt;=E13)*(('Schedule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</f>
        <v/>
      </c>
      <c r="F14" s="38" t="str">
        <f>IF((COUNTIFS('Schedule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Data'!$I$2:$I$61="Active")*('Schedule Data'!$H$2:$H$61&lt;=F13)*(('Schedule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Data'!$H$2:$H$61)=DAY(F13)))))))=0,"",COUNTIFS('Schedule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Data'!$I$2:$I$61="Active")*('Schedule Data'!$H$2:$H$61&lt;=F13)*(('Schedule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</f>
        <v/>
      </c>
      <c r="G14" s="38" t="str">
        <f>IF((COUNTIFS('Schedule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Data'!$I$2:$I$61="Active")*('Schedule Data'!$H$2:$H$61&lt;=G13)*(('Schedule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Data'!$H$2:$H$61)=DAY(G13)))))))=0,"",COUNTIFS('Schedule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Data'!$I$2:$I$61="Active")*('Schedule Data'!$H$2:$H$61&lt;=G13)*(('Schedule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</f>
        <v/>
      </c>
    </row>
    <row r="15" spans="1:10" ht="17" x14ac:dyDescent="0.35">
      <c r="A15" s="50" t="s">
        <v>80</v>
      </c>
      <c r="B15" s="51"/>
      <c r="C15" s="52"/>
    </row>
  </sheetData>
  <mergeCells count="2">
    <mergeCell ref="A15:C15"/>
    <mergeCell ref="B1:E1"/>
  </mergeCells>
  <conditionalFormatting sqref="A3:G3">
    <cfRule type="expression" dxfId="43" priority="1">
      <formula>MONTH(A3)&lt;&gt;ScheduleMonth</formula>
    </cfRule>
    <cfRule type="expression" dxfId="42" priority="2">
      <formula>A3=TODAY()</formula>
    </cfRule>
  </conditionalFormatting>
  <conditionalFormatting sqref="A5:G5">
    <cfRule type="expression" dxfId="38" priority="6">
      <formula>MONTH(A5)&lt;&gt;ScheduleMonth</formula>
    </cfRule>
    <cfRule type="expression" dxfId="37" priority="7">
      <formula>A5=TODAY()</formula>
    </cfRule>
  </conditionalFormatting>
  <conditionalFormatting sqref="A7:G7">
    <cfRule type="expression" dxfId="33" priority="11">
      <formula>MONTH(A7)&lt;&gt;ScheduleMonth</formula>
    </cfRule>
    <cfRule type="expression" dxfId="32" priority="12">
      <formula>A7=TODAY()</formula>
    </cfRule>
  </conditionalFormatting>
  <conditionalFormatting sqref="A9:G9">
    <cfRule type="expression" dxfId="28" priority="16">
      <formula>MONTH(A9)&lt;&gt;ScheduleMonth</formula>
    </cfRule>
    <cfRule type="expression" dxfId="27" priority="17">
      <formula>A9=TODAY()</formula>
    </cfRule>
  </conditionalFormatting>
  <conditionalFormatting sqref="A11:G11">
    <cfRule type="expression" dxfId="23" priority="21">
      <formula>MONTH(A11)&lt;&gt;ScheduleMonth</formula>
    </cfRule>
    <cfRule type="expression" dxfId="22" priority="22">
      <formula>A11=TODAY()</formula>
    </cfRule>
  </conditionalFormatting>
  <conditionalFormatting sqref="A13:G13">
    <cfRule type="expression" dxfId="18" priority="26">
      <formula>MONTH(A13)&lt;&gt;ScheduleMonth</formula>
    </cfRule>
    <cfRule type="expression" dxfId="17" priority="27">
      <formula>A13=TODAY()</formula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800-000003000000}">
            <xm:f>AND(COUNTIF('Schedule Data'!$A$2:$A$401,A3)&gt;0,INDEX('Schedule Data'!$B$2:$B$401,MATCH(A3,'Schedule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4" id="{00000000-000E-0000-0800-000004000000}">
            <xm:f>AND(COUNTIF('Schedule Data'!$A$2:$A$401,A3)&gt;0,INDEX('Schedule Data'!$B$2:$B$401,MATCH(A3,'Schedule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5" id="{00000000-000E-0000-0800-000005000000}">
            <xm:f>AND(COUNTIF('Schedule Data'!$A$2:$A$401,A3)&gt;0,INDEX('Schedule Data'!$B$2:$B$401,MATCH(A3,'Schedule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A3:G3</xm:sqref>
        </x14:conditionalFormatting>
        <x14:conditionalFormatting xmlns:xm="http://schemas.microsoft.com/office/excel/2006/main">
          <x14:cfRule type="expression" priority="8" id="{00000000-000E-0000-0800-000008000000}">
            <xm:f>AND(COUNTIF('Schedule Data'!$A$2:$A$401,A5)&gt;0,INDEX('Schedule Data'!$B$2:$B$401,MATCH(A5,'Schedule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9" id="{00000000-000E-0000-0800-000009000000}">
            <xm:f>AND(COUNTIF('Schedule Data'!$A$2:$A$401,A5)&gt;0,INDEX('Schedule Data'!$B$2:$B$401,MATCH(A5,'Schedule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0" id="{00000000-000E-0000-0800-00000A000000}">
            <xm:f>AND(COUNTIF('Schedule Data'!$A$2:$A$401,A5)&gt;0,INDEX('Schedule Data'!$B$2:$B$401,MATCH(A5,'Schedule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A5:G5</xm:sqref>
        </x14:conditionalFormatting>
        <x14:conditionalFormatting xmlns:xm="http://schemas.microsoft.com/office/excel/2006/main">
          <x14:cfRule type="expression" priority="13" id="{00000000-000E-0000-0800-00000D000000}">
            <xm:f>AND(COUNTIF('Schedule Data'!$A$2:$A$401,A7)&gt;0,INDEX('Schedule Data'!$B$2:$B$401,MATCH(A7,'Schedule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4" id="{00000000-000E-0000-0800-00000E000000}">
            <xm:f>AND(COUNTIF('Schedule Data'!$A$2:$A$401,A7)&gt;0,INDEX('Schedule Data'!$B$2:$B$401,MATCH(A7,'Schedule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5" id="{00000000-000E-0000-0800-00000F000000}">
            <xm:f>AND(COUNTIF('Schedule Data'!$A$2:$A$401,A7)&gt;0,INDEX('Schedule Data'!$B$2:$B$401,MATCH(A7,'Schedule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A7:G7</xm:sqref>
        </x14:conditionalFormatting>
        <x14:conditionalFormatting xmlns:xm="http://schemas.microsoft.com/office/excel/2006/main">
          <x14:cfRule type="expression" priority="18" id="{00000000-000E-0000-0800-000012000000}">
            <xm:f>AND(COUNTIF('Schedule Data'!$A$2:$A$401,A9)&gt;0,INDEX('Schedule Data'!$B$2:$B$401,MATCH(A9,'Schedule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9" id="{00000000-000E-0000-0800-000013000000}">
            <xm:f>AND(COUNTIF('Schedule Data'!$A$2:$A$401,A9)&gt;0,INDEX('Schedule Data'!$B$2:$B$401,MATCH(A9,'Schedule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0" id="{00000000-000E-0000-0800-000014000000}">
            <xm:f>AND(COUNTIF('Schedule Data'!$A$2:$A$401,A9)&gt;0,INDEX('Schedule Data'!$B$2:$B$401,MATCH(A9,'Schedule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A9:G9</xm:sqref>
        </x14:conditionalFormatting>
        <x14:conditionalFormatting xmlns:xm="http://schemas.microsoft.com/office/excel/2006/main">
          <x14:cfRule type="expression" priority="23" id="{00000000-000E-0000-0800-000017000000}">
            <xm:f>AND(COUNTIF('Schedule Data'!$A$2:$A$401,A11)&gt;0,INDEX('Schedule Data'!$B$2:$B$401,MATCH(A11,'Schedule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4" id="{00000000-000E-0000-0800-000018000000}">
            <xm:f>AND(COUNTIF('Schedule Data'!$A$2:$A$401,A11)&gt;0,INDEX('Schedule Data'!$B$2:$B$401,MATCH(A11,'Schedule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5" id="{00000000-000E-0000-0800-000019000000}">
            <xm:f>AND(COUNTIF('Schedule Data'!$A$2:$A$401,A11)&gt;0,INDEX('Schedule Data'!$B$2:$B$401,MATCH(A11,'Schedule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A11:G11</xm:sqref>
        </x14:conditionalFormatting>
        <x14:conditionalFormatting xmlns:xm="http://schemas.microsoft.com/office/excel/2006/main">
          <x14:cfRule type="expression" priority="28" id="{00000000-000E-0000-0800-00001C000000}">
            <xm:f>AND(COUNTIF('Schedule Data'!$A$2:$A$401,A13)&gt;0,INDEX('Schedule Data'!$B$2:$B$401,MATCH(A13,'Schedule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9" id="{00000000-000E-0000-0800-00001D000000}">
            <xm:f>AND(COUNTIF('Schedule Data'!$A$2:$A$401,A13)&gt;0,INDEX('Schedule Data'!$B$2:$B$401,MATCH(A13,'Schedule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30" id="{00000000-000E-0000-0800-00001E000000}">
            <xm:f>AND(COUNTIF('Schedule Data'!$A$2:$A$401,A13)&gt;0,INDEX('Schedule Data'!$B$2:$B$401,MATCH(A13,'Schedule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A13:G13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tabColor rgb="FF1BAF7A"/>
  </sheetPr>
  <dimension ref="A1:G5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6" customWidth="1"/>
    <col min="2" max="2" width="26" customWidth="1"/>
    <col min="3" max="3" width="22" customWidth="1"/>
    <col min="4" max="4" width="18" customWidth="1"/>
    <col min="5" max="5" width="16" customWidth="1"/>
    <col min="6" max="6" width="10" customWidth="1"/>
    <col min="7" max="7" width="24" customWidth="1"/>
  </cols>
  <sheetData>
    <row r="1" spans="1:7" ht="32" customHeight="1" x14ac:dyDescent="0.35">
      <c r="A1" s="1" t="s">
        <v>81</v>
      </c>
      <c r="B1" s="1" t="s">
        <v>82</v>
      </c>
      <c r="C1" s="1" t="s">
        <v>83</v>
      </c>
      <c r="D1" s="1" t="s">
        <v>84</v>
      </c>
      <c r="E1" s="1" t="s">
        <v>85</v>
      </c>
      <c r="F1" s="1" t="s">
        <v>86</v>
      </c>
      <c r="G1" s="1" t="s">
        <v>18</v>
      </c>
    </row>
    <row r="2" spans="1:7" ht="14.5" x14ac:dyDescent="0.35">
      <c r="A2" s="2"/>
      <c r="B2" s="2"/>
      <c r="C2" s="2"/>
      <c r="D2" s="2"/>
      <c r="E2" s="13"/>
      <c r="F2" s="2"/>
      <c r="G2" s="6"/>
    </row>
    <row r="3" spans="1:7" ht="14.5" x14ac:dyDescent="0.35">
      <c r="A3" s="2"/>
      <c r="B3" s="2"/>
      <c r="C3" s="2"/>
      <c r="D3" s="2"/>
      <c r="E3" s="2"/>
      <c r="F3" s="2"/>
      <c r="G3" s="6"/>
    </row>
    <row r="4" spans="1:7" ht="14.5" x14ac:dyDescent="0.35">
      <c r="A4" s="2"/>
      <c r="B4" s="2"/>
      <c r="C4" s="2"/>
      <c r="D4" s="2"/>
      <c r="E4" s="2"/>
      <c r="F4" s="2"/>
      <c r="G4" s="6"/>
    </row>
    <row r="5" spans="1:7" ht="14.5" x14ac:dyDescent="0.35">
      <c r="A5" s="2"/>
      <c r="B5" s="2"/>
      <c r="C5" s="2"/>
      <c r="D5" s="2"/>
      <c r="E5" s="2"/>
      <c r="F5" s="2"/>
      <c r="G5" s="6"/>
    </row>
    <row r="6" spans="1:7" ht="14.5" x14ac:dyDescent="0.35">
      <c r="A6" s="2"/>
      <c r="B6" s="2"/>
      <c r="C6" s="2"/>
      <c r="D6" s="2"/>
      <c r="E6" s="2"/>
      <c r="F6" s="2"/>
      <c r="G6" s="6"/>
    </row>
    <row r="7" spans="1:7" ht="14.5" x14ac:dyDescent="0.35">
      <c r="A7" s="2"/>
      <c r="B7" s="2"/>
      <c r="C7" s="2"/>
      <c r="D7" s="2"/>
      <c r="E7" s="2"/>
      <c r="F7" s="2"/>
      <c r="G7" s="6"/>
    </row>
    <row r="8" spans="1:7" ht="14.5" x14ac:dyDescent="0.35">
      <c r="A8" s="2"/>
      <c r="B8" s="2"/>
      <c r="C8" s="2"/>
      <c r="D8" s="2"/>
      <c r="E8" s="2"/>
      <c r="F8" s="2"/>
      <c r="G8" s="6"/>
    </row>
    <row r="9" spans="1:7" ht="14.5" x14ac:dyDescent="0.35">
      <c r="A9" s="2"/>
      <c r="B9" s="2"/>
      <c r="C9" s="2"/>
      <c r="D9" s="2"/>
      <c r="E9" s="2"/>
      <c r="F9" s="2"/>
      <c r="G9" s="6"/>
    </row>
    <row r="10" spans="1:7" ht="14.5" x14ac:dyDescent="0.35">
      <c r="A10" s="2"/>
      <c r="B10" s="2"/>
      <c r="C10" s="2"/>
      <c r="D10" s="2"/>
      <c r="E10" s="2"/>
      <c r="F10" s="2"/>
      <c r="G10" s="6"/>
    </row>
    <row r="11" spans="1:7" ht="14.5" x14ac:dyDescent="0.35">
      <c r="A11" s="2"/>
      <c r="B11" s="2"/>
      <c r="C11" s="2"/>
      <c r="D11" s="2"/>
      <c r="E11" s="2"/>
      <c r="F11" s="2"/>
      <c r="G11" s="6"/>
    </row>
    <row r="12" spans="1:7" ht="14.5" x14ac:dyDescent="0.35">
      <c r="A12" s="2"/>
      <c r="B12" s="2"/>
      <c r="C12" s="2"/>
      <c r="D12" s="2"/>
      <c r="E12" s="2"/>
      <c r="F12" s="2"/>
      <c r="G12" s="6"/>
    </row>
    <row r="13" spans="1:7" ht="14.5" x14ac:dyDescent="0.35">
      <c r="A13" s="2"/>
      <c r="B13" s="2"/>
      <c r="C13" s="2"/>
      <c r="D13" s="2"/>
      <c r="E13" s="2"/>
      <c r="F13" s="2"/>
      <c r="G13" s="6"/>
    </row>
    <row r="14" spans="1:7" ht="14.5" x14ac:dyDescent="0.35">
      <c r="A14" s="2"/>
      <c r="B14" s="2"/>
      <c r="C14" s="2"/>
      <c r="D14" s="2"/>
      <c r="E14" s="2"/>
      <c r="F14" s="2"/>
      <c r="G14" s="6"/>
    </row>
    <row r="15" spans="1:7" ht="14.5" x14ac:dyDescent="0.35">
      <c r="A15" s="2"/>
      <c r="B15" s="2"/>
      <c r="C15" s="2"/>
      <c r="D15" s="2"/>
      <c r="E15" s="2"/>
      <c r="F15" s="2"/>
      <c r="G15" s="6"/>
    </row>
    <row r="16" spans="1:7" ht="14.5" x14ac:dyDescent="0.35">
      <c r="A16" s="2"/>
      <c r="B16" s="2"/>
      <c r="C16" s="2"/>
      <c r="D16" s="2"/>
      <c r="E16" s="2"/>
      <c r="F16" s="2"/>
      <c r="G16" s="6"/>
    </row>
    <row r="17" spans="1:7" ht="14.5" x14ac:dyDescent="0.35">
      <c r="A17" s="2"/>
      <c r="B17" s="2"/>
      <c r="C17" s="2"/>
      <c r="D17" s="2"/>
      <c r="E17" s="2"/>
      <c r="F17" s="2"/>
      <c r="G17" s="6"/>
    </row>
    <row r="18" spans="1:7" ht="14.5" x14ac:dyDescent="0.35">
      <c r="A18" s="2"/>
      <c r="B18" s="2"/>
      <c r="C18" s="2"/>
      <c r="D18" s="2"/>
      <c r="E18" s="2"/>
      <c r="F18" s="2"/>
      <c r="G18" s="6"/>
    </row>
    <row r="19" spans="1:7" ht="14.5" x14ac:dyDescent="0.35">
      <c r="A19" s="2"/>
      <c r="B19" s="2"/>
      <c r="C19" s="2"/>
      <c r="D19" s="2"/>
      <c r="E19" s="2"/>
      <c r="F19" s="2"/>
      <c r="G19" s="6"/>
    </row>
    <row r="20" spans="1:7" ht="14.5" x14ac:dyDescent="0.35">
      <c r="A20" s="2"/>
      <c r="B20" s="2"/>
      <c r="C20" s="2"/>
      <c r="D20" s="2"/>
      <c r="E20" s="2"/>
      <c r="F20" s="2"/>
      <c r="G20" s="6"/>
    </row>
    <row r="21" spans="1:7" ht="14.5" x14ac:dyDescent="0.35">
      <c r="A21" s="2"/>
      <c r="B21" s="2"/>
      <c r="C21" s="2"/>
      <c r="D21" s="2"/>
      <c r="E21" s="2"/>
      <c r="F21" s="2"/>
      <c r="G21" s="6"/>
    </row>
    <row r="22" spans="1:7" ht="14.5" x14ac:dyDescent="0.35">
      <c r="A22" s="2"/>
      <c r="B22" s="2"/>
      <c r="C22" s="2"/>
      <c r="D22" s="2"/>
      <c r="E22" s="2"/>
      <c r="F22" s="2"/>
      <c r="G22" s="6"/>
    </row>
    <row r="23" spans="1:7" ht="14.5" x14ac:dyDescent="0.35">
      <c r="A23" s="2"/>
      <c r="B23" s="2"/>
      <c r="C23" s="2"/>
      <c r="D23" s="2"/>
      <c r="E23" s="2"/>
      <c r="F23" s="2"/>
      <c r="G23" s="6"/>
    </row>
    <row r="24" spans="1:7" ht="14.5" x14ac:dyDescent="0.35">
      <c r="A24" s="2"/>
      <c r="B24" s="2"/>
      <c r="C24" s="2"/>
      <c r="D24" s="2"/>
      <c r="E24" s="2"/>
      <c r="F24" s="2"/>
      <c r="G24" s="6"/>
    </row>
    <row r="25" spans="1:7" ht="14.5" x14ac:dyDescent="0.35">
      <c r="A25" s="2"/>
      <c r="B25" s="2"/>
      <c r="C25" s="2"/>
      <c r="D25" s="2"/>
      <c r="E25" s="2"/>
      <c r="F25" s="2"/>
      <c r="G25" s="6"/>
    </row>
    <row r="26" spans="1:7" ht="14.5" x14ac:dyDescent="0.35">
      <c r="A26" s="2"/>
      <c r="B26" s="2"/>
      <c r="C26" s="2"/>
      <c r="D26" s="2"/>
      <c r="E26" s="2"/>
      <c r="F26" s="2"/>
      <c r="G26" s="6"/>
    </row>
    <row r="27" spans="1:7" ht="14.5" x14ac:dyDescent="0.35">
      <c r="A27" s="2"/>
      <c r="B27" s="2"/>
      <c r="C27" s="2"/>
      <c r="D27" s="2"/>
      <c r="E27" s="2"/>
      <c r="F27" s="2"/>
      <c r="G27" s="6"/>
    </row>
    <row r="28" spans="1:7" ht="14.5" x14ac:dyDescent="0.35">
      <c r="A28" s="2"/>
      <c r="B28" s="2"/>
      <c r="C28" s="2"/>
      <c r="D28" s="2"/>
      <c r="E28" s="2"/>
      <c r="F28" s="2"/>
      <c r="G28" s="6"/>
    </row>
    <row r="29" spans="1:7" ht="14.5" x14ac:dyDescent="0.35">
      <c r="A29" s="2"/>
      <c r="B29" s="2"/>
      <c r="C29" s="2"/>
      <c r="D29" s="2"/>
      <c r="E29" s="2"/>
      <c r="F29" s="2"/>
      <c r="G29" s="6"/>
    </row>
    <row r="30" spans="1:7" ht="14.5" x14ac:dyDescent="0.35">
      <c r="A30" s="2"/>
      <c r="B30" s="2"/>
      <c r="C30" s="2"/>
      <c r="D30" s="2"/>
      <c r="E30" s="2"/>
      <c r="F30" s="2"/>
      <c r="G30" s="6"/>
    </row>
    <row r="31" spans="1:7" ht="14.5" x14ac:dyDescent="0.35">
      <c r="A31" s="2"/>
      <c r="B31" s="2"/>
      <c r="C31" s="2"/>
      <c r="D31" s="2"/>
      <c r="E31" s="2"/>
      <c r="F31" s="2"/>
      <c r="G31" s="6"/>
    </row>
    <row r="32" spans="1:7" ht="14.5" x14ac:dyDescent="0.35">
      <c r="A32" s="2"/>
      <c r="B32" s="2"/>
      <c r="C32" s="2"/>
      <c r="D32" s="2"/>
      <c r="E32" s="2"/>
      <c r="F32" s="2"/>
      <c r="G32" s="6"/>
    </row>
    <row r="33" spans="1:7" ht="14.5" x14ac:dyDescent="0.35">
      <c r="A33" s="2"/>
      <c r="B33" s="2"/>
      <c r="C33" s="2"/>
      <c r="D33" s="2"/>
      <c r="E33" s="2"/>
      <c r="F33" s="2"/>
      <c r="G33" s="6"/>
    </row>
    <row r="34" spans="1:7" ht="14.5" x14ac:dyDescent="0.35">
      <c r="A34" s="2"/>
      <c r="B34" s="2"/>
      <c r="C34" s="2"/>
      <c r="D34" s="2"/>
      <c r="E34" s="2"/>
      <c r="F34" s="2"/>
      <c r="G34" s="6"/>
    </row>
    <row r="35" spans="1:7" ht="14.5" x14ac:dyDescent="0.35">
      <c r="A35" s="2"/>
      <c r="B35" s="2"/>
      <c r="C35" s="2"/>
      <c r="D35" s="2"/>
      <c r="E35" s="2"/>
      <c r="F35" s="2"/>
      <c r="G35" s="6"/>
    </row>
    <row r="36" spans="1:7" ht="14.5" x14ac:dyDescent="0.35">
      <c r="A36" s="2"/>
      <c r="B36" s="2"/>
      <c r="C36" s="2"/>
      <c r="D36" s="2"/>
      <c r="E36" s="2"/>
      <c r="F36" s="2"/>
      <c r="G36" s="6"/>
    </row>
    <row r="37" spans="1:7" ht="14.5" x14ac:dyDescent="0.35">
      <c r="A37" s="2"/>
      <c r="B37" s="2"/>
      <c r="C37" s="2"/>
      <c r="D37" s="2"/>
      <c r="E37" s="2"/>
      <c r="F37" s="2"/>
      <c r="G37" s="6"/>
    </row>
    <row r="38" spans="1:7" ht="14.5" x14ac:dyDescent="0.35">
      <c r="A38" s="2"/>
      <c r="B38" s="2"/>
      <c r="C38" s="2"/>
      <c r="D38" s="2"/>
      <c r="E38" s="2"/>
      <c r="F38" s="2"/>
      <c r="G38" s="6"/>
    </row>
    <row r="39" spans="1:7" ht="14.5" x14ac:dyDescent="0.35">
      <c r="A39" s="2"/>
      <c r="B39" s="2"/>
      <c r="C39" s="2"/>
      <c r="D39" s="2"/>
      <c r="E39" s="2"/>
      <c r="F39" s="2"/>
      <c r="G39" s="6"/>
    </row>
    <row r="40" spans="1:7" ht="14.5" x14ac:dyDescent="0.35">
      <c r="A40" s="2"/>
      <c r="B40" s="2"/>
      <c r="C40" s="2"/>
      <c r="D40" s="2"/>
      <c r="E40" s="2"/>
      <c r="F40" s="2"/>
      <c r="G40" s="6"/>
    </row>
    <row r="41" spans="1:7" ht="14.5" x14ac:dyDescent="0.35">
      <c r="A41" s="2"/>
      <c r="B41" s="2"/>
      <c r="C41" s="2"/>
      <c r="D41" s="2"/>
      <c r="E41" s="2"/>
      <c r="F41" s="2"/>
      <c r="G41" s="6"/>
    </row>
    <row r="42" spans="1:7" ht="14.5" x14ac:dyDescent="0.35">
      <c r="A42" s="2"/>
      <c r="B42" s="2"/>
      <c r="C42" s="2"/>
      <c r="D42" s="2"/>
      <c r="E42" s="2"/>
      <c r="F42" s="2"/>
      <c r="G42" s="6"/>
    </row>
    <row r="43" spans="1:7" ht="14.5" x14ac:dyDescent="0.35">
      <c r="A43" s="2"/>
      <c r="B43" s="2"/>
      <c r="C43" s="2"/>
      <c r="D43" s="2"/>
      <c r="E43" s="2"/>
      <c r="F43" s="2"/>
      <c r="G43" s="6"/>
    </row>
    <row r="44" spans="1:7" ht="14.5" x14ac:dyDescent="0.35">
      <c r="A44" s="2"/>
      <c r="B44" s="2"/>
      <c r="C44" s="2"/>
      <c r="D44" s="2"/>
      <c r="E44" s="2"/>
      <c r="F44" s="2"/>
      <c r="G44" s="6"/>
    </row>
    <row r="45" spans="1:7" ht="14.5" x14ac:dyDescent="0.35">
      <c r="A45" s="2"/>
      <c r="B45" s="2"/>
      <c r="C45" s="2"/>
      <c r="D45" s="2"/>
      <c r="E45" s="2"/>
      <c r="F45" s="2"/>
      <c r="G45" s="6"/>
    </row>
    <row r="46" spans="1:7" ht="14.5" x14ac:dyDescent="0.35">
      <c r="A46" s="2"/>
      <c r="B46" s="2"/>
      <c r="C46" s="2"/>
      <c r="D46" s="2"/>
      <c r="E46" s="2"/>
      <c r="F46" s="2"/>
      <c r="G46" s="6"/>
    </row>
    <row r="47" spans="1:7" ht="14.5" x14ac:dyDescent="0.35">
      <c r="A47" s="2"/>
      <c r="B47" s="2"/>
      <c r="C47" s="2"/>
      <c r="D47" s="2"/>
      <c r="E47" s="2"/>
      <c r="F47" s="2"/>
      <c r="G47" s="6"/>
    </row>
    <row r="48" spans="1:7" ht="14.5" x14ac:dyDescent="0.35">
      <c r="A48" s="2"/>
      <c r="B48" s="2"/>
      <c r="C48" s="2"/>
      <c r="D48" s="2"/>
      <c r="E48" s="2"/>
      <c r="F48" s="2"/>
      <c r="G48" s="6"/>
    </row>
    <row r="49" spans="1:7" ht="14.5" x14ac:dyDescent="0.35">
      <c r="A49" s="2"/>
      <c r="B49" s="2"/>
      <c r="C49" s="2"/>
      <c r="D49" s="2"/>
      <c r="E49" s="2"/>
      <c r="F49" s="2"/>
      <c r="G49" s="6"/>
    </row>
    <row r="50" spans="1:7" ht="14.5" x14ac:dyDescent="0.35">
      <c r="A50" s="2"/>
      <c r="B50" s="2"/>
      <c r="C50" s="2"/>
      <c r="D50" s="2"/>
      <c r="E50" s="2"/>
      <c r="F50" s="2"/>
      <c r="G50" s="6"/>
    </row>
    <row r="51" spans="1:7" ht="14.5" x14ac:dyDescent="0.35">
      <c r="A51" s="2"/>
      <c r="B51" s="2"/>
      <c r="C51" s="2"/>
      <c r="D51" s="2"/>
      <c r="E51" s="2"/>
      <c r="F51" s="2"/>
      <c r="G51" s="6"/>
    </row>
  </sheetData>
  <conditionalFormatting sqref="A2:G51">
    <cfRule type="expression" dxfId="13" priority="3">
      <formula>MOD(ROW()-2,2)=0</formula>
    </cfRule>
  </conditionalFormatting>
  <conditionalFormatting sqref="F2:F51">
    <cfRule type="expression" dxfId="12" priority="1">
      <formula>$F2="Yes"</formula>
    </cfRule>
    <cfRule type="expression" dxfId="11" priority="2">
      <formula>$F2="No"</formula>
    </cfRule>
  </conditionalFormatting>
  <dataValidations count="1">
    <dataValidation type="list" allowBlank="1" sqref="F2:F51" xr:uid="{00000000-0002-0000-0900-000000000000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rgb="FF1BAF7A"/>
  </sheetPr>
  <dimension ref="A1:D51"/>
  <sheetViews>
    <sheetView showGridLines="0" zoomScale="115" workbookViewId="0">
      <pane ySplit="1" topLeftCell="A2" activePane="bottomLeft" state="frozen"/>
      <selection pane="bottomLeft"/>
    </sheetView>
  </sheetViews>
  <sheetFormatPr defaultRowHeight="19" customHeight="1" x14ac:dyDescent="0.35"/>
  <cols>
    <col min="1" max="1" width="18" customWidth="1"/>
    <col min="2" max="2" width="32" customWidth="1"/>
    <col min="3" max="3" width="28" customWidth="1"/>
    <col min="4" max="4" width="24" customWidth="1"/>
  </cols>
  <sheetData>
    <row r="1" spans="1:4" ht="32" customHeight="1" x14ac:dyDescent="0.35">
      <c r="A1" s="1" t="s">
        <v>87</v>
      </c>
      <c r="B1" s="1" t="s">
        <v>88</v>
      </c>
      <c r="C1" s="1" t="s">
        <v>89</v>
      </c>
      <c r="D1" s="1" t="s">
        <v>18</v>
      </c>
    </row>
    <row r="2" spans="1:4" ht="14.5" x14ac:dyDescent="0.35">
      <c r="A2" s="2"/>
      <c r="B2" s="2"/>
      <c r="C2" s="2"/>
      <c r="D2" s="2"/>
    </row>
    <row r="3" spans="1:4" ht="14.5" x14ac:dyDescent="0.35">
      <c r="A3" s="2"/>
      <c r="B3" s="2"/>
      <c r="C3" s="2"/>
      <c r="D3" s="2"/>
    </row>
    <row r="4" spans="1:4" ht="14.5" x14ac:dyDescent="0.35">
      <c r="A4" s="2"/>
      <c r="B4" s="2"/>
      <c r="C4" s="2"/>
      <c r="D4" s="2"/>
    </row>
    <row r="5" spans="1:4" ht="14.5" x14ac:dyDescent="0.35">
      <c r="A5" s="2"/>
      <c r="B5" s="2"/>
      <c r="C5" s="2"/>
      <c r="D5" s="2"/>
    </row>
    <row r="6" spans="1:4" ht="14.5" x14ac:dyDescent="0.35">
      <c r="A6" s="2"/>
      <c r="B6" s="2"/>
      <c r="C6" s="2"/>
      <c r="D6" s="2"/>
    </row>
    <row r="7" spans="1:4" ht="14.5" x14ac:dyDescent="0.35">
      <c r="A7" s="2"/>
      <c r="B7" s="2"/>
      <c r="C7" s="2"/>
      <c r="D7" s="2"/>
    </row>
    <row r="8" spans="1:4" ht="14.5" x14ac:dyDescent="0.35">
      <c r="A8" s="2"/>
      <c r="B8" s="2"/>
      <c r="C8" s="2"/>
      <c r="D8" s="2"/>
    </row>
    <row r="9" spans="1:4" ht="14.5" x14ac:dyDescent="0.35">
      <c r="A9" s="2"/>
      <c r="B9" s="2"/>
      <c r="C9" s="2"/>
      <c r="D9" s="2"/>
    </row>
    <row r="10" spans="1:4" ht="14.5" x14ac:dyDescent="0.35">
      <c r="A10" s="2"/>
      <c r="B10" s="2"/>
      <c r="C10" s="2"/>
      <c r="D10" s="2"/>
    </row>
    <row r="11" spans="1:4" ht="14.5" x14ac:dyDescent="0.35">
      <c r="A11" s="2"/>
      <c r="B11" s="2"/>
      <c r="C11" s="2"/>
      <c r="D11" s="2"/>
    </row>
    <row r="12" spans="1:4" ht="14.5" x14ac:dyDescent="0.35">
      <c r="A12" s="2"/>
      <c r="B12" s="2"/>
      <c r="C12" s="2"/>
      <c r="D12" s="2"/>
    </row>
    <row r="13" spans="1:4" ht="14.5" x14ac:dyDescent="0.35">
      <c r="A13" s="2"/>
      <c r="B13" s="2"/>
      <c r="C13" s="2"/>
      <c r="D13" s="2"/>
    </row>
    <row r="14" spans="1:4" ht="14.5" x14ac:dyDescent="0.35">
      <c r="A14" s="2"/>
      <c r="B14" s="2"/>
      <c r="C14" s="2"/>
      <c r="D14" s="2"/>
    </row>
    <row r="15" spans="1:4" ht="14.5" x14ac:dyDescent="0.35">
      <c r="A15" s="2"/>
      <c r="B15" s="2"/>
      <c r="C15" s="2"/>
      <c r="D15" s="2"/>
    </row>
    <row r="16" spans="1:4" ht="14.5" x14ac:dyDescent="0.35">
      <c r="A16" s="2"/>
      <c r="B16" s="2"/>
      <c r="C16" s="2"/>
      <c r="D16" s="2"/>
    </row>
    <row r="17" spans="1:4" ht="14.5" x14ac:dyDescent="0.35">
      <c r="A17" s="2"/>
      <c r="B17" s="2"/>
      <c r="C17" s="2"/>
      <c r="D17" s="2"/>
    </row>
    <row r="18" spans="1:4" ht="14.5" x14ac:dyDescent="0.35">
      <c r="A18" s="2"/>
      <c r="B18" s="2"/>
      <c r="C18" s="2"/>
      <c r="D18" s="2"/>
    </row>
    <row r="19" spans="1:4" ht="14.5" x14ac:dyDescent="0.35">
      <c r="A19" s="2"/>
      <c r="B19" s="2"/>
      <c r="C19" s="2"/>
      <c r="D19" s="2"/>
    </row>
    <row r="20" spans="1:4" ht="14.5" x14ac:dyDescent="0.35">
      <c r="A20" s="2"/>
      <c r="B20" s="2"/>
      <c r="C20" s="2"/>
      <c r="D20" s="2"/>
    </row>
    <row r="21" spans="1:4" ht="14.5" x14ac:dyDescent="0.35">
      <c r="A21" s="2"/>
      <c r="B21" s="2"/>
      <c r="C21" s="2"/>
      <c r="D21" s="2"/>
    </row>
    <row r="22" spans="1:4" ht="14.5" x14ac:dyDescent="0.35">
      <c r="A22" s="2"/>
      <c r="B22" s="2"/>
      <c r="C22" s="2"/>
      <c r="D22" s="2"/>
    </row>
    <row r="23" spans="1:4" ht="14.5" x14ac:dyDescent="0.35">
      <c r="A23" s="2"/>
      <c r="B23" s="2"/>
      <c r="C23" s="2"/>
      <c r="D23" s="2"/>
    </row>
    <row r="24" spans="1:4" ht="14.5" x14ac:dyDescent="0.35">
      <c r="A24" s="2"/>
      <c r="B24" s="2"/>
      <c r="C24" s="2"/>
      <c r="D24" s="2"/>
    </row>
    <row r="25" spans="1:4" ht="14.5" x14ac:dyDescent="0.35">
      <c r="A25" s="2"/>
      <c r="B25" s="2"/>
      <c r="C25" s="2"/>
      <c r="D25" s="2"/>
    </row>
    <row r="26" spans="1:4" ht="14.5" x14ac:dyDescent="0.35">
      <c r="A26" s="2"/>
      <c r="B26" s="2"/>
      <c r="C26" s="2"/>
      <c r="D26" s="2"/>
    </row>
    <row r="27" spans="1:4" ht="14.5" x14ac:dyDescent="0.35">
      <c r="A27" s="2"/>
      <c r="B27" s="2"/>
      <c r="C27" s="2"/>
      <c r="D27" s="2"/>
    </row>
    <row r="28" spans="1:4" ht="14.5" x14ac:dyDescent="0.35">
      <c r="A28" s="2"/>
      <c r="B28" s="2"/>
      <c r="C28" s="2"/>
      <c r="D28" s="2"/>
    </row>
    <row r="29" spans="1:4" ht="14.5" x14ac:dyDescent="0.35">
      <c r="A29" s="2"/>
      <c r="B29" s="2"/>
      <c r="C29" s="2"/>
      <c r="D29" s="2"/>
    </row>
    <row r="30" spans="1:4" ht="14.5" x14ac:dyDescent="0.35">
      <c r="A30" s="2"/>
      <c r="B30" s="2"/>
      <c r="C30" s="2"/>
      <c r="D30" s="2"/>
    </row>
    <row r="31" spans="1:4" ht="14.5" x14ac:dyDescent="0.35">
      <c r="A31" s="2"/>
      <c r="B31" s="2"/>
      <c r="C31" s="2"/>
      <c r="D31" s="2"/>
    </row>
    <row r="32" spans="1:4" ht="14.5" x14ac:dyDescent="0.35">
      <c r="A32" s="2"/>
      <c r="B32" s="2"/>
      <c r="C32" s="2"/>
      <c r="D32" s="2"/>
    </row>
    <row r="33" spans="1:4" ht="14.5" x14ac:dyDescent="0.35">
      <c r="A33" s="2"/>
      <c r="B33" s="2"/>
      <c r="C33" s="2"/>
      <c r="D33" s="2"/>
    </row>
    <row r="34" spans="1:4" ht="14.5" x14ac:dyDescent="0.35">
      <c r="A34" s="2"/>
      <c r="B34" s="2"/>
      <c r="C34" s="2"/>
      <c r="D34" s="2"/>
    </row>
    <row r="35" spans="1:4" ht="14.5" x14ac:dyDescent="0.35">
      <c r="A35" s="2"/>
      <c r="B35" s="2"/>
      <c r="C35" s="2"/>
      <c r="D35" s="2"/>
    </row>
    <row r="36" spans="1:4" ht="14.5" x14ac:dyDescent="0.35">
      <c r="A36" s="2"/>
      <c r="B36" s="2"/>
      <c r="C36" s="2"/>
      <c r="D36" s="2"/>
    </row>
    <row r="37" spans="1:4" ht="14.5" x14ac:dyDescent="0.35">
      <c r="A37" s="2"/>
      <c r="B37" s="2"/>
      <c r="C37" s="2"/>
      <c r="D37" s="2"/>
    </row>
    <row r="38" spans="1:4" ht="14.5" x14ac:dyDescent="0.35">
      <c r="A38" s="2"/>
      <c r="B38" s="2"/>
      <c r="C38" s="2"/>
      <c r="D38" s="2"/>
    </row>
    <row r="39" spans="1:4" ht="14.5" x14ac:dyDescent="0.35">
      <c r="A39" s="2"/>
      <c r="B39" s="2"/>
      <c r="C39" s="2"/>
      <c r="D39" s="2"/>
    </row>
    <row r="40" spans="1:4" ht="14.5" x14ac:dyDescent="0.35">
      <c r="A40" s="2"/>
      <c r="B40" s="2"/>
      <c r="C40" s="2"/>
      <c r="D40" s="2"/>
    </row>
    <row r="41" spans="1:4" ht="14.5" x14ac:dyDescent="0.35">
      <c r="A41" s="2"/>
      <c r="B41" s="2"/>
      <c r="C41" s="2"/>
      <c r="D41" s="2"/>
    </row>
    <row r="42" spans="1:4" ht="14.5" x14ac:dyDescent="0.35">
      <c r="A42" s="2"/>
      <c r="B42" s="2"/>
      <c r="C42" s="2"/>
      <c r="D42" s="2"/>
    </row>
    <row r="43" spans="1:4" ht="14.5" x14ac:dyDescent="0.35">
      <c r="A43" s="2"/>
      <c r="B43" s="2"/>
      <c r="C43" s="2"/>
      <c r="D43" s="2"/>
    </row>
    <row r="44" spans="1:4" ht="14.5" x14ac:dyDescent="0.35">
      <c r="A44" s="2"/>
      <c r="B44" s="2"/>
      <c r="C44" s="2"/>
      <c r="D44" s="2"/>
    </row>
    <row r="45" spans="1:4" ht="14.5" x14ac:dyDescent="0.35">
      <c r="A45" s="2"/>
      <c r="B45" s="2"/>
      <c r="C45" s="2"/>
      <c r="D45" s="2"/>
    </row>
    <row r="46" spans="1:4" ht="14.5" x14ac:dyDescent="0.35">
      <c r="A46" s="2"/>
      <c r="B46" s="2"/>
      <c r="C46" s="2"/>
      <c r="D46" s="2"/>
    </row>
    <row r="47" spans="1:4" ht="14.5" x14ac:dyDescent="0.35">
      <c r="A47" s="2"/>
      <c r="B47" s="2"/>
      <c r="C47" s="2"/>
      <c r="D47" s="2"/>
    </row>
    <row r="48" spans="1:4" ht="14.5" x14ac:dyDescent="0.35">
      <c r="A48" s="2"/>
      <c r="B48" s="2"/>
      <c r="C48" s="2"/>
      <c r="D48" s="2"/>
    </row>
    <row r="49" spans="1:4" ht="14.5" x14ac:dyDescent="0.35">
      <c r="A49" s="2"/>
      <c r="B49" s="2"/>
      <c r="C49" s="2"/>
      <c r="D49" s="2"/>
    </row>
    <row r="50" spans="1:4" ht="14.5" x14ac:dyDescent="0.35">
      <c r="A50" s="2"/>
      <c r="B50" s="2"/>
      <c r="C50" s="2"/>
      <c r="D50" s="2"/>
    </row>
    <row r="51" spans="1:4" ht="14.5" x14ac:dyDescent="0.35">
      <c r="A51" s="2"/>
      <c r="B51" s="2"/>
      <c r="C51" s="2"/>
      <c r="D51" s="2"/>
    </row>
  </sheetData>
  <conditionalFormatting sqref="A2:D51">
    <cfRule type="expression" dxfId="10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>
    <tabColor rgb="FF1BAF7A"/>
  </sheetPr>
  <dimension ref="A1:H91"/>
  <sheetViews>
    <sheetView showGridLines="0" zoomScale="115" workbookViewId="0"/>
  </sheetViews>
  <sheetFormatPr defaultRowHeight="19" customHeight="1" x14ac:dyDescent="0.35"/>
  <cols>
    <col min="1" max="1" width="110" customWidth="1"/>
  </cols>
  <sheetData>
    <row r="1" spans="1:8" ht="29" x14ac:dyDescent="0.75">
      <c r="A1" s="39" t="s">
        <v>90</v>
      </c>
    </row>
    <row r="3" spans="1:8" ht="25" x14ac:dyDescent="0.7">
      <c r="A3" s="62" t="s">
        <v>91</v>
      </c>
      <c r="B3" s="54"/>
      <c r="C3" s="54"/>
      <c r="D3" s="54"/>
      <c r="E3" s="54"/>
      <c r="F3" s="54"/>
      <c r="G3" s="54"/>
      <c r="H3" s="54"/>
    </row>
    <row r="4" spans="1:8" ht="45" customHeight="1" x14ac:dyDescent="0.35">
      <c r="A4" s="63" t="s">
        <v>92</v>
      </c>
      <c r="B4" s="54"/>
      <c r="C4" s="54"/>
      <c r="D4" s="54"/>
      <c r="E4" s="54"/>
      <c r="F4" s="54"/>
      <c r="G4" s="54"/>
      <c r="H4" s="54"/>
    </row>
    <row r="6" spans="1:8" ht="25" x14ac:dyDescent="0.7">
      <c r="A6" s="40" t="s">
        <v>93</v>
      </c>
    </row>
    <row r="7" spans="1:8" ht="17" x14ac:dyDescent="0.5">
      <c r="A7" s="41" t="s">
        <v>94</v>
      </c>
    </row>
    <row r="8" spans="1:8" ht="17" x14ac:dyDescent="0.5">
      <c r="A8" s="41" t="s">
        <v>95</v>
      </c>
    </row>
    <row r="9" spans="1:8" ht="17" x14ac:dyDescent="0.5">
      <c r="A9" s="41" t="s">
        <v>96</v>
      </c>
    </row>
    <row r="10" spans="1:8" ht="17" x14ac:dyDescent="0.5">
      <c r="A10" s="41" t="s">
        <v>97</v>
      </c>
    </row>
    <row r="11" spans="1:8" ht="17" x14ac:dyDescent="0.5">
      <c r="A11" s="41" t="s">
        <v>98</v>
      </c>
    </row>
    <row r="12" spans="1:8" ht="17" x14ac:dyDescent="0.5">
      <c r="A12" s="41" t="s">
        <v>99</v>
      </c>
    </row>
    <row r="13" spans="1:8" ht="17" x14ac:dyDescent="0.5">
      <c r="A13" s="41" t="s">
        <v>100</v>
      </c>
    </row>
    <row r="14" spans="1:8" ht="17" x14ac:dyDescent="0.5">
      <c r="A14" s="41" t="s">
        <v>101</v>
      </c>
    </row>
    <row r="15" spans="1:8" ht="17" x14ac:dyDescent="0.5">
      <c r="A15" s="41" t="s">
        <v>102</v>
      </c>
    </row>
    <row r="16" spans="1:8" ht="17" x14ac:dyDescent="0.5">
      <c r="A16" s="41" t="s">
        <v>103</v>
      </c>
    </row>
    <row r="17" spans="1:8" ht="17" x14ac:dyDescent="0.5">
      <c r="A17" s="41" t="s">
        <v>104</v>
      </c>
    </row>
    <row r="20" spans="1:8" ht="25" x14ac:dyDescent="0.7">
      <c r="A20" s="62" t="s">
        <v>94</v>
      </c>
      <c r="B20" s="54"/>
      <c r="C20" s="54"/>
      <c r="D20" s="54"/>
      <c r="E20" s="54"/>
      <c r="F20" s="54"/>
      <c r="G20" s="54"/>
      <c r="H20" s="54"/>
    </row>
    <row r="21" spans="1:8" ht="17" x14ac:dyDescent="0.5">
      <c r="A21" s="61" t="s">
        <v>105</v>
      </c>
      <c r="B21" s="54"/>
      <c r="C21" s="54"/>
      <c r="D21" s="54"/>
      <c r="E21" s="54"/>
      <c r="F21" s="54"/>
      <c r="G21" s="54"/>
      <c r="H21" s="54"/>
    </row>
    <row r="22" spans="1:8" ht="17" x14ac:dyDescent="0.5">
      <c r="A22" s="60" t="s">
        <v>106</v>
      </c>
      <c r="B22" s="54"/>
      <c r="C22" s="54"/>
      <c r="D22" s="54"/>
      <c r="E22" s="54"/>
      <c r="F22" s="54"/>
      <c r="G22" s="54"/>
      <c r="H22" s="54"/>
    </row>
    <row r="23" spans="1:8" ht="17" x14ac:dyDescent="0.5">
      <c r="A23" s="60" t="s">
        <v>107</v>
      </c>
      <c r="B23" s="54"/>
      <c r="C23" s="54"/>
      <c r="D23" s="54"/>
      <c r="E23" s="54"/>
      <c r="F23" s="54"/>
      <c r="G23" s="54"/>
      <c r="H23" s="54"/>
    </row>
    <row r="24" spans="1:8" ht="17" x14ac:dyDescent="0.5">
      <c r="A24" s="60" t="s">
        <v>108</v>
      </c>
      <c r="B24" s="54"/>
      <c r="C24" s="54"/>
      <c r="D24" s="54"/>
      <c r="E24" s="54"/>
      <c r="F24" s="54"/>
      <c r="G24" s="54"/>
      <c r="H24" s="54"/>
    </row>
    <row r="26" spans="1:8" ht="25" x14ac:dyDescent="0.7">
      <c r="A26" s="62" t="s">
        <v>95</v>
      </c>
      <c r="B26" s="54"/>
      <c r="C26" s="54"/>
      <c r="D26" s="54"/>
      <c r="E26" s="54"/>
      <c r="F26" s="54"/>
      <c r="G26" s="54"/>
      <c r="H26" s="54"/>
    </row>
    <row r="27" spans="1:8" ht="17" x14ac:dyDescent="0.5">
      <c r="A27" s="61" t="s">
        <v>109</v>
      </c>
      <c r="B27" s="54"/>
      <c r="C27" s="54"/>
      <c r="D27" s="54"/>
      <c r="E27" s="54"/>
      <c r="F27" s="54"/>
      <c r="G27" s="54"/>
      <c r="H27" s="54"/>
    </row>
    <row r="28" spans="1:8" ht="17" x14ac:dyDescent="0.5">
      <c r="A28" s="60" t="s">
        <v>110</v>
      </c>
      <c r="B28" s="54"/>
      <c r="C28" s="54"/>
      <c r="D28" s="54"/>
      <c r="E28" s="54"/>
      <c r="F28" s="54"/>
      <c r="G28" s="54"/>
      <c r="H28" s="54"/>
    </row>
    <row r="29" spans="1:8" ht="17" x14ac:dyDescent="0.5">
      <c r="A29" s="60" t="s">
        <v>111</v>
      </c>
      <c r="B29" s="54"/>
      <c r="C29" s="54"/>
      <c r="D29" s="54"/>
      <c r="E29" s="54"/>
      <c r="F29" s="54"/>
      <c r="G29" s="54"/>
      <c r="H29" s="54"/>
    </row>
    <row r="30" spans="1:8" ht="17" x14ac:dyDescent="0.5">
      <c r="A30" s="60" t="s">
        <v>112</v>
      </c>
      <c r="B30" s="54"/>
      <c r="C30" s="54"/>
      <c r="D30" s="54"/>
      <c r="E30" s="54"/>
      <c r="F30" s="54"/>
      <c r="G30" s="54"/>
      <c r="H30" s="54"/>
    </row>
    <row r="31" spans="1:8" ht="17" x14ac:dyDescent="0.5">
      <c r="A31" s="60" t="s">
        <v>113</v>
      </c>
      <c r="B31" s="54"/>
      <c r="C31" s="54"/>
      <c r="D31" s="54"/>
      <c r="E31" s="54"/>
      <c r="F31" s="54"/>
      <c r="G31" s="54"/>
      <c r="H31" s="54"/>
    </row>
    <row r="32" spans="1:8" ht="17" x14ac:dyDescent="0.5">
      <c r="A32" s="60" t="s">
        <v>114</v>
      </c>
      <c r="B32" s="54"/>
      <c r="C32" s="54"/>
      <c r="D32" s="54"/>
      <c r="E32" s="54"/>
      <c r="F32" s="54"/>
      <c r="G32" s="54"/>
      <c r="H32" s="54"/>
    </row>
    <row r="33" spans="1:8" ht="17" x14ac:dyDescent="0.5">
      <c r="A33" s="60" t="s">
        <v>115</v>
      </c>
      <c r="B33" s="54"/>
      <c r="C33" s="54"/>
      <c r="D33" s="54"/>
      <c r="E33" s="54"/>
      <c r="F33" s="54"/>
      <c r="G33" s="54"/>
      <c r="H33" s="54"/>
    </row>
    <row r="34" spans="1:8" ht="17" x14ac:dyDescent="0.5">
      <c r="A34" s="60" t="s">
        <v>116</v>
      </c>
      <c r="B34" s="54"/>
      <c r="C34" s="54"/>
      <c r="D34" s="54"/>
      <c r="E34" s="54"/>
      <c r="F34" s="54"/>
      <c r="G34" s="54"/>
      <c r="H34" s="54"/>
    </row>
    <row r="35" spans="1:8" ht="17" x14ac:dyDescent="0.5">
      <c r="A35" s="60" t="s">
        <v>117</v>
      </c>
      <c r="B35" s="54"/>
      <c r="C35" s="54"/>
      <c r="D35" s="54"/>
      <c r="E35" s="54"/>
      <c r="F35" s="54"/>
      <c r="G35" s="54"/>
      <c r="H35" s="54"/>
    </row>
    <row r="37" spans="1:8" ht="25" x14ac:dyDescent="0.7">
      <c r="A37" s="62" t="s">
        <v>96</v>
      </c>
      <c r="B37" s="54"/>
      <c r="C37" s="54"/>
      <c r="D37" s="54"/>
      <c r="E37" s="54"/>
      <c r="F37" s="54"/>
      <c r="G37" s="54"/>
      <c r="H37" s="54"/>
    </row>
    <row r="38" spans="1:8" ht="17" x14ac:dyDescent="0.5">
      <c r="A38" s="61" t="s">
        <v>118</v>
      </c>
      <c r="B38" s="54"/>
      <c r="C38" s="54"/>
      <c r="D38" s="54"/>
      <c r="E38" s="54"/>
      <c r="F38" s="54"/>
      <c r="G38" s="54"/>
      <c r="H38" s="54"/>
    </row>
    <row r="39" spans="1:8" ht="17" x14ac:dyDescent="0.5">
      <c r="A39" s="60" t="s">
        <v>119</v>
      </c>
      <c r="B39" s="54"/>
      <c r="C39" s="54"/>
      <c r="D39" s="54"/>
      <c r="E39" s="54"/>
      <c r="F39" s="54"/>
      <c r="G39" s="54"/>
      <c r="H39" s="54"/>
    </row>
    <row r="40" spans="1:8" ht="17" x14ac:dyDescent="0.5">
      <c r="A40" s="60" t="s">
        <v>120</v>
      </c>
      <c r="B40" s="54"/>
      <c r="C40" s="54"/>
      <c r="D40" s="54"/>
      <c r="E40" s="54"/>
      <c r="F40" s="54"/>
      <c r="G40" s="54"/>
      <c r="H40" s="54"/>
    </row>
    <row r="41" spans="1:8" ht="17" x14ac:dyDescent="0.5">
      <c r="A41" s="60" t="s">
        <v>121</v>
      </c>
      <c r="B41" s="54"/>
      <c r="C41" s="54"/>
      <c r="D41" s="54"/>
      <c r="E41" s="54"/>
      <c r="F41" s="54"/>
      <c r="G41" s="54"/>
      <c r="H41" s="54"/>
    </row>
    <row r="43" spans="1:8" ht="25" x14ac:dyDescent="0.7">
      <c r="A43" s="62" t="s">
        <v>97</v>
      </c>
      <c r="B43" s="54"/>
      <c r="C43" s="54"/>
      <c r="D43" s="54"/>
      <c r="E43" s="54"/>
      <c r="F43" s="54"/>
      <c r="G43" s="54"/>
      <c r="H43" s="54"/>
    </row>
    <row r="44" spans="1:8" ht="17" x14ac:dyDescent="0.5">
      <c r="A44" s="61" t="s">
        <v>122</v>
      </c>
      <c r="B44" s="54"/>
      <c r="C44" s="54"/>
      <c r="D44" s="54"/>
      <c r="E44" s="54"/>
      <c r="F44" s="54"/>
      <c r="G44" s="54"/>
      <c r="H44" s="54"/>
    </row>
    <row r="45" spans="1:8" ht="17" x14ac:dyDescent="0.5">
      <c r="A45" s="60" t="s">
        <v>123</v>
      </c>
      <c r="B45" s="54"/>
      <c r="C45" s="54"/>
      <c r="D45" s="54"/>
      <c r="E45" s="54"/>
      <c r="F45" s="54"/>
      <c r="G45" s="54"/>
      <c r="H45" s="54"/>
    </row>
    <row r="46" spans="1:8" ht="17" x14ac:dyDescent="0.5">
      <c r="A46" s="60" t="s">
        <v>124</v>
      </c>
      <c r="B46" s="54"/>
      <c r="C46" s="54"/>
      <c r="D46" s="54"/>
      <c r="E46" s="54"/>
      <c r="F46" s="54"/>
      <c r="G46" s="54"/>
      <c r="H46" s="54"/>
    </row>
    <row r="47" spans="1:8" ht="17" x14ac:dyDescent="0.5">
      <c r="A47" s="60" t="s">
        <v>125</v>
      </c>
      <c r="B47" s="54"/>
      <c r="C47" s="54"/>
      <c r="D47" s="54"/>
      <c r="E47" s="54"/>
      <c r="F47" s="54"/>
      <c r="G47" s="54"/>
      <c r="H47" s="54"/>
    </row>
    <row r="49" spans="1:8" ht="25" x14ac:dyDescent="0.7">
      <c r="A49" s="62" t="s">
        <v>98</v>
      </c>
      <c r="B49" s="54"/>
      <c r="C49" s="54"/>
      <c r="D49" s="54"/>
      <c r="E49" s="54"/>
      <c r="F49" s="54"/>
      <c r="G49" s="54"/>
      <c r="H49" s="54"/>
    </row>
    <row r="50" spans="1:8" ht="17" x14ac:dyDescent="0.5">
      <c r="A50" s="61" t="s">
        <v>126</v>
      </c>
      <c r="B50" s="54"/>
      <c r="C50" s="54"/>
      <c r="D50" s="54"/>
      <c r="E50" s="54"/>
      <c r="F50" s="54"/>
      <c r="G50" s="54"/>
      <c r="H50" s="54"/>
    </row>
    <row r="51" spans="1:8" ht="17" x14ac:dyDescent="0.5">
      <c r="A51" s="60" t="s">
        <v>127</v>
      </c>
      <c r="B51" s="54"/>
      <c r="C51" s="54"/>
      <c r="D51" s="54"/>
      <c r="E51" s="54"/>
      <c r="F51" s="54"/>
      <c r="G51" s="54"/>
      <c r="H51" s="54"/>
    </row>
    <row r="52" spans="1:8" ht="17" x14ac:dyDescent="0.5">
      <c r="A52" s="60" t="s">
        <v>128</v>
      </c>
      <c r="B52" s="54"/>
      <c r="C52" s="54"/>
      <c r="D52" s="54"/>
      <c r="E52" s="54"/>
      <c r="F52" s="54"/>
      <c r="G52" s="54"/>
      <c r="H52" s="54"/>
    </row>
    <row r="53" spans="1:8" ht="17" x14ac:dyDescent="0.5">
      <c r="A53" s="60" t="s">
        <v>129</v>
      </c>
      <c r="B53" s="54"/>
      <c r="C53" s="54"/>
      <c r="D53" s="54"/>
      <c r="E53" s="54"/>
      <c r="F53" s="54"/>
      <c r="G53" s="54"/>
      <c r="H53" s="54"/>
    </row>
    <row r="54" spans="1:8" ht="17" x14ac:dyDescent="0.5">
      <c r="A54" s="60" t="s">
        <v>130</v>
      </c>
      <c r="B54" s="54"/>
      <c r="C54" s="54"/>
      <c r="D54" s="54"/>
      <c r="E54" s="54"/>
      <c r="F54" s="54"/>
      <c r="G54" s="54"/>
      <c r="H54" s="54"/>
    </row>
    <row r="55" spans="1:8" ht="17" x14ac:dyDescent="0.5">
      <c r="A55" s="60" t="s">
        <v>131</v>
      </c>
      <c r="B55" s="54"/>
      <c r="C55" s="54"/>
      <c r="D55" s="54"/>
      <c r="E55" s="54"/>
      <c r="F55" s="54"/>
      <c r="G55" s="54"/>
      <c r="H55" s="54"/>
    </row>
    <row r="56" spans="1:8" ht="17" x14ac:dyDescent="0.5">
      <c r="A56" s="60" t="s">
        <v>132</v>
      </c>
      <c r="B56" s="54"/>
      <c r="C56" s="54"/>
      <c r="D56" s="54"/>
      <c r="E56" s="54"/>
      <c r="F56" s="54"/>
      <c r="G56" s="54"/>
      <c r="H56" s="54"/>
    </row>
    <row r="58" spans="1:8" ht="25" x14ac:dyDescent="0.7">
      <c r="A58" s="62" t="s">
        <v>99</v>
      </c>
      <c r="B58" s="54"/>
      <c r="C58" s="54"/>
      <c r="D58" s="54"/>
      <c r="E58" s="54"/>
      <c r="F58" s="54"/>
      <c r="G58" s="54"/>
      <c r="H58" s="54"/>
    </row>
    <row r="59" spans="1:8" ht="17" x14ac:dyDescent="0.5">
      <c r="A59" s="61" t="s">
        <v>133</v>
      </c>
      <c r="B59" s="54"/>
      <c r="C59" s="54"/>
      <c r="D59" s="54"/>
      <c r="E59" s="54"/>
      <c r="F59" s="54"/>
      <c r="G59" s="54"/>
      <c r="H59" s="54"/>
    </row>
    <row r="60" spans="1:8" ht="17" x14ac:dyDescent="0.5">
      <c r="A60" s="60" t="s">
        <v>134</v>
      </c>
      <c r="B60" s="54"/>
      <c r="C60" s="54"/>
      <c r="D60" s="54"/>
      <c r="E60" s="54"/>
      <c r="F60" s="54"/>
      <c r="G60" s="54"/>
      <c r="H60" s="54"/>
    </row>
    <row r="61" spans="1:8" ht="17" x14ac:dyDescent="0.5">
      <c r="A61" s="60" t="s">
        <v>135</v>
      </c>
      <c r="B61" s="54"/>
      <c r="C61" s="54"/>
      <c r="D61" s="54"/>
      <c r="E61" s="54"/>
      <c r="F61" s="54"/>
      <c r="G61" s="54"/>
      <c r="H61" s="54"/>
    </row>
    <row r="63" spans="1:8" ht="25" x14ac:dyDescent="0.7">
      <c r="A63" s="62" t="s">
        <v>100</v>
      </c>
      <c r="B63" s="54"/>
      <c r="C63" s="54"/>
      <c r="D63" s="54"/>
      <c r="E63" s="54"/>
      <c r="F63" s="54"/>
      <c r="G63" s="54"/>
      <c r="H63" s="54"/>
    </row>
    <row r="64" spans="1:8" ht="17" x14ac:dyDescent="0.5">
      <c r="A64" s="61" t="s">
        <v>136</v>
      </c>
      <c r="B64" s="54"/>
      <c r="C64" s="54"/>
      <c r="D64" s="54"/>
      <c r="E64" s="54"/>
      <c r="F64" s="54"/>
      <c r="G64" s="54"/>
      <c r="H64" s="54"/>
    </row>
    <row r="65" spans="1:8" ht="17" x14ac:dyDescent="0.5">
      <c r="A65" s="60" t="s">
        <v>137</v>
      </c>
      <c r="B65" s="54"/>
      <c r="C65" s="54"/>
      <c r="D65" s="54"/>
      <c r="E65" s="54"/>
      <c r="F65" s="54"/>
      <c r="G65" s="54"/>
      <c r="H65" s="54"/>
    </row>
    <row r="66" spans="1:8" ht="17" x14ac:dyDescent="0.5">
      <c r="A66" s="60" t="s">
        <v>138</v>
      </c>
      <c r="B66" s="54"/>
      <c r="C66" s="54"/>
      <c r="D66" s="54"/>
      <c r="E66" s="54"/>
      <c r="F66" s="54"/>
      <c r="G66" s="54"/>
      <c r="H66" s="54"/>
    </row>
    <row r="67" spans="1:8" ht="17" x14ac:dyDescent="0.5">
      <c r="A67" s="60" t="s">
        <v>139</v>
      </c>
      <c r="B67" s="54"/>
      <c r="C67" s="54"/>
      <c r="D67" s="54"/>
      <c r="E67" s="54"/>
      <c r="F67" s="54"/>
      <c r="G67" s="54"/>
      <c r="H67" s="54"/>
    </row>
    <row r="69" spans="1:8" ht="25" x14ac:dyDescent="0.7">
      <c r="A69" s="62" t="s">
        <v>101</v>
      </c>
      <c r="B69" s="54"/>
      <c r="C69" s="54"/>
      <c r="D69" s="54"/>
      <c r="E69" s="54"/>
      <c r="F69" s="54"/>
      <c r="G69" s="54"/>
      <c r="H69" s="54"/>
    </row>
    <row r="70" spans="1:8" ht="17" x14ac:dyDescent="0.5">
      <c r="A70" s="61" t="s">
        <v>140</v>
      </c>
      <c r="B70" s="54"/>
      <c r="C70" s="54"/>
      <c r="D70" s="54"/>
      <c r="E70" s="54"/>
      <c r="F70" s="54"/>
      <c r="G70" s="54"/>
      <c r="H70" s="54"/>
    </row>
    <row r="71" spans="1:8" ht="17" x14ac:dyDescent="0.5">
      <c r="A71" s="60" t="s">
        <v>141</v>
      </c>
      <c r="B71" s="54"/>
      <c r="C71" s="54"/>
      <c r="D71" s="54"/>
      <c r="E71" s="54"/>
      <c r="F71" s="54"/>
      <c r="G71" s="54"/>
      <c r="H71" s="54"/>
    </row>
    <row r="72" spans="1:8" ht="17" x14ac:dyDescent="0.5">
      <c r="A72" s="60" t="s">
        <v>142</v>
      </c>
      <c r="B72" s="54"/>
      <c r="C72" s="54"/>
      <c r="D72" s="54"/>
      <c r="E72" s="54"/>
      <c r="F72" s="54"/>
      <c r="G72" s="54"/>
      <c r="H72" s="54"/>
    </row>
    <row r="73" spans="1:8" ht="17" x14ac:dyDescent="0.5">
      <c r="A73" s="60" t="s">
        <v>143</v>
      </c>
      <c r="B73" s="54"/>
      <c r="C73" s="54"/>
      <c r="D73" s="54"/>
      <c r="E73" s="54"/>
      <c r="F73" s="54"/>
      <c r="G73" s="54"/>
      <c r="H73" s="54"/>
    </row>
    <row r="74" spans="1:8" ht="17" x14ac:dyDescent="0.5">
      <c r="A74" s="60" t="s">
        <v>144</v>
      </c>
      <c r="B74" s="54"/>
      <c r="C74" s="54"/>
      <c r="D74" s="54"/>
      <c r="E74" s="54"/>
      <c r="F74" s="54"/>
      <c r="G74" s="54"/>
      <c r="H74" s="54"/>
    </row>
    <row r="76" spans="1:8" ht="25" x14ac:dyDescent="0.7">
      <c r="A76" s="62" t="s">
        <v>102</v>
      </c>
      <c r="B76" s="54"/>
      <c r="C76" s="54"/>
      <c r="D76" s="54"/>
      <c r="E76" s="54"/>
      <c r="F76" s="54"/>
      <c r="G76" s="54"/>
      <c r="H76" s="54"/>
    </row>
    <row r="77" spans="1:8" ht="17" x14ac:dyDescent="0.5">
      <c r="A77" s="61" t="s">
        <v>145</v>
      </c>
      <c r="B77" s="54"/>
      <c r="C77" s="54"/>
      <c r="D77" s="54"/>
      <c r="E77" s="54"/>
      <c r="F77" s="54"/>
      <c r="G77" s="54"/>
      <c r="H77" s="54"/>
    </row>
    <row r="78" spans="1:8" ht="17" x14ac:dyDescent="0.5">
      <c r="A78" s="60" t="s">
        <v>123</v>
      </c>
      <c r="B78" s="54"/>
      <c r="C78" s="54"/>
      <c r="D78" s="54"/>
      <c r="E78" s="54"/>
      <c r="F78" s="54"/>
      <c r="G78" s="54"/>
      <c r="H78" s="54"/>
    </row>
    <row r="79" spans="1:8" ht="17" x14ac:dyDescent="0.5">
      <c r="A79" s="60" t="s">
        <v>146</v>
      </c>
      <c r="B79" s="54"/>
      <c r="C79" s="54"/>
      <c r="D79" s="54"/>
      <c r="E79" s="54"/>
      <c r="F79" s="54"/>
      <c r="G79" s="54"/>
      <c r="H79" s="54"/>
    </row>
    <row r="80" spans="1:8" ht="17" x14ac:dyDescent="0.5">
      <c r="A80" s="60" t="s">
        <v>147</v>
      </c>
      <c r="B80" s="54"/>
      <c r="C80" s="54"/>
      <c r="D80" s="54"/>
      <c r="E80" s="54"/>
      <c r="F80" s="54"/>
      <c r="G80" s="54"/>
      <c r="H80" s="54"/>
    </row>
    <row r="81" spans="1:8" ht="17" x14ac:dyDescent="0.5">
      <c r="A81" s="60" t="s">
        <v>148</v>
      </c>
      <c r="B81" s="54"/>
      <c r="C81" s="54"/>
      <c r="D81" s="54"/>
      <c r="E81" s="54"/>
      <c r="F81" s="54"/>
      <c r="G81" s="54"/>
      <c r="H81" s="54"/>
    </row>
    <row r="83" spans="1:8" ht="25" x14ac:dyDescent="0.7">
      <c r="A83" s="62" t="s">
        <v>103</v>
      </c>
      <c r="B83" s="54"/>
      <c r="C83" s="54"/>
      <c r="D83" s="54"/>
      <c r="E83" s="54"/>
      <c r="F83" s="54"/>
      <c r="G83" s="54"/>
      <c r="H83" s="54"/>
    </row>
    <row r="84" spans="1:8" ht="17" x14ac:dyDescent="0.5">
      <c r="A84" s="61" t="s">
        <v>149</v>
      </c>
      <c r="B84" s="54"/>
      <c r="C84" s="54"/>
      <c r="D84" s="54"/>
      <c r="E84" s="54"/>
      <c r="F84" s="54"/>
      <c r="G84" s="54"/>
      <c r="H84" s="54"/>
    </row>
    <row r="85" spans="1:8" ht="17" x14ac:dyDescent="0.5">
      <c r="A85" s="60" t="s">
        <v>150</v>
      </c>
      <c r="B85" s="54"/>
      <c r="C85" s="54"/>
      <c r="D85" s="54"/>
      <c r="E85" s="54"/>
      <c r="F85" s="54"/>
      <c r="G85" s="54"/>
      <c r="H85" s="54"/>
    </row>
    <row r="86" spans="1:8" ht="17" x14ac:dyDescent="0.5">
      <c r="A86" s="60" t="s">
        <v>151</v>
      </c>
      <c r="B86" s="54"/>
      <c r="C86" s="54"/>
      <c r="D86" s="54"/>
      <c r="E86" s="54"/>
      <c r="F86" s="54"/>
      <c r="G86" s="54"/>
      <c r="H86" s="54"/>
    </row>
    <row r="87" spans="1:8" ht="17" x14ac:dyDescent="0.5">
      <c r="A87" s="60" t="s">
        <v>152</v>
      </c>
      <c r="B87" s="54"/>
      <c r="C87" s="54"/>
      <c r="D87" s="54"/>
      <c r="E87" s="54"/>
      <c r="F87" s="54"/>
      <c r="G87" s="54"/>
      <c r="H87" s="54"/>
    </row>
    <row r="89" spans="1:8" ht="25" x14ac:dyDescent="0.7">
      <c r="A89" s="62" t="s">
        <v>104</v>
      </c>
      <c r="B89" s="54"/>
      <c r="C89" s="54"/>
      <c r="D89" s="54"/>
      <c r="E89" s="54"/>
      <c r="F89" s="54"/>
      <c r="G89" s="54"/>
      <c r="H89" s="54"/>
    </row>
    <row r="90" spans="1:8" ht="17" x14ac:dyDescent="0.5">
      <c r="A90" s="61" t="s">
        <v>153</v>
      </c>
      <c r="B90" s="54"/>
      <c r="C90" s="54"/>
      <c r="D90" s="54"/>
      <c r="E90" s="54"/>
      <c r="F90" s="54"/>
      <c r="G90" s="54"/>
      <c r="H90" s="54"/>
    </row>
    <row r="91" spans="1:8" ht="17" x14ac:dyDescent="0.5">
      <c r="A91" s="60" t="s">
        <v>154</v>
      </c>
      <c r="B91" s="54"/>
      <c r="C91" s="54"/>
      <c r="D91" s="54"/>
      <c r="E91" s="54"/>
      <c r="F91" s="54"/>
      <c r="G91" s="54"/>
      <c r="H91" s="54"/>
    </row>
  </sheetData>
  <mergeCells count="64">
    <mergeCell ref="A91:H91"/>
    <mergeCell ref="A29:H29"/>
    <mergeCell ref="A35:H35"/>
    <mergeCell ref="A20:H20"/>
    <mergeCell ref="A38:H38"/>
    <mergeCell ref="A43:H43"/>
    <mergeCell ref="A63:H63"/>
    <mergeCell ref="A52:H52"/>
    <mergeCell ref="A72:H72"/>
    <mergeCell ref="A28:H28"/>
    <mergeCell ref="A81:H81"/>
    <mergeCell ref="A44:H44"/>
    <mergeCell ref="A31:H31"/>
    <mergeCell ref="A58:H58"/>
    <mergeCell ref="A34:H34"/>
    <mergeCell ref="A3:H3"/>
    <mergeCell ref="A21:H21"/>
    <mergeCell ref="A26:H26"/>
    <mergeCell ref="A55:H55"/>
    <mergeCell ref="A86:H86"/>
    <mergeCell ref="A71:H71"/>
    <mergeCell ref="A85:H85"/>
    <mergeCell ref="A76:H76"/>
    <mergeCell ref="A33:H33"/>
    <mergeCell ref="A47:H47"/>
    <mergeCell ref="A23:H23"/>
    <mergeCell ref="A32:H32"/>
    <mergeCell ref="A22:H22"/>
    <mergeCell ref="A40:H40"/>
    <mergeCell ref="A4:H4"/>
    <mergeCell ref="A53:H53"/>
    <mergeCell ref="A87:H87"/>
    <mergeCell ref="A65:H65"/>
    <mergeCell ref="A54:H54"/>
    <mergeCell ref="A41:H41"/>
    <mergeCell ref="A90:H90"/>
    <mergeCell ref="A66:H66"/>
    <mergeCell ref="A80:H80"/>
    <mergeCell ref="A46:H46"/>
    <mergeCell ref="A84:H84"/>
    <mergeCell ref="A89:H89"/>
    <mergeCell ref="A74:H74"/>
    <mergeCell ref="A50:H50"/>
    <mergeCell ref="A56:H56"/>
    <mergeCell ref="A24:H24"/>
    <mergeCell ref="A73:H73"/>
    <mergeCell ref="A51:H51"/>
    <mergeCell ref="A64:H64"/>
    <mergeCell ref="A60:H60"/>
    <mergeCell ref="A49:H49"/>
    <mergeCell ref="A45:H45"/>
    <mergeCell ref="A61:H61"/>
    <mergeCell ref="A70:H70"/>
    <mergeCell ref="A69:H69"/>
    <mergeCell ref="A37:H37"/>
    <mergeCell ref="A27:H27"/>
    <mergeCell ref="A67:H67"/>
    <mergeCell ref="A30:H30"/>
    <mergeCell ref="A39:H39"/>
    <mergeCell ref="A77:H77"/>
    <mergeCell ref="A83:H83"/>
    <mergeCell ref="A59:H59"/>
    <mergeCell ref="A79:H79"/>
    <mergeCell ref="A78:H78"/>
  </mergeCells>
  <hyperlinks>
    <hyperlink ref="A7" location="'Instructions'!A20" display="Dashboard" xr:uid="{00000000-0004-0000-0B00-000000000000}"/>
    <hyperlink ref="A8" location="'Instructions'!A26" display="Tasks" xr:uid="{00000000-0004-0000-0B00-000001000000}"/>
    <hyperlink ref="A9" location="'Instructions'!A37" display="Archive" xr:uid="{00000000-0004-0000-0B00-000002000000}"/>
    <hyperlink ref="A10" location="'Instructions'!A43" display="Calendar" xr:uid="{00000000-0004-0000-0B00-000003000000}"/>
    <hyperlink ref="A11" location="'Instructions'!A49" display="Campaigns" xr:uid="{00000000-0004-0000-0B00-000004000000}"/>
    <hyperlink ref="A12" location="'Instructions'!A58" display="Campaigns Archive" xr:uid="{00000000-0004-0000-0B00-000005000000}"/>
    <hyperlink ref="A13" location="'Instructions'!A63" display="Monthly Media Plan" xr:uid="{00000000-0004-0000-0B00-000006000000}"/>
    <hyperlink ref="A14" location="'Instructions'!A69" display="Recurring Tasks" xr:uid="{00000000-0004-0000-0B00-000007000000}"/>
    <hyperlink ref="A15" location="'Instructions'!A76" display="Schedule" xr:uid="{00000000-0004-0000-0B00-000008000000}"/>
    <hyperlink ref="A16" location="'Instructions'!A83" display="Login Information" xr:uid="{00000000-0004-0000-0B00-000009000000}"/>
    <hyperlink ref="A17" location="'Instructions'!A89" display="Quick Links" xr:uid="{00000000-0004-0000-0B00-00000A000000}"/>
  </hyperlink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1F4E79"/>
  </sheetPr>
  <dimension ref="A1:N35"/>
  <sheetViews>
    <sheetView showGridLines="0" zoomScale="115" workbookViewId="0">
      <pane ySplit="5" topLeftCell="A6" activePane="bottomLeft" state="frozen"/>
      <selection pane="bottomLeft"/>
    </sheetView>
  </sheetViews>
  <sheetFormatPr defaultRowHeight="19" customHeight="1" x14ac:dyDescent="0.35"/>
  <cols>
    <col min="1" max="1" width="12" customWidth="1"/>
    <col min="2" max="2" width="26" customWidth="1"/>
    <col min="3" max="6" width="12" customWidth="1"/>
    <col min="7" max="7" width="13" customWidth="1"/>
    <col min="8" max="8" width="28" customWidth="1"/>
    <col min="9" max="9" width="14" customWidth="1"/>
    <col min="10" max="11" width="13" customWidth="1"/>
    <col min="12" max="12" width="11" customWidth="1"/>
    <col min="13" max="14" width="13" customWidth="1"/>
  </cols>
  <sheetData>
    <row r="1" spans="1:14" ht="28" customHeight="1" x14ac:dyDescent="0.35">
      <c r="A1" s="69" t="s">
        <v>155</v>
      </c>
      <c r="B1" s="70"/>
      <c r="D1" s="69" t="s">
        <v>156</v>
      </c>
      <c r="E1" s="70"/>
      <c r="G1" s="69" t="s">
        <v>157</v>
      </c>
      <c r="H1" s="70"/>
      <c r="J1" s="69" t="s">
        <v>158</v>
      </c>
      <c r="K1" s="70"/>
      <c r="M1" s="69" t="s">
        <v>159</v>
      </c>
      <c r="N1" s="70"/>
    </row>
    <row r="2" spans="1:14" ht="14.5" x14ac:dyDescent="0.35">
      <c r="A2" s="68">
        <f>COUNTA(Tasks!$A$2:$A$1500)</f>
        <v>0</v>
      </c>
      <c r="B2" s="65"/>
      <c r="D2" s="68">
        <f>COUNTIFS(ArchiveTable[ID],"&lt;&gt;",ArchiveTable[RowType],"Completed")</f>
        <v>0</v>
      </c>
      <c r="E2" s="65"/>
      <c r="G2" s="68">
        <f>COUNTIFS(Tasks!$M$2:$M$1500,"&lt;0")</f>
        <v>0</v>
      </c>
      <c r="H2" s="65"/>
      <c r="J2" s="64" t="str">
        <f ca="1">IF(SUMPRODUCT(MIN(Campaigns!$AA$3:$AA$202+(Campaigns!$G$3:$G$202&lt;&gt;"Active")*9999999))&gt;=9000000,"—",SUMPRODUCT(MIN(Campaigns!$AA$3:$AA$202+(Campaigns!$G$3:$G$202&lt;&gt;"Active")*9999999)))</f>
        <v>—</v>
      </c>
      <c r="K2" s="65"/>
      <c r="M2" s="64" t="str">
        <f ca="1">IF(SUMPRODUCT(MIN(Campaigns!$AA$3:$AA$202+(Campaigns!$G$3:$G$202&lt;&gt;"Planned")*9999999))&gt;=9000000,"—",SUMPRODUCT(MIN(Campaigns!$AA$3:$AA$202+(Campaigns!$G$3:$G$202&lt;&gt;"Planned")*9999999)))</f>
        <v>—</v>
      </c>
      <c r="N2" s="65"/>
    </row>
    <row r="3" spans="1:14" ht="14.5" x14ac:dyDescent="0.35">
      <c r="A3" s="66"/>
      <c r="B3" s="67"/>
      <c r="D3" s="66"/>
      <c r="E3" s="67"/>
      <c r="G3" s="66"/>
      <c r="H3" s="67"/>
      <c r="J3" s="66"/>
      <c r="K3" s="67"/>
      <c r="M3" s="66"/>
      <c r="N3" s="67"/>
    </row>
    <row r="4" spans="1:14" ht="17" x14ac:dyDescent="0.35">
      <c r="A4" s="50" t="s">
        <v>160</v>
      </c>
      <c r="B4" s="52"/>
    </row>
    <row r="5" spans="1:14" ht="10" customHeight="1" x14ac:dyDescent="0.35"/>
    <row r="6" spans="1:14" ht="25" x14ac:dyDescent="0.7">
      <c r="A6" s="42" t="s">
        <v>161</v>
      </c>
      <c r="B6" s="34"/>
      <c r="C6" s="34"/>
      <c r="D6" s="34"/>
      <c r="E6" s="34"/>
      <c r="F6" s="36"/>
      <c r="H6" s="42" t="s">
        <v>162</v>
      </c>
      <c r="I6" s="36"/>
    </row>
    <row r="7" spans="1:14" ht="32" customHeight="1" x14ac:dyDescent="0.35">
      <c r="A7" s="1" t="s">
        <v>5</v>
      </c>
      <c r="B7" s="1" t="s">
        <v>7</v>
      </c>
      <c r="C7" s="1" t="s">
        <v>163</v>
      </c>
      <c r="D7" s="1" t="s">
        <v>14</v>
      </c>
      <c r="E7" s="1" t="s">
        <v>15</v>
      </c>
      <c r="F7" s="1" t="s">
        <v>17</v>
      </c>
      <c r="H7" s="1" t="s">
        <v>164</v>
      </c>
      <c r="I7" s="1" t="s">
        <v>165</v>
      </c>
    </row>
    <row r="8" spans="1:14" ht="14.5" x14ac:dyDescent="0.35">
      <c r="A8" s="43" t="str">
        <f>IFERROR(INDEX(Tasks!$A$2:$A$1500,MATCH(SMALL(Tasks!$W$2:$W$1500,1),Tasks!$W$2:$W$1500,0))&amp;"","")</f>
        <v/>
      </c>
      <c r="B8" s="44" t="str">
        <f>IFERROR(INDEX(Tasks!$E$2:$E$1500,MATCH(SMALL(Tasks!$W$2:$W$1500,1),Tasks!$W$2:$W$1500,0))&amp;"","")</f>
        <v/>
      </c>
      <c r="C8" s="44" t="str">
        <f>IFERROR(INDEX(Tasks!$H$2:$H$1500,MATCH(SMALL(Tasks!$W$2:$W$1500,1),Tasks!$W$2:$W$1500,0))&amp;"","")</f>
        <v/>
      </c>
      <c r="D8" s="44" t="str">
        <f>IFERROR(INDEX(Tasks!$J$2:$J$1500,MATCH(SMALL(Tasks!$W$2:$W$1500,1),Tasks!$W$2:$W$1500,0))&amp;"","")</f>
        <v/>
      </c>
      <c r="E8" s="45" t="str">
        <f>IFERROR(INDEX(Tasks!$K$2:$K$1500,MATCH(SMALL(Tasks!$W$2:$W$1500,1),Tasks!$W$2:$W$1500,0)),"")</f>
        <v/>
      </c>
      <c r="F8" s="46" t="str">
        <f>IFERROR(INDEX(Tasks!$M$2:$M$1500,MATCH(SMALL(Tasks!$W$2:$W$1500,1),Tasks!$W$2:$W$1500,0)),"")</f>
        <v/>
      </c>
      <c r="H8" s="44" t="s">
        <v>166</v>
      </c>
      <c r="I8" s="43">
        <f ca="1">COUNTIFS(ArchiveTable[Completed At],"&gt;="&amp;TODAY(),ArchiveTable[Completed At],"&lt;"&amp;TODAY()+1,ArchiveTable[RowType],"Completed")</f>
        <v>0</v>
      </c>
    </row>
    <row r="9" spans="1:14" ht="14.5" x14ac:dyDescent="0.35">
      <c r="A9" s="43" t="str">
        <f>IFERROR(INDEX(Tasks!$A$2:$A$1500,MATCH(SMALL(Tasks!$W$2:$W$1500,2),Tasks!$W$2:$W$1500,0))&amp;"","")</f>
        <v/>
      </c>
      <c r="B9" s="44" t="str">
        <f>IFERROR(INDEX(Tasks!$E$2:$E$1500,MATCH(SMALL(Tasks!$W$2:$W$1500,2),Tasks!$W$2:$W$1500,0))&amp;"","")</f>
        <v/>
      </c>
      <c r="C9" s="44" t="str">
        <f>IFERROR(INDEX(Tasks!$H$2:$H$1500,MATCH(SMALL(Tasks!$W$2:$W$1500,2),Tasks!$W$2:$W$1500,0))&amp;"","")</f>
        <v/>
      </c>
      <c r="D9" s="44" t="str">
        <f>IFERROR(INDEX(Tasks!$J$2:$J$1500,MATCH(SMALL(Tasks!$W$2:$W$1500,2),Tasks!$W$2:$W$1500,0))&amp;"","")</f>
        <v/>
      </c>
      <c r="E9" s="45" t="str">
        <f>IFERROR(INDEX(Tasks!$K$2:$K$1500,MATCH(SMALL(Tasks!$W$2:$W$1500,2),Tasks!$W$2:$W$1500,0)),"")</f>
        <v/>
      </c>
      <c r="F9" s="46" t="str">
        <f>IFERROR(INDEX(Tasks!$M$2:$M$1500,MATCH(SMALL(Tasks!$W$2:$W$1500,2),Tasks!$W$2:$W$1500,0)),"")</f>
        <v/>
      </c>
      <c r="H9" s="44" t="s">
        <v>167</v>
      </c>
      <c r="I9" s="43">
        <f ca="1">COUNTIFS(ArchiveTable[Completed At],"&gt;="&amp;(TODAY()-WEEKDAY(TODAY(),3)),ArchiveTable[Completed At],"&lt;"&amp;((TODAY()-WEEKDAY(TODAY(),3))+7),ArchiveTable[RowType],"Completed")</f>
        <v>0</v>
      </c>
    </row>
    <row r="10" spans="1:14" ht="14.5" x14ac:dyDescent="0.35">
      <c r="A10" s="43" t="str">
        <f>IFERROR(INDEX(Tasks!$A$2:$A$1500,MATCH(SMALL(Tasks!$W$2:$W$1500,3),Tasks!$W$2:$W$1500,0))&amp;"","")</f>
        <v/>
      </c>
      <c r="B10" s="44" t="str">
        <f>IFERROR(INDEX(Tasks!$E$2:$E$1500,MATCH(SMALL(Tasks!$W$2:$W$1500,3),Tasks!$W$2:$W$1500,0))&amp;"","")</f>
        <v/>
      </c>
      <c r="C10" s="44" t="str">
        <f>IFERROR(INDEX(Tasks!$H$2:$H$1500,MATCH(SMALL(Tasks!$W$2:$W$1500,3),Tasks!$W$2:$W$1500,0))&amp;"","")</f>
        <v/>
      </c>
      <c r="D10" s="44" t="str">
        <f>IFERROR(INDEX(Tasks!$J$2:$J$1500,MATCH(SMALL(Tasks!$W$2:$W$1500,3),Tasks!$W$2:$W$1500,0))&amp;"","")</f>
        <v/>
      </c>
      <c r="E10" s="45" t="str">
        <f>IFERROR(INDEX(Tasks!$K$2:$K$1500,MATCH(SMALL(Tasks!$W$2:$W$1500,3),Tasks!$W$2:$W$1500,0)),"")</f>
        <v/>
      </c>
      <c r="F10" s="46" t="str">
        <f>IFERROR(INDEX(Tasks!$M$2:$M$1500,MATCH(SMALL(Tasks!$W$2:$W$1500,3),Tasks!$W$2:$W$1500,0)),"")</f>
        <v/>
      </c>
    </row>
    <row r="11" spans="1:14" ht="14.5" x14ac:dyDescent="0.35">
      <c r="A11" s="43" t="str">
        <f>IFERROR(INDEX(Tasks!$A$2:$A$1500,MATCH(SMALL(Tasks!$W$2:$W$1500,4),Tasks!$W$2:$W$1500,0))&amp;"","")</f>
        <v/>
      </c>
      <c r="B11" s="44" t="str">
        <f>IFERROR(INDEX(Tasks!$E$2:$E$1500,MATCH(SMALL(Tasks!$W$2:$W$1500,4),Tasks!$W$2:$W$1500,0))&amp;"","")</f>
        <v/>
      </c>
      <c r="C11" s="44" t="str">
        <f>IFERROR(INDEX(Tasks!$H$2:$H$1500,MATCH(SMALL(Tasks!$W$2:$W$1500,4),Tasks!$W$2:$W$1500,0))&amp;"","")</f>
        <v/>
      </c>
      <c r="D11" s="44" t="str">
        <f>IFERROR(INDEX(Tasks!$J$2:$J$1500,MATCH(SMALL(Tasks!$W$2:$W$1500,4),Tasks!$W$2:$W$1500,0))&amp;"","")</f>
        <v/>
      </c>
      <c r="E11" s="45" t="str">
        <f>IFERROR(INDEX(Tasks!$K$2:$K$1500,MATCH(SMALL(Tasks!$W$2:$W$1500,4),Tasks!$W$2:$W$1500,0)),"")</f>
        <v/>
      </c>
      <c r="F11" s="46" t="str">
        <f>IFERROR(INDEX(Tasks!$M$2:$M$1500,MATCH(SMALL(Tasks!$W$2:$W$1500,4),Tasks!$W$2:$W$1500,0)),"")</f>
        <v/>
      </c>
    </row>
    <row r="12" spans="1:14" ht="14.5" x14ac:dyDescent="0.35">
      <c r="A12" s="43" t="str">
        <f>IFERROR(INDEX(Tasks!$A$2:$A$1500,MATCH(SMALL(Tasks!$W$2:$W$1500,5),Tasks!$W$2:$W$1500,0))&amp;"","")</f>
        <v/>
      </c>
      <c r="B12" s="44" t="str">
        <f>IFERROR(INDEX(Tasks!$E$2:$E$1500,MATCH(SMALL(Tasks!$W$2:$W$1500,5),Tasks!$W$2:$W$1500,0))&amp;"","")</f>
        <v/>
      </c>
      <c r="C12" s="44" t="str">
        <f>IFERROR(INDEX(Tasks!$H$2:$H$1500,MATCH(SMALL(Tasks!$W$2:$W$1500,5),Tasks!$W$2:$W$1500,0))&amp;"","")</f>
        <v/>
      </c>
      <c r="D12" s="44" t="str">
        <f>IFERROR(INDEX(Tasks!$J$2:$J$1500,MATCH(SMALL(Tasks!$W$2:$W$1500,5),Tasks!$W$2:$W$1500,0))&amp;"","")</f>
        <v/>
      </c>
      <c r="E12" s="45" t="str">
        <f>IFERROR(INDEX(Tasks!$K$2:$K$1500,MATCH(SMALL(Tasks!$W$2:$W$1500,5),Tasks!$W$2:$W$1500,0)),"")</f>
        <v/>
      </c>
      <c r="F12" s="46" t="str">
        <f>IFERROR(INDEX(Tasks!$M$2:$M$1500,MATCH(SMALL(Tasks!$W$2:$W$1500,5),Tasks!$W$2:$W$1500,0)),"")</f>
        <v/>
      </c>
    </row>
    <row r="13" spans="1:14" ht="25" x14ac:dyDescent="0.7">
      <c r="H13" s="42" t="s">
        <v>168</v>
      </c>
      <c r="I13" s="34"/>
      <c r="J13" s="34"/>
      <c r="K13" s="34"/>
      <c r="L13" s="36"/>
    </row>
    <row r="14" spans="1:14" ht="32" customHeight="1" x14ac:dyDescent="0.7">
      <c r="A14" s="42" t="s">
        <v>169</v>
      </c>
      <c r="B14" s="36"/>
      <c r="H14" s="1" t="s">
        <v>31</v>
      </c>
      <c r="I14" s="1" t="s">
        <v>6</v>
      </c>
      <c r="J14" s="1" t="s">
        <v>33</v>
      </c>
      <c r="K14" s="1" t="s">
        <v>17</v>
      </c>
      <c r="L14" s="1" t="s">
        <v>16</v>
      </c>
    </row>
    <row r="15" spans="1:14" ht="32" customHeight="1" x14ac:dyDescent="0.5">
      <c r="A15" s="1" t="s">
        <v>170</v>
      </c>
      <c r="B15" s="1" t="s">
        <v>171</v>
      </c>
      <c r="H15" s="47" t="str">
        <f ca="1">IFERROR(INDEX(Campaigns!$C$3:$C$202,MATCH(SMALL(Campaigns!$AB$3:$AB$202,1),Campaigns!$AB$3:$AB$202,0)),"No campaigns in the next 7 days")</f>
        <v>No campaigns in the next 7 days</v>
      </c>
      <c r="I15" s="45" t="str">
        <f ca="1">IFERROR(INDEX(Campaigns!$E$3:$E$202,MATCH(SMALL(Campaigns!$AB$3:$AB$202,1),Campaigns!$AB$3:$AB$202,0)),"")</f>
        <v/>
      </c>
      <c r="J15" s="45" t="str">
        <f ca="1">IFERROR(INDEX(Campaigns!$F$3:$F$202,MATCH(SMALL(Campaigns!$AB$3:$AB$202,1),Campaigns!$AB$3:$AB$202,0)),"")</f>
        <v/>
      </c>
      <c r="K15" s="46" t="str">
        <f ca="1">IFERROR(INDEX(Campaigns!$AA$3:$AA$202,MATCH(SMALL(Campaigns!$AB$3:$AB$202,1),Campaigns!$AB$3:$AB$202,0)),"")</f>
        <v/>
      </c>
      <c r="L15" s="44" t="str">
        <f ca="1">IFERROR(INDEX(Campaigns!$G$3:$G$202,MATCH(SMALL(Campaigns!$AB$3:$AB$202,1),Campaigns!$AB$3:$AB$202,0)),"")</f>
        <v/>
      </c>
    </row>
    <row r="16" spans="1:14" ht="14.5" x14ac:dyDescent="0.35">
      <c r="A16" s="44" t="s">
        <v>172</v>
      </c>
      <c r="B16" s="43">
        <f ca="1">COUNTIFS(ArchiveTable[Completed At],"&gt;="&amp;DATE(YEAR(TODAY()),1,1),ArchiveTable[Completed At],"&lt;"&amp;DATE(YEAR(TODAY()),2,1),ArchiveTable[RowType],"Completed")</f>
        <v>0</v>
      </c>
      <c r="H16" s="44" t="str">
        <f ca="1">IFERROR(INDEX(Campaigns!$C$3:$C$202,MATCH(SMALL(Campaigns!$AB$3:$AB$202,2),Campaigns!$AB$3:$AB$202,0)),"")</f>
        <v/>
      </c>
      <c r="I16" s="45" t="str">
        <f ca="1">IFERROR(INDEX(Campaigns!$E$3:$E$202,MATCH(SMALL(Campaigns!$AB$3:$AB$202,2),Campaigns!$AB$3:$AB$202,0)),"")</f>
        <v/>
      </c>
      <c r="J16" s="45" t="str">
        <f ca="1">IFERROR(INDEX(Campaigns!$F$3:$F$202,MATCH(SMALL(Campaigns!$AB$3:$AB$202,2),Campaigns!$AB$3:$AB$202,0)),"")</f>
        <v/>
      </c>
      <c r="K16" s="46" t="str">
        <f ca="1">IFERROR(INDEX(Campaigns!$AA$3:$AA$202,MATCH(SMALL(Campaigns!$AB$3:$AB$202,2),Campaigns!$AB$3:$AB$202,0)),"")</f>
        <v/>
      </c>
      <c r="L16" s="44" t="str">
        <f ca="1">IFERROR(INDEX(Campaigns!$G$3:$G$202,MATCH(SMALL(Campaigns!$AB$3:$AB$202,2),Campaigns!$AB$3:$AB$202,0)),"")</f>
        <v/>
      </c>
    </row>
    <row r="17" spans="1:12" ht="14.5" x14ac:dyDescent="0.35">
      <c r="A17" s="44" t="s">
        <v>173</v>
      </c>
      <c r="B17" s="43">
        <f ca="1">COUNTIFS(ArchiveTable[Completed At],"&gt;="&amp;DATE(YEAR(TODAY()),2,1),ArchiveTable[Completed At],"&lt;"&amp;DATE(YEAR(TODAY()),3,1),ArchiveTable[RowType],"Completed")</f>
        <v>0</v>
      </c>
      <c r="H17" s="44" t="str">
        <f ca="1">IFERROR(INDEX(Campaigns!$C$3:$C$202,MATCH(SMALL(Campaigns!$AB$3:$AB$202,3),Campaigns!$AB$3:$AB$202,0)),"")</f>
        <v/>
      </c>
      <c r="I17" s="45" t="str">
        <f ca="1">IFERROR(INDEX(Campaigns!$E$3:$E$202,MATCH(SMALL(Campaigns!$AB$3:$AB$202,3),Campaigns!$AB$3:$AB$202,0)),"")</f>
        <v/>
      </c>
      <c r="J17" s="45" t="str">
        <f ca="1">IFERROR(INDEX(Campaigns!$F$3:$F$202,MATCH(SMALL(Campaigns!$AB$3:$AB$202,3),Campaigns!$AB$3:$AB$202,0)),"")</f>
        <v/>
      </c>
      <c r="K17" s="46" t="str">
        <f ca="1">IFERROR(INDEX(Campaigns!$AA$3:$AA$202,MATCH(SMALL(Campaigns!$AB$3:$AB$202,3),Campaigns!$AB$3:$AB$202,0)),"")</f>
        <v/>
      </c>
      <c r="L17" s="44" t="str">
        <f ca="1">IFERROR(INDEX(Campaigns!$G$3:$G$202,MATCH(SMALL(Campaigns!$AB$3:$AB$202,3),Campaigns!$AB$3:$AB$202,0)),"")</f>
        <v/>
      </c>
    </row>
    <row r="18" spans="1:12" ht="14.5" x14ac:dyDescent="0.35">
      <c r="A18" s="44" t="s">
        <v>174</v>
      </c>
      <c r="B18" s="43">
        <f ca="1">COUNTIFS(ArchiveTable[Completed At],"&gt;="&amp;DATE(YEAR(TODAY()),3,1),ArchiveTable[Completed At],"&lt;"&amp;DATE(YEAR(TODAY()),4,1),ArchiveTable[RowType],"Completed")</f>
        <v>0</v>
      </c>
      <c r="H18" s="44" t="str">
        <f ca="1">IFERROR(INDEX(Campaigns!$C$3:$C$202,MATCH(SMALL(Campaigns!$AB$3:$AB$202,4),Campaigns!$AB$3:$AB$202,0)),"")</f>
        <v/>
      </c>
      <c r="I18" s="45" t="str">
        <f ca="1">IFERROR(INDEX(Campaigns!$E$3:$E$202,MATCH(SMALL(Campaigns!$AB$3:$AB$202,4),Campaigns!$AB$3:$AB$202,0)),"")</f>
        <v/>
      </c>
      <c r="J18" s="45" t="str">
        <f ca="1">IFERROR(INDEX(Campaigns!$F$3:$F$202,MATCH(SMALL(Campaigns!$AB$3:$AB$202,4),Campaigns!$AB$3:$AB$202,0)),"")</f>
        <v/>
      </c>
      <c r="K18" s="46" t="str">
        <f ca="1">IFERROR(INDEX(Campaigns!$AA$3:$AA$202,MATCH(SMALL(Campaigns!$AB$3:$AB$202,4),Campaigns!$AB$3:$AB$202,0)),"")</f>
        <v/>
      </c>
      <c r="L18" s="44" t="str">
        <f ca="1">IFERROR(INDEX(Campaigns!$G$3:$G$202,MATCH(SMALL(Campaigns!$AB$3:$AB$202,4),Campaigns!$AB$3:$AB$202,0)),"")</f>
        <v/>
      </c>
    </row>
    <row r="19" spans="1:12" ht="14.5" x14ac:dyDescent="0.35">
      <c r="A19" s="44" t="s">
        <v>175</v>
      </c>
      <c r="B19" s="43">
        <f ca="1">COUNTIFS(ArchiveTable[Completed At],"&gt;="&amp;DATE(YEAR(TODAY()),4,1),ArchiveTable[Completed At],"&lt;"&amp;DATE(YEAR(TODAY()),5,1),ArchiveTable[RowType],"Completed")</f>
        <v>0</v>
      </c>
      <c r="H19" s="44" t="str">
        <f ca="1">IFERROR(INDEX(Campaigns!$C$3:$C$202,MATCH(SMALL(Campaigns!$AB$3:$AB$202,5),Campaigns!$AB$3:$AB$202,0)),"")</f>
        <v/>
      </c>
      <c r="I19" s="45" t="str">
        <f ca="1">IFERROR(INDEX(Campaigns!$E$3:$E$202,MATCH(SMALL(Campaigns!$AB$3:$AB$202,5),Campaigns!$AB$3:$AB$202,0)),"")</f>
        <v/>
      </c>
      <c r="J19" s="45" t="str">
        <f ca="1">IFERROR(INDEX(Campaigns!$F$3:$F$202,MATCH(SMALL(Campaigns!$AB$3:$AB$202,5),Campaigns!$AB$3:$AB$202,0)),"")</f>
        <v/>
      </c>
      <c r="K19" s="46" t="str">
        <f ca="1">IFERROR(INDEX(Campaigns!$AA$3:$AA$202,MATCH(SMALL(Campaigns!$AB$3:$AB$202,5),Campaigns!$AB$3:$AB$202,0)),"")</f>
        <v/>
      </c>
      <c r="L19" s="44" t="str">
        <f ca="1">IFERROR(INDEX(Campaigns!$G$3:$G$202,MATCH(SMALL(Campaigns!$AB$3:$AB$202,5),Campaigns!$AB$3:$AB$202,0)),"")</f>
        <v/>
      </c>
    </row>
    <row r="20" spans="1:12" ht="14.5" x14ac:dyDescent="0.35">
      <c r="A20" s="44" t="s">
        <v>176</v>
      </c>
      <c r="B20" s="43">
        <f ca="1">COUNTIFS(ArchiveTable[Completed At],"&gt;="&amp;DATE(YEAR(TODAY()),5,1),ArchiveTable[Completed At],"&lt;"&amp;DATE(YEAR(TODAY()),6,1),ArchiveTable[RowType],"Completed")</f>
        <v>0</v>
      </c>
      <c r="H20" s="44" t="str">
        <f ca="1">IFERROR(INDEX(Campaigns!$C$3:$C$202,MATCH(SMALL(Campaigns!$AB$3:$AB$202,6),Campaigns!$AB$3:$AB$202,0)),"")</f>
        <v/>
      </c>
      <c r="I20" s="45" t="str">
        <f ca="1">IFERROR(INDEX(Campaigns!$E$3:$E$202,MATCH(SMALL(Campaigns!$AB$3:$AB$202,6),Campaigns!$AB$3:$AB$202,0)),"")</f>
        <v/>
      </c>
      <c r="J20" s="45" t="str">
        <f ca="1">IFERROR(INDEX(Campaigns!$F$3:$F$202,MATCH(SMALL(Campaigns!$AB$3:$AB$202,6),Campaigns!$AB$3:$AB$202,0)),"")</f>
        <v/>
      </c>
      <c r="K20" s="46" t="str">
        <f ca="1">IFERROR(INDEX(Campaigns!$AA$3:$AA$202,MATCH(SMALL(Campaigns!$AB$3:$AB$202,6),Campaigns!$AB$3:$AB$202,0)),"")</f>
        <v/>
      </c>
      <c r="L20" s="44" t="str">
        <f ca="1">IFERROR(INDEX(Campaigns!$G$3:$G$202,MATCH(SMALL(Campaigns!$AB$3:$AB$202,6),Campaigns!$AB$3:$AB$202,0)),"")</f>
        <v/>
      </c>
    </row>
    <row r="21" spans="1:12" ht="14.5" x14ac:dyDescent="0.35">
      <c r="A21" s="44" t="s">
        <v>177</v>
      </c>
      <c r="B21" s="43">
        <f ca="1">COUNTIFS(ArchiveTable[Completed At],"&gt;="&amp;DATE(YEAR(TODAY()),6,1),ArchiveTable[Completed At],"&lt;"&amp;DATE(YEAR(TODAY()),7,1),ArchiveTable[RowType],"Completed")</f>
        <v>0</v>
      </c>
      <c r="H21" s="44" t="str">
        <f ca="1">IFERROR(INDEX(Campaigns!$C$3:$C$202,MATCH(SMALL(Campaigns!$AB$3:$AB$202,7),Campaigns!$AB$3:$AB$202,0)),"")</f>
        <v/>
      </c>
      <c r="I21" s="45" t="str">
        <f ca="1">IFERROR(INDEX(Campaigns!$E$3:$E$202,MATCH(SMALL(Campaigns!$AB$3:$AB$202,7),Campaigns!$AB$3:$AB$202,0)),"")</f>
        <v/>
      </c>
      <c r="J21" s="45" t="str">
        <f ca="1">IFERROR(INDEX(Campaigns!$F$3:$F$202,MATCH(SMALL(Campaigns!$AB$3:$AB$202,7),Campaigns!$AB$3:$AB$202,0)),"")</f>
        <v/>
      </c>
      <c r="K21" s="46" t="str">
        <f ca="1">IFERROR(INDEX(Campaigns!$AA$3:$AA$202,MATCH(SMALL(Campaigns!$AB$3:$AB$202,7),Campaigns!$AB$3:$AB$202,0)),"")</f>
        <v/>
      </c>
      <c r="L21" s="44" t="str">
        <f ca="1">IFERROR(INDEX(Campaigns!$G$3:$G$202,MATCH(SMALL(Campaigns!$AB$3:$AB$202,7),Campaigns!$AB$3:$AB$202,0)),"")</f>
        <v/>
      </c>
    </row>
    <row r="22" spans="1:12" ht="14.5" x14ac:dyDescent="0.35">
      <c r="A22" s="44" t="s">
        <v>178</v>
      </c>
      <c r="B22" s="43">
        <f ca="1">COUNTIFS(ArchiveTable[Completed At],"&gt;="&amp;DATE(YEAR(TODAY()),7,1),ArchiveTable[Completed At],"&lt;"&amp;DATE(YEAR(TODAY()),8,1),ArchiveTable[RowType],"Completed")</f>
        <v>0</v>
      </c>
      <c r="H22" s="44" t="str">
        <f ca="1">IFERROR(INDEX(Campaigns!$C$3:$C$202,MATCH(SMALL(Campaigns!$AB$3:$AB$202,8),Campaigns!$AB$3:$AB$202,0)),"")</f>
        <v/>
      </c>
      <c r="I22" s="45" t="str">
        <f ca="1">IFERROR(INDEX(Campaigns!$E$3:$E$202,MATCH(SMALL(Campaigns!$AB$3:$AB$202,8),Campaigns!$AB$3:$AB$202,0)),"")</f>
        <v/>
      </c>
      <c r="J22" s="45" t="str">
        <f ca="1">IFERROR(INDEX(Campaigns!$F$3:$F$202,MATCH(SMALL(Campaigns!$AB$3:$AB$202,8),Campaigns!$AB$3:$AB$202,0)),"")</f>
        <v/>
      </c>
      <c r="K22" s="46" t="str">
        <f ca="1">IFERROR(INDEX(Campaigns!$AA$3:$AA$202,MATCH(SMALL(Campaigns!$AB$3:$AB$202,8),Campaigns!$AB$3:$AB$202,0)),"")</f>
        <v/>
      </c>
      <c r="L22" s="44" t="str">
        <f ca="1">IFERROR(INDEX(Campaigns!$G$3:$G$202,MATCH(SMALL(Campaigns!$AB$3:$AB$202,8),Campaigns!$AB$3:$AB$202,0)),"")</f>
        <v/>
      </c>
    </row>
    <row r="23" spans="1:12" ht="14.5" x14ac:dyDescent="0.35">
      <c r="A23" s="44" t="s">
        <v>179</v>
      </c>
      <c r="B23" s="43">
        <f ca="1">COUNTIFS(ArchiveTable[Completed At],"&gt;="&amp;DATE(YEAR(TODAY()),8,1),ArchiveTable[Completed At],"&lt;"&amp;DATE(YEAR(TODAY()),9,1),ArchiveTable[RowType],"Completed")</f>
        <v>0</v>
      </c>
      <c r="H23" s="44" t="str">
        <f ca="1">IFERROR(INDEX(Campaigns!$C$3:$C$202,MATCH(SMALL(Campaigns!$AB$3:$AB$202,9),Campaigns!$AB$3:$AB$202,0)),"")</f>
        <v/>
      </c>
      <c r="I23" s="45" t="str">
        <f ca="1">IFERROR(INDEX(Campaigns!$E$3:$E$202,MATCH(SMALL(Campaigns!$AB$3:$AB$202,9),Campaigns!$AB$3:$AB$202,0)),"")</f>
        <v/>
      </c>
      <c r="J23" s="45" t="str">
        <f ca="1">IFERROR(INDEX(Campaigns!$F$3:$F$202,MATCH(SMALL(Campaigns!$AB$3:$AB$202,9),Campaigns!$AB$3:$AB$202,0)),"")</f>
        <v/>
      </c>
      <c r="K23" s="46" t="str">
        <f ca="1">IFERROR(INDEX(Campaigns!$AA$3:$AA$202,MATCH(SMALL(Campaigns!$AB$3:$AB$202,9),Campaigns!$AB$3:$AB$202,0)),"")</f>
        <v/>
      </c>
      <c r="L23" s="44" t="str">
        <f ca="1">IFERROR(INDEX(Campaigns!$G$3:$G$202,MATCH(SMALL(Campaigns!$AB$3:$AB$202,9),Campaigns!$AB$3:$AB$202,0)),"")</f>
        <v/>
      </c>
    </row>
    <row r="24" spans="1:12" ht="14.5" x14ac:dyDescent="0.35">
      <c r="A24" s="44" t="s">
        <v>180</v>
      </c>
      <c r="B24" s="43">
        <f ca="1">COUNTIFS(ArchiveTable[Completed At],"&gt;="&amp;DATE(YEAR(TODAY()),9,1),ArchiveTable[Completed At],"&lt;"&amp;DATE(YEAR(TODAY()),10,1),ArchiveTable[RowType],"Completed")</f>
        <v>0</v>
      </c>
      <c r="H24" s="44" t="str">
        <f ca="1">IFERROR(INDEX(Campaigns!$C$3:$C$202,MATCH(SMALL(Campaigns!$AB$3:$AB$202,10),Campaigns!$AB$3:$AB$202,0)),"")</f>
        <v/>
      </c>
      <c r="I24" s="45" t="str">
        <f ca="1">IFERROR(INDEX(Campaigns!$E$3:$E$202,MATCH(SMALL(Campaigns!$AB$3:$AB$202,10),Campaigns!$AB$3:$AB$202,0)),"")</f>
        <v/>
      </c>
      <c r="J24" s="45" t="str">
        <f ca="1">IFERROR(INDEX(Campaigns!$F$3:$F$202,MATCH(SMALL(Campaigns!$AB$3:$AB$202,10),Campaigns!$AB$3:$AB$202,0)),"")</f>
        <v/>
      </c>
      <c r="K24" s="46" t="str">
        <f ca="1">IFERROR(INDEX(Campaigns!$AA$3:$AA$202,MATCH(SMALL(Campaigns!$AB$3:$AB$202,10),Campaigns!$AB$3:$AB$202,0)),"")</f>
        <v/>
      </c>
      <c r="L24" s="44" t="str">
        <f ca="1">IFERROR(INDEX(Campaigns!$G$3:$G$202,MATCH(SMALL(Campaigns!$AB$3:$AB$202,10),Campaigns!$AB$3:$AB$202,0)),"")</f>
        <v/>
      </c>
    </row>
    <row r="25" spans="1:12" ht="14.5" x14ac:dyDescent="0.35">
      <c r="A25" s="44" t="s">
        <v>181</v>
      </c>
      <c r="B25" s="43">
        <f ca="1">COUNTIFS(ArchiveTable[Completed At],"&gt;="&amp;DATE(YEAR(TODAY()),10,1),ArchiveTable[Completed At],"&lt;"&amp;DATE(YEAR(TODAY()),11,1),ArchiveTable[RowType],"Completed")</f>
        <v>0</v>
      </c>
    </row>
    <row r="26" spans="1:12" ht="14.5" x14ac:dyDescent="0.35">
      <c r="A26" s="44" t="s">
        <v>182</v>
      </c>
      <c r="B26" s="43">
        <f ca="1">COUNTIFS(ArchiveTable[Completed At],"&gt;="&amp;DATE(YEAR(TODAY()),11,1),ArchiveTable[Completed At],"&lt;"&amp;DATE(YEAR(TODAY()),12,1),ArchiveTable[RowType],"Completed")</f>
        <v>0</v>
      </c>
    </row>
    <row r="27" spans="1:12" ht="14.5" x14ac:dyDescent="0.35">
      <c r="A27" s="44" t="s">
        <v>183</v>
      </c>
      <c r="B27" s="43">
        <f ca="1">COUNTIFS(ArchiveTable[Completed At],"&gt;="&amp;DATE(YEAR(TODAY()),12,1),ArchiveTable[Completed At],"&lt;"&amp;DATE(YEAR(TODAY())+1,1,1),ArchiveTable[RowType],"Completed")</f>
        <v>0</v>
      </c>
    </row>
    <row r="29" spans="1:12" ht="25" x14ac:dyDescent="0.7">
      <c r="H29" s="42" t="s">
        <v>184</v>
      </c>
      <c r="I29" s="36"/>
    </row>
    <row r="30" spans="1:12" ht="32" customHeight="1" x14ac:dyDescent="0.35">
      <c r="H30" s="1" t="s">
        <v>185</v>
      </c>
      <c r="I30" s="1" t="s">
        <v>186</v>
      </c>
    </row>
    <row r="31" spans="1:12" ht="14.5" x14ac:dyDescent="0.35">
      <c r="H31" s="44" t="s">
        <v>187</v>
      </c>
      <c r="I31" s="43">
        <f>COUNTIFS(Campaigns!$G$3:$G$202,"Active")</f>
        <v>0</v>
      </c>
    </row>
    <row r="32" spans="1:12" ht="14.5" x14ac:dyDescent="0.35">
      <c r="H32" s="44" t="s">
        <v>188</v>
      </c>
      <c r="I32" s="43">
        <f>COUNTIFS(Campaigns!$G$3:$G$202,"Planned")</f>
        <v>0</v>
      </c>
    </row>
    <row r="33" spans="8:9" ht="14.5" x14ac:dyDescent="0.35">
      <c r="H33" s="44" t="s">
        <v>189</v>
      </c>
      <c r="I33" s="43">
        <f>COUNTA(CampaignsArchiveTable[Campaign Name])</f>
        <v>0</v>
      </c>
    </row>
    <row r="34" spans="8:9" ht="14.5" x14ac:dyDescent="0.35">
      <c r="H34" s="44" t="s">
        <v>190</v>
      </c>
      <c r="I34" s="48" t="e">
        <f>TotalPlannedBudgetEUR</f>
        <v>#NAME?</v>
      </c>
    </row>
    <row r="35" spans="8:9" ht="14.5" x14ac:dyDescent="0.35">
      <c r="H35" s="44" t="s">
        <v>191</v>
      </c>
      <c r="I35" s="49" t="e">
        <f>TotalPlannedBudgetUSD</f>
        <v>#NAME?</v>
      </c>
    </row>
  </sheetData>
  <mergeCells count="11">
    <mergeCell ref="A4:B4"/>
    <mergeCell ref="M2:N3"/>
    <mergeCell ref="A2:B3"/>
    <mergeCell ref="D1:E1"/>
    <mergeCell ref="D2:E3"/>
    <mergeCell ref="G1:H1"/>
    <mergeCell ref="G2:H3"/>
    <mergeCell ref="J2:K3"/>
    <mergeCell ref="J1:K1"/>
    <mergeCell ref="A1:B1"/>
    <mergeCell ref="M1:N1"/>
  </mergeCells>
  <conditionalFormatting sqref="A16:B27">
    <cfRule type="expression" dxfId="9" priority="7">
      <formula>MOD(ROW()-16,2)=0</formula>
    </cfRule>
  </conditionalFormatting>
  <conditionalFormatting sqref="A8:F12">
    <cfRule type="expression" dxfId="8" priority="3">
      <formula>AND(ISNUMBER($F8),$F8&lt;0)</formula>
    </cfRule>
    <cfRule type="expression" dxfId="7" priority="4">
      <formula>AND(ISNUMBER($F8),$F8=0)</formula>
    </cfRule>
    <cfRule type="expression" dxfId="6" priority="5">
      <formula>AND(ISNUMBER($F8),$F8&gt;0,$F8&lt;=2)</formula>
    </cfRule>
    <cfRule type="expression" dxfId="5" priority="6">
      <formula>MOD(ROW()-8,2)=0</formula>
    </cfRule>
  </conditionalFormatting>
  <conditionalFormatting sqref="G2:H3">
    <cfRule type="expression" dxfId="4" priority="1">
      <formula>$G$2&gt;0</formula>
    </cfRule>
  </conditionalFormatting>
  <conditionalFormatting sqref="H8:I9">
    <cfRule type="expression" dxfId="3" priority="8">
      <formula>MOD(ROW()-8,2)=0</formula>
    </cfRule>
  </conditionalFormatting>
  <conditionalFormatting sqref="H31:I35">
    <cfRule type="expression" dxfId="2" priority="10">
      <formula>MOD(ROW()-31,2)=0</formula>
    </cfRule>
  </conditionalFormatting>
  <conditionalFormatting sqref="H15:L24">
    <cfRule type="expression" dxfId="1" priority="9">
      <formula>MOD(ROW()-15,2)=0</formula>
    </cfRule>
  </conditionalFormatting>
  <conditionalFormatting sqref="J1:K1">
    <cfRule type="expression" dxfId="0" priority="2">
      <formula>AND(ISNUMBER($J$2),$J$2&lt;=2)</formula>
    </cfRule>
  </conditionalFormatting>
  <pageMargins left="0.75" right="0.75" top="1" bottom="1" header="0.5" footer="0.5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13</vt:i4>
      </vt:variant>
      <vt:variant>
        <vt:lpstr>Наименувани диапазони</vt:lpstr>
      </vt:variant>
      <vt:variant>
        <vt:i4>18</vt:i4>
      </vt:variant>
    </vt:vector>
  </HeadingPairs>
  <TitlesOfParts>
    <vt:vector size="31" baseType="lpstr">
      <vt:lpstr>PIC List</vt:lpstr>
      <vt:lpstr>Tasks</vt:lpstr>
      <vt:lpstr>Archive</vt:lpstr>
      <vt:lpstr>Campaigns</vt:lpstr>
      <vt:lpstr>Campaigns Archive</vt:lpstr>
      <vt:lpstr>Recurring Tasks</vt:lpstr>
      <vt:lpstr>Calendar</vt:lpstr>
      <vt:lpstr>Schedule Data</vt:lpstr>
      <vt:lpstr>Schedule</vt:lpstr>
      <vt:lpstr>Login Information</vt:lpstr>
      <vt:lpstr>Quick Links</vt:lpstr>
      <vt:lpstr>Instructions</vt:lpstr>
      <vt:lpstr>Dashboard</vt:lpstr>
      <vt:lpstr>DayNumberList</vt:lpstr>
      <vt:lpstr>HandoffKey</vt:lpstr>
      <vt:lpstr>HandoffKeyColumn</vt:lpstr>
      <vt:lpstr>HandoffOriginSheet</vt:lpstr>
      <vt:lpstr>HandoffTargetColumn</vt:lpstr>
      <vt:lpstr>ReminderCount</vt:lpstr>
      <vt:lpstr>ReminderFirstOffset</vt:lpstr>
      <vt:lpstr>ReminderInterval</vt:lpstr>
      <vt:lpstr>ScheduleMonth</vt:lpstr>
      <vt:lpstr>ScheduleYear</vt:lpstr>
      <vt:lpstr>SelectedDate</vt:lpstr>
      <vt:lpstr>SelectedDateTime</vt:lpstr>
      <vt:lpstr>SelectedHour</vt:lpstr>
      <vt:lpstr>SelectedMinute</vt:lpstr>
      <vt:lpstr>SelectedMonth</vt:lpstr>
      <vt:lpstr>SelectedYear</vt:lpstr>
      <vt:lpstr>TimeList</vt:lpstr>
      <vt:lpstr>WeekdayList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Toni Totov</cp:lastModifiedBy>
  <dcterms:created xsi:type="dcterms:W3CDTF">2026-10-16T19:37:05Z</dcterms:created>
  <dcterms:modified xsi:type="dcterms:W3CDTF">2026-10-16T19:37:08Z</dcterms:modified>
</cp:coreProperties>
</file>