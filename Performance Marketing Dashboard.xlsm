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Тази_работна_книга"/>
  <mc:AlternateContent xmlns:mc="http://schemas.openxmlformats.org/markup-compatibility/2006">
    <mc:Choice Requires="x15">
      <x15ac:absPath xmlns:x15ac="http://schemas.microsoft.com/office/spreadsheetml/2010/11/ac" url="D:\Creative\Creations\Automated Excel Dashboard for Performance Marketing\"/>
    </mc:Choice>
  </mc:AlternateContent>
  <xr:revisionPtr revIDLastSave="0" documentId="8_{FD1AAC77-0B12-4CF2-BA84-C2E1266DE1F7}" xr6:coauthVersionLast="47" xr6:coauthVersionMax="47" xr10:uidLastSave="{00000000-0000-0000-0000-000000000000}"/>
  <bookViews>
    <workbookView xWindow="-110" yWindow="-110" windowWidth="25820" windowHeight="13900" firstSheet="1" activeTab="1" xr2:uid="{00000000-000D-0000-FFFF-FFFF00000000}"/>
  </bookViews>
  <sheets>
    <sheet name="Time Log" sheetId="1" state="veryHidden" r:id="rId1"/>
    <sheet name="Tasks" sheetId="2" r:id="rId2"/>
    <sheet name="Archive" sheetId="3" r:id="rId3"/>
    <sheet name="Campaigns" sheetId="4" r:id="rId4"/>
    <sheet name="Campaigns Archive" sheetId="5" r:id="rId5"/>
    <sheet name="Recurring Tasks" sheetId="6" r:id="rId6"/>
    <sheet name="Calendar" sheetId="7" r:id="rId7"/>
    <sheet name="Monthly Media Plan" sheetId="8" r:id="rId8"/>
    <sheet name="Schedule Data" sheetId="9" r:id="rId9"/>
    <sheet name="Schedule" sheetId="10" r:id="rId10"/>
    <sheet name="Login Information" sheetId="11" r:id="rId11"/>
    <sheet name="Quick Links" sheetId="12" r:id="rId12"/>
    <sheet name="Instructions" sheetId="13" r:id="rId13"/>
    <sheet name="Dashboard" sheetId="14" r:id="rId14"/>
  </sheets>
  <functionGroups builtInGroupCount="19"/>
  <definedNames>
    <definedName name="CampaignNameList">OFFSET(Campaigns!$Z$3,0,0,COUNTA(Campaigns!$Z$3:$Z$23),1)</definedName>
    <definedName name="DayNumberList">'Recurring Tasks'!$W$1:$W$31</definedName>
    <definedName name="HandoffKey">Calendar!$Z$2</definedName>
    <definedName name="HandoffKeyColumn">Calendar!$Z$3</definedName>
    <definedName name="HandoffOriginSheet">Calendar!$Z$1</definedName>
    <definedName name="HandoffTargetColumn">Calendar!$Z$4</definedName>
    <definedName name="MonthlyExchangeRate">'Monthly Media Plan'!$P$3</definedName>
    <definedName name="PlanMonth">'Monthly Media Plan'!$P$2</definedName>
    <definedName name="PlanYear">'Monthly Media Plan'!$P$1</definedName>
    <definedName name="ReminderCount">Schedule!$J$4</definedName>
    <definedName name="ReminderFirstOffset">Schedule!$J$3</definedName>
    <definedName name="ReminderInterval">Schedule!$J$5</definedName>
    <definedName name="ScheduleMonth">Schedule!$J$2</definedName>
    <definedName name="ScheduleYear">Schedule!$J$1</definedName>
    <definedName name="SelectedDate">Calendar!$J$3</definedName>
    <definedName name="SelectedDateTime">Calendar!$J$4</definedName>
    <definedName name="SelectedHour">Calendar!$B$10</definedName>
    <definedName name="SelectedMinute">Calendar!$D$10</definedName>
    <definedName name="SelectedMonth">Calendar!$J$2</definedName>
    <definedName name="SelectedYear">Calendar!$J$1</definedName>
    <definedName name="TotalPlannedBudgetEUR">'Monthly Media Plan'!$D$2</definedName>
    <definedName name="TotalPlannedBudgetUSD">'Monthly Media Plan'!$G$2</definedName>
    <definedName name="WeekdayList">'Recurring Tasks'!$V$1:$V$7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0" i="14" l="1"/>
  <c r="D27" i="14"/>
  <c r="C27" i="14"/>
  <c r="B27" i="14"/>
  <c r="D26" i="14"/>
  <c r="C26" i="14"/>
  <c r="B26" i="14"/>
  <c r="D25" i="14"/>
  <c r="C25" i="14"/>
  <c r="B25" i="14"/>
  <c r="D24" i="14"/>
  <c r="C24" i="14"/>
  <c r="B24" i="14"/>
  <c r="D23" i="14"/>
  <c r="C23" i="14"/>
  <c r="B23" i="14"/>
  <c r="D22" i="14"/>
  <c r="C22" i="14"/>
  <c r="B22" i="14"/>
  <c r="D21" i="14"/>
  <c r="C21" i="14"/>
  <c r="B21" i="14"/>
  <c r="D20" i="14"/>
  <c r="C20" i="14"/>
  <c r="B20" i="14"/>
  <c r="D19" i="14"/>
  <c r="C19" i="14"/>
  <c r="B19" i="14"/>
  <c r="D18" i="14"/>
  <c r="C18" i="14"/>
  <c r="B18" i="14"/>
  <c r="D17" i="14"/>
  <c r="C17" i="14"/>
  <c r="B17" i="14"/>
  <c r="D16" i="14"/>
  <c r="C16" i="14"/>
  <c r="B16" i="14"/>
  <c r="I11" i="14"/>
  <c r="I10" i="14"/>
  <c r="I9" i="14"/>
  <c r="I8" i="14"/>
  <c r="G2" i="14"/>
  <c r="D2" i="14"/>
  <c r="A2" i="14"/>
  <c r="B13" i="10"/>
  <c r="B14" i="10" s="1"/>
  <c r="G11" i="10"/>
  <c r="G12" i="10" s="1"/>
  <c r="G9" i="10"/>
  <c r="G10" i="10" s="1"/>
  <c r="D9" i="10"/>
  <c r="D10" i="10" s="1"/>
  <c r="A9" i="10"/>
  <c r="A10" i="10" s="1"/>
  <c r="J8" i="10"/>
  <c r="E13" i="10" s="1"/>
  <c r="E14" i="10" s="1"/>
  <c r="E7" i="10"/>
  <c r="E8" i="10" s="1"/>
  <c r="B7" i="10"/>
  <c r="B8" i="10" s="1"/>
  <c r="C4" i="10"/>
  <c r="G3" i="10"/>
  <c r="G4" i="10" s="1"/>
  <c r="D3" i="10"/>
  <c r="D4" i="10" s="1"/>
  <c r="C3" i="10"/>
  <c r="B1" i="10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G2" i="8" s="1"/>
  <c r="I32" i="14" s="1"/>
  <c r="M6" i="8"/>
  <c r="J6" i="8"/>
  <c r="O5" i="8"/>
  <c r="O6" i="8" s="1"/>
  <c r="M5" i="8"/>
  <c r="L5" i="8"/>
  <c r="L6" i="8" s="1"/>
  <c r="K5" i="8"/>
  <c r="K6" i="8" s="1"/>
  <c r="J5" i="8"/>
  <c r="A5" i="8"/>
  <c r="N5" i="8" s="1"/>
  <c r="N6" i="8" s="1"/>
  <c r="C4" i="8"/>
  <c r="D2" i="8"/>
  <c r="I31" i="14" s="1"/>
  <c r="A2" i="8"/>
  <c r="A11" i="7"/>
  <c r="G8" i="7"/>
  <c r="F8" i="7"/>
  <c r="D8" i="7"/>
  <c r="C8" i="7"/>
  <c r="B8" i="7"/>
  <c r="G7" i="7"/>
  <c r="F7" i="7"/>
  <c r="D7" i="7"/>
  <c r="C7" i="7"/>
  <c r="B7" i="7"/>
  <c r="A7" i="7"/>
  <c r="J6" i="7"/>
  <c r="G6" i="7" s="1"/>
  <c r="E6" i="7"/>
  <c r="D6" i="7"/>
  <c r="B6" i="7"/>
  <c r="A6" i="7"/>
  <c r="F5" i="7"/>
  <c r="E5" i="7"/>
  <c r="D5" i="7"/>
  <c r="B5" i="7"/>
  <c r="A5" i="7"/>
  <c r="J4" i="7"/>
  <c r="G4" i="7"/>
  <c r="F4" i="7"/>
  <c r="E4" i="7"/>
  <c r="D4" i="7"/>
  <c r="C4" i="7"/>
  <c r="G3" i="7"/>
  <c r="F3" i="7"/>
  <c r="D3" i="7"/>
  <c r="C3" i="7"/>
  <c r="A3" i="7"/>
  <c r="B1" i="7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AB193" i="4"/>
  <c r="AA193" i="4"/>
  <c r="H193" i="4"/>
  <c r="D193" i="4"/>
  <c r="G202" i="4" s="1"/>
  <c r="AA183" i="4"/>
  <c r="AB183" i="4" s="1"/>
  <c r="H183" i="4"/>
  <c r="D183" i="4"/>
  <c r="G192" i="4" s="1"/>
  <c r="AB173" i="4"/>
  <c r="AA173" i="4"/>
  <c r="H173" i="4"/>
  <c r="D173" i="4"/>
  <c r="E182" i="4" s="1"/>
  <c r="AA163" i="4"/>
  <c r="AB163" i="4" s="1"/>
  <c r="H163" i="4"/>
  <c r="D163" i="4"/>
  <c r="E172" i="4" s="1"/>
  <c r="E161" i="4"/>
  <c r="AA153" i="4"/>
  <c r="AB153" i="4" s="1"/>
  <c r="H153" i="4"/>
  <c r="D153" i="4"/>
  <c r="F162" i="4" s="1"/>
  <c r="AB143" i="4"/>
  <c r="AA143" i="4"/>
  <c r="H143" i="4"/>
  <c r="D143" i="4"/>
  <c r="G152" i="4" s="1"/>
  <c r="AA133" i="4"/>
  <c r="AB133" i="4" s="1"/>
  <c r="H133" i="4"/>
  <c r="D133" i="4"/>
  <c r="G142" i="4" s="1"/>
  <c r="AA123" i="4"/>
  <c r="AB123" i="4" s="1"/>
  <c r="H123" i="4"/>
  <c r="D123" i="4"/>
  <c r="E132" i="4" s="1"/>
  <c r="AA113" i="4"/>
  <c r="AB113" i="4" s="1"/>
  <c r="H113" i="4"/>
  <c r="D113" i="4"/>
  <c r="E122" i="4" s="1"/>
  <c r="AB103" i="4"/>
  <c r="AA103" i="4"/>
  <c r="H103" i="4"/>
  <c r="D103" i="4"/>
  <c r="F112" i="4" s="1"/>
  <c r="AB93" i="4"/>
  <c r="AA93" i="4"/>
  <c r="H93" i="4"/>
  <c r="D93" i="4"/>
  <c r="G102" i="4" s="1"/>
  <c r="AA83" i="4"/>
  <c r="AB83" i="4" s="1"/>
  <c r="H83" i="4"/>
  <c r="D83" i="4"/>
  <c r="G92" i="4" s="1"/>
  <c r="AA73" i="4"/>
  <c r="AB73" i="4" s="1"/>
  <c r="H73" i="4"/>
  <c r="D73" i="4"/>
  <c r="E82" i="4" s="1"/>
  <c r="AA63" i="4"/>
  <c r="AB63" i="4" s="1"/>
  <c r="H63" i="4"/>
  <c r="D63" i="4"/>
  <c r="E72" i="4" s="1"/>
  <c r="AA53" i="4"/>
  <c r="AB53" i="4" s="1"/>
  <c r="H53" i="4"/>
  <c r="D53" i="4"/>
  <c r="F62" i="4" s="1"/>
  <c r="AA43" i="4"/>
  <c r="AB43" i="4" s="1"/>
  <c r="H43" i="4"/>
  <c r="D43" i="4"/>
  <c r="G52" i="4" s="1"/>
  <c r="AA33" i="4"/>
  <c r="AB33" i="4" s="1"/>
  <c r="H33" i="4"/>
  <c r="D33" i="4"/>
  <c r="G42" i="4" s="1"/>
  <c r="AB23" i="4"/>
  <c r="AA23" i="4"/>
  <c r="H23" i="4"/>
  <c r="D23" i="4"/>
  <c r="E32" i="4" s="1"/>
  <c r="AA13" i="4"/>
  <c r="AB13" i="4" s="1"/>
  <c r="H13" i="4"/>
  <c r="D13" i="4"/>
  <c r="E22" i="4" s="1"/>
  <c r="AA3" i="4"/>
  <c r="AB3" i="4" s="1"/>
  <c r="H3" i="4"/>
  <c r="D3" i="4"/>
  <c r="F12" i="4" s="1"/>
  <c r="X2" i="4"/>
  <c r="U2" i="4"/>
  <c r="X1" i="4"/>
  <c r="W1" i="4"/>
  <c r="W2" i="4" s="1"/>
  <c r="U1" i="4"/>
  <c r="T1" i="4"/>
  <c r="T2" i="4" s="1"/>
  <c r="S1" i="4"/>
  <c r="S2" i="4" s="1"/>
  <c r="P1" i="4"/>
  <c r="P2" i="4" s="1"/>
  <c r="M1" i="4"/>
  <c r="M2" i="4" s="1"/>
  <c r="L1" i="4"/>
  <c r="L2" i="4" s="1"/>
  <c r="J1" i="4"/>
  <c r="J2" i="4" s="1"/>
  <c r="A1" i="4"/>
  <c r="V1" i="4" s="1"/>
  <c r="V2" i="4" s="1"/>
  <c r="R2" i="3"/>
  <c r="AA501" i="2"/>
  <c r="Z501" i="2"/>
  <c r="Y501" i="2"/>
  <c r="X501" i="2"/>
  <c r="W501" i="2"/>
  <c r="M501" i="2"/>
  <c r="F501" i="2"/>
  <c r="AA500" i="2"/>
  <c r="Z500" i="2"/>
  <c r="Y500" i="2"/>
  <c r="X500" i="2"/>
  <c r="W500" i="2"/>
  <c r="M500" i="2"/>
  <c r="F500" i="2"/>
  <c r="AA499" i="2"/>
  <c r="Z499" i="2"/>
  <c r="Y499" i="2"/>
  <c r="X499" i="2"/>
  <c r="W499" i="2"/>
  <c r="M499" i="2"/>
  <c r="F499" i="2"/>
  <c r="AA498" i="2"/>
  <c r="Z498" i="2"/>
  <c r="Y498" i="2"/>
  <c r="X498" i="2"/>
  <c r="W498" i="2"/>
  <c r="M498" i="2"/>
  <c r="F498" i="2"/>
  <c r="AA497" i="2"/>
  <c r="Z497" i="2"/>
  <c r="Y497" i="2"/>
  <c r="X497" i="2"/>
  <c r="W497" i="2"/>
  <c r="M497" i="2"/>
  <c r="F497" i="2"/>
  <c r="AA496" i="2"/>
  <c r="Z496" i="2"/>
  <c r="Y496" i="2"/>
  <c r="X496" i="2"/>
  <c r="W496" i="2"/>
  <c r="M496" i="2"/>
  <c r="F496" i="2"/>
  <c r="AA495" i="2"/>
  <c r="Z495" i="2"/>
  <c r="Y495" i="2"/>
  <c r="X495" i="2"/>
  <c r="W495" i="2"/>
  <c r="M495" i="2"/>
  <c r="F495" i="2"/>
  <c r="AA494" i="2"/>
  <c r="Z494" i="2"/>
  <c r="Y494" i="2"/>
  <c r="X494" i="2"/>
  <c r="W494" i="2"/>
  <c r="M494" i="2"/>
  <c r="F494" i="2"/>
  <c r="AA493" i="2"/>
  <c r="Z493" i="2"/>
  <c r="Y493" i="2"/>
  <c r="X493" i="2"/>
  <c r="W493" i="2"/>
  <c r="M493" i="2"/>
  <c r="F493" i="2"/>
  <c r="AA492" i="2"/>
  <c r="Z492" i="2"/>
  <c r="Y492" i="2"/>
  <c r="X492" i="2"/>
  <c r="W492" i="2"/>
  <c r="M492" i="2"/>
  <c r="F492" i="2"/>
  <c r="AA491" i="2"/>
  <c r="Z491" i="2"/>
  <c r="Y491" i="2"/>
  <c r="X491" i="2"/>
  <c r="W491" i="2"/>
  <c r="M491" i="2"/>
  <c r="F491" i="2"/>
  <c r="AA490" i="2"/>
  <c r="Z490" i="2"/>
  <c r="Y490" i="2"/>
  <c r="X490" i="2"/>
  <c r="W490" i="2"/>
  <c r="M490" i="2"/>
  <c r="F490" i="2"/>
  <c r="AA489" i="2"/>
  <c r="Z489" i="2"/>
  <c r="Y489" i="2"/>
  <c r="X489" i="2"/>
  <c r="W489" i="2"/>
  <c r="M489" i="2"/>
  <c r="F489" i="2"/>
  <c r="AA488" i="2"/>
  <c r="Z488" i="2"/>
  <c r="Y488" i="2"/>
  <c r="X488" i="2"/>
  <c r="W488" i="2"/>
  <c r="M488" i="2"/>
  <c r="F488" i="2"/>
  <c r="AA487" i="2"/>
  <c r="Z487" i="2"/>
  <c r="Y487" i="2"/>
  <c r="X487" i="2"/>
  <c r="W487" i="2"/>
  <c r="M487" i="2"/>
  <c r="F487" i="2"/>
  <c r="AA486" i="2"/>
  <c r="Z486" i="2"/>
  <c r="Y486" i="2"/>
  <c r="X486" i="2"/>
  <c r="W486" i="2"/>
  <c r="M486" i="2"/>
  <c r="F486" i="2"/>
  <c r="AA485" i="2"/>
  <c r="Z485" i="2"/>
  <c r="Y485" i="2"/>
  <c r="X485" i="2"/>
  <c r="W485" i="2"/>
  <c r="M485" i="2"/>
  <c r="F485" i="2"/>
  <c r="AA484" i="2"/>
  <c r="Z484" i="2"/>
  <c r="Y484" i="2"/>
  <c r="X484" i="2"/>
  <c r="W484" i="2"/>
  <c r="M484" i="2"/>
  <c r="F484" i="2"/>
  <c r="AA483" i="2"/>
  <c r="Z483" i="2"/>
  <c r="Y483" i="2"/>
  <c r="X483" i="2"/>
  <c r="W483" i="2"/>
  <c r="M483" i="2"/>
  <c r="F483" i="2"/>
  <c r="AA482" i="2"/>
  <c r="Z482" i="2"/>
  <c r="Y482" i="2"/>
  <c r="X482" i="2"/>
  <c r="W482" i="2"/>
  <c r="M482" i="2"/>
  <c r="F482" i="2"/>
  <c r="AA481" i="2"/>
  <c r="Z481" i="2"/>
  <c r="Y481" i="2"/>
  <c r="X481" i="2"/>
  <c r="W481" i="2"/>
  <c r="M481" i="2"/>
  <c r="F481" i="2"/>
  <c r="AA480" i="2"/>
  <c r="Z480" i="2"/>
  <c r="Y480" i="2"/>
  <c r="X480" i="2"/>
  <c r="W480" i="2"/>
  <c r="M480" i="2"/>
  <c r="F480" i="2"/>
  <c r="AA479" i="2"/>
  <c r="Z479" i="2"/>
  <c r="Y479" i="2"/>
  <c r="X479" i="2"/>
  <c r="W479" i="2"/>
  <c r="M479" i="2"/>
  <c r="F479" i="2"/>
  <c r="AA478" i="2"/>
  <c r="Z478" i="2"/>
  <c r="Y478" i="2"/>
  <c r="X478" i="2"/>
  <c r="W478" i="2"/>
  <c r="M478" i="2"/>
  <c r="F478" i="2"/>
  <c r="AA477" i="2"/>
  <c r="Z477" i="2"/>
  <c r="Y477" i="2"/>
  <c r="X477" i="2"/>
  <c r="W477" i="2"/>
  <c r="M477" i="2"/>
  <c r="F477" i="2"/>
  <c r="AA476" i="2"/>
  <c r="Z476" i="2"/>
  <c r="Y476" i="2"/>
  <c r="X476" i="2"/>
  <c r="W476" i="2"/>
  <c r="M476" i="2"/>
  <c r="F476" i="2"/>
  <c r="AA475" i="2"/>
  <c r="Z475" i="2"/>
  <c r="Y475" i="2"/>
  <c r="X475" i="2"/>
  <c r="W475" i="2"/>
  <c r="M475" i="2"/>
  <c r="F475" i="2"/>
  <c r="AA474" i="2"/>
  <c r="Z474" i="2"/>
  <c r="Y474" i="2"/>
  <c r="X474" i="2"/>
  <c r="W474" i="2"/>
  <c r="M474" i="2"/>
  <c r="F474" i="2"/>
  <c r="AA473" i="2"/>
  <c r="Z473" i="2"/>
  <c r="Y473" i="2"/>
  <c r="X473" i="2"/>
  <c r="W473" i="2"/>
  <c r="M473" i="2"/>
  <c r="F473" i="2"/>
  <c r="AA472" i="2"/>
  <c r="Z472" i="2"/>
  <c r="Y472" i="2"/>
  <c r="X472" i="2"/>
  <c r="W472" i="2"/>
  <c r="M472" i="2"/>
  <c r="F472" i="2"/>
  <c r="AA471" i="2"/>
  <c r="Z471" i="2"/>
  <c r="Y471" i="2"/>
  <c r="X471" i="2"/>
  <c r="W471" i="2"/>
  <c r="M471" i="2"/>
  <c r="F471" i="2"/>
  <c r="AA470" i="2"/>
  <c r="Z470" i="2"/>
  <c r="Y470" i="2"/>
  <c r="X470" i="2"/>
  <c r="W470" i="2"/>
  <c r="M470" i="2"/>
  <c r="F470" i="2"/>
  <c r="AA469" i="2"/>
  <c r="Z469" i="2"/>
  <c r="Y469" i="2"/>
  <c r="X469" i="2"/>
  <c r="W469" i="2"/>
  <c r="M469" i="2"/>
  <c r="F469" i="2"/>
  <c r="AA468" i="2"/>
  <c r="Z468" i="2"/>
  <c r="Y468" i="2"/>
  <c r="X468" i="2"/>
  <c r="W468" i="2"/>
  <c r="M468" i="2"/>
  <c r="F468" i="2"/>
  <c r="AA467" i="2"/>
  <c r="Z467" i="2"/>
  <c r="Y467" i="2"/>
  <c r="X467" i="2"/>
  <c r="W467" i="2"/>
  <c r="M467" i="2"/>
  <c r="F467" i="2"/>
  <c r="AA466" i="2"/>
  <c r="Z466" i="2"/>
  <c r="Y466" i="2"/>
  <c r="X466" i="2"/>
  <c r="W466" i="2"/>
  <c r="M466" i="2"/>
  <c r="F466" i="2"/>
  <c r="AA465" i="2"/>
  <c r="Z465" i="2"/>
  <c r="Y465" i="2"/>
  <c r="X465" i="2"/>
  <c r="W465" i="2"/>
  <c r="M465" i="2"/>
  <c r="F465" i="2"/>
  <c r="AA464" i="2"/>
  <c r="Z464" i="2"/>
  <c r="Y464" i="2"/>
  <c r="X464" i="2"/>
  <c r="W464" i="2"/>
  <c r="M464" i="2"/>
  <c r="F464" i="2"/>
  <c r="AA463" i="2"/>
  <c r="Z463" i="2"/>
  <c r="Y463" i="2"/>
  <c r="X463" i="2"/>
  <c r="W463" i="2"/>
  <c r="M463" i="2"/>
  <c r="F463" i="2"/>
  <c r="AA462" i="2"/>
  <c r="Z462" i="2"/>
  <c r="Y462" i="2"/>
  <c r="X462" i="2"/>
  <c r="W462" i="2"/>
  <c r="M462" i="2"/>
  <c r="F462" i="2"/>
  <c r="AA461" i="2"/>
  <c r="Z461" i="2"/>
  <c r="Y461" i="2"/>
  <c r="X461" i="2"/>
  <c r="W461" i="2"/>
  <c r="M461" i="2"/>
  <c r="F461" i="2"/>
  <c r="AA460" i="2"/>
  <c r="Z460" i="2"/>
  <c r="Y460" i="2"/>
  <c r="X460" i="2"/>
  <c r="W460" i="2"/>
  <c r="M460" i="2"/>
  <c r="F460" i="2"/>
  <c r="AA459" i="2"/>
  <c r="Z459" i="2"/>
  <c r="Y459" i="2"/>
  <c r="X459" i="2"/>
  <c r="W459" i="2"/>
  <c r="M459" i="2"/>
  <c r="F459" i="2"/>
  <c r="AA458" i="2"/>
  <c r="Z458" i="2"/>
  <c r="Y458" i="2"/>
  <c r="X458" i="2"/>
  <c r="W458" i="2"/>
  <c r="M458" i="2"/>
  <c r="F458" i="2"/>
  <c r="AA457" i="2"/>
  <c r="Z457" i="2"/>
  <c r="Y457" i="2"/>
  <c r="X457" i="2"/>
  <c r="W457" i="2"/>
  <c r="M457" i="2"/>
  <c r="F457" i="2"/>
  <c r="AA456" i="2"/>
  <c r="Z456" i="2"/>
  <c r="Y456" i="2"/>
  <c r="X456" i="2"/>
  <c r="W456" i="2"/>
  <c r="M456" i="2"/>
  <c r="F456" i="2"/>
  <c r="AA455" i="2"/>
  <c r="Z455" i="2"/>
  <c r="Y455" i="2"/>
  <c r="X455" i="2"/>
  <c r="W455" i="2"/>
  <c r="M455" i="2"/>
  <c r="F455" i="2"/>
  <c r="AA454" i="2"/>
  <c r="Z454" i="2"/>
  <c r="Y454" i="2"/>
  <c r="X454" i="2"/>
  <c r="W454" i="2"/>
  <c r="M454" i="2"/>
  <c r="F454" i="2"/>
  <c r="AA453" i="2"/>
  <c r="Z453" i="2"/>
  <c r="Y453" i="2"/>
  <c r="X453" i="2"/>
  <c r="W453" i="2"/>
  <c r="M453" i="2"/>
  <c r="F453" i="2"/>
  <c r="AA452" i="2"/>
  <c r="Z452" i="2"/>
  <c r="Y452" i="2"/>
  <c r="X452" i="2"/>
  <c r="W452" i="2"/>
  <c r="M452" i="2"/>
  <c r="F452" i="2"/>
  <c r="AA451" i="2"/>
  <c r="Z451" i="2"/>
  <c r="Y451" i="2"/>
  <c r="X451" i="2"/>
  <c r="W451" i="2"/>
  <c r="M451" i="2"/>
  <c r="F451" i="2"/>
  <c r="AA450" i="2"/>
  <c r="Z450" i="2"/>
  <c r="Y450" i="2"/>
  <c r="X450" i="2"/>
  <c r="W450" i="2"/>
  <c r="M450" i="2"/>
  <c r="F450" i="2"/>
  <c r="AA449" i="2"/>
  <c r="Z449" i="2"/>
  <c r="Y449" i="2"/>
  <c r="X449" i="2"/>
  <c r="W449" i="2"/>
  <c r="M449" i="2"/>
  <c r="F449" i="2"/>
  <c r="AA448" i="2"/>
  <c r="Z448" i="2"/>
  <c r="Y448" i="2"/>
  <c r="X448" i="2"/>
  <c r="W448" i="2"/>
  <c r="M448" i="2"/>
  <c r="F448" i="2"/>
  <c r="AA447" i="2"/>
  <c r="Z447" i="2"/>
  <c r="Y447" i="2"/>
  <c r="X447" i="2"/>
  <c r="W447" i="2"/>
  <c r="M447" i="2"/>
  <c r="F447" i="2"/>
  <c r="AA446" i="2"/>
  <c r="Z446" i="2"/>
  <c r="Y446" i="2"/>
  <c r="X446" i="2"/>
  <c r="W446" i="2"/>
  <c r="M446" i="2"/>
  <c r="F446" i="2"/>
  <c r="AA445" i="2"/>
  <c r="Z445" i="2"/>
  <c r="Y445" i="2"/>
  <c r="X445" i="2"/>
  <c r="W445" i="2"/>
  <c r="M445" i="2"/>
  <c r="F445" i="2"/>
  <c r="AA444" i="2"/>
  <c r="Z444" i="2"/>
  <c r="Y444" i="2"/>
  <c r="X444" i="2"/>
  <c r="W444" i="2"/>
  <c r="M444" i="2"/>
  <c r="F444" i="2"/>
  <c r="AA443" i="2"/>
  <c r="Z443" i="2"/>
  <c r="Y443" i="2"/>
  <c r="X443" i="2"/>
  <c r="W443" i="2"/>
  <c r="M443" i="2"/>
  <c r="F443" i="2"/>
  <c r="AA442" i="2"/>
  <c r="Z442" i="2"/>
  <c r="Y442" i="2"/>
  <c r="X442" i="2"/>
  <c r="W442" i="2"/>
  <c r="M442" i="2"/>
  <c r="F442" i="2"/>
  <c r="AA441" i="2"/>
  <c r="Z441" i="2"/>
  <c r="Y441" i="2"/>
  <c r="X441" i="2"/>
  <c r="W441" i="2"/>
  <c r="M441" i="2"/>
  <c r="F441" i="2"/>
  <c r="AA440" i="2"/>
  <c r="Z440" i="2"/>
  <c r="Y440" i="2"/>
  <c r="X440" i="2"/>
  <c r="W440" i="2"/>
  <c r="M440" i="2"/>
  <c r="F440" i="2"/>
  <c r="AA439" i="2"/>
  <c r="Z439" i="2"/>
  <c r="Y439" i="2"/>
  <c r="X439" i="2"/>
  <c r="W439" i="2"/>
  <c r="M439" i="2"/>
  <c r="F439" i="2"/>
  <c r="AA438" i="2"/>
  <c r="Z438" i="2"/>
  <c r="Y438" i="2"/>
  <c r="X438" i="2"/>
  <c r="W438" i="2"/>
  <c r="M438" i="2"/>
  <c r="F438" i="2"/>
  <c r="AA437" i="2"/>
  <c r="Z437" i="2"/>
  <c r="Y437" i="2"/>
  <c r="X437" i="2"/>
  <c r="W437" i="2"/>
  <c r="M437" i="2"/>
  <c r="F437" i="2"/>
  <c r="AA436" i="2"/>
  <c r="Z436" i="2"/>
  <c r="Y436" i="2"/>
  <c r="X436" i="2"/>
  <c r="W436" i="2"/>
  <c r="M436" i="2"/>
  <c r="F436" i="2"/>
  <c r="AA435" i="2"/>
  <c r="Z435" i="2"/>
  <c r="Y435" i="2"/>
  <c r="X435" i="2"/>
  <c r="W435" i="2"/>
  <c r="M435" i="2"/>
  <c r="F435" i="2"/>
  <c r="AA434" i="2"/>
  <c r="Z434" i="2"/>
  <c r="Y434" i="2"/>
  <c r="X434" i="2"/>
  <c r="W434" i="2"/>
  <c r="M434" i="2"/>
  <c r="F434" i="2"/>
  <c r="AA433" i="2"/>
  <c r="Z433" i="2"/>
  <c r="Y433" i="2"/>
  <c r="X433" i="2"/>
  <c r="W433" i="2"/>
  <c r="M433" i="2"/>
  <c r="F433" i="2"/>
  <c r="AA432" i="2"/>
  <c r="Z432" i="2"/>
  <c r="Y432" i="2"/>
  <c r="X432" i="2"/>
  <c r="W432" i="2"/>
  <c r="M432" i="2"/>
  <c r="F432" i="2"/>
  <c r="AA431" i="2"/>
  <c r="Z431" i="2"/>
  <c r="Y431" i="2"/>
  <c r="X431" i="2"/>
  <c r="W431" i="2"/>
  <c r="M431" i="2"/>
  <c r="F431" i="2"/>
  <c r="AA430" i="2"/>
  <c r="Z430" i="2"/>
  <c r="Y430" i="2"/>
  <c r="X430" i="2"/>
  <c r="W430" i="2"/>
  <c r="M430" i="2"/>
  <c r="F430" i="2"/>
  <c r="AA429" i="2"/>
  <c r="Z429" i="2"/>
  <c r="Y429" i="2"/>
  <c r="X429" i="2"/>
  <c r="W429" i="2"/>
  <c r="M429" i="2"/>
  <c r="F429" i="2"/>
  <c r="AA428" i="2"/>
  <c r="Z428" i="2"/>
  <c r="Y428" i="2"/>
  <c r="X428" i="2"/>
  <c r="W428" i="2"/>
  <c r="M428" i="2"/>
  <c r="F428" i="2"/>
  <c r="AA427" i="2"/>
  <c r="Z427" i="2"/>
  <c r="Y427" i="2"/>
  <c r="X427" i="2"/>
  <c r="W427" i="2"/>
  <c r="M427" i="2"/>
  <c r="F427" i="2"/>
  <c r="AA426" i="2"/>
  <c r="Z426" i="2"/>
  <c r="Y426" i="2"/>
  <c r="X426" i="2"/>
  <c r="W426" i="2"/>
  <c r="M426" i="2"/>
  <c r="F426" i="2"/>
  <c r="AA425" i="2"/>
  <c r="Z425" i="2"/>
  <c r="Y425" i="2"/>
  <c r="X425" i="2"/>
  <c r="W425" i="2"/>
  <c r="M425" i="2"/>
  <c r="F425" i="2"/>
  <c r="AA424" i="2"/>
  <c r="Z424" i="2"/>
  <c r="Y424" i="2"/>
  <c r="X424" i="2"/>
  <c r="W424" i="2"/>
  <c r="M424" i="2"/>
  <c r="F424" i="2"/>
  <c r="AA423" i="2"/>
  <c r="Z423" i="2"/>
  <c r="Y423" i="2"/>
  <c r="X423" i="2"/>
  <c r="W423" i="2"/>
  <c r="M423" i="2"/>
  <c r="F423" i="2"/>
  <c r="AA422" i="2"/>
  <c r="Z422" i="2"/>
  <c r="Y422" i="2"/>
  <c r="X422" i="2"/>
  <c r="W422" i="2"/>
  <c r="M422" i="2"/>
  <c r="F422" i="2"/>
  <c r="AA421" i="2"/>
  <c r="Z421" i="2"/>
  <c r="Y421" i="2"/>
  <c r="X421" i="2"/>
  <c r="W421" i="2"/>
  <c r="M421" i="2"/>
  <c r="F421" i="2"/>
  <c r="AA420" i="2"/>
  <c r="Z420" i="2"/>
  <c r="Y420" i="2"/>
  <c r="X420" i="2"/>
  <c r="W420" i="2"/>
  <c r="M420" i="2"/>
  <c r="F420" i="2"/>
  <c r="AA419" i="2"/>
  <c r="Z419" i="2"/>
  <c r="Y419" i="2"/>
  <c r="X419" i="2"/>
  <c r="W419" i="2"/>
  <c r="M419" i="2"/>
  <c r="F419" i="2"/>
  <c r="AA418" i="2"/>
  <c r="Z418" i="2"/>
  <c r="Y418" i="2"/>
  <c r="X418" i="2"/>
  <c r="W418" i="2"/>
  <c r="M418" i="2"/>
  <c r="F418" i="2"/>
  <c r="AA417" i="2"/>
  <c r="Z417" i="2"/>
  <c r="Y417" i="2"/>
  <c r="X417" i="2"/>
  <c r="W417" i="2"/>
  <c r="M417" i="2"/>
  <c r="F417" i="2"/>
  <c r="AA416" i="2"/>
  <c r="Z416" i="2"/>
  <c r="Y416" i="2"/>
  <c r="X416" i="2"/>
  <c r="W416" i="2"/>
  <c r="M416" i="2"/>
  <c r="F416" i="2"/>
  <c r="AA415" i="2"/>
  <c r="Z415" i="2"/>
  <c r="Y415" i="2"/>
  <c r="X415" i="2"/>
  <c r="W415" i="2"/>
  <c r="M415" i="2"/>
  <c r="F415" i="2"/>
  <c r="AA414" i="2"/>
  <c r="Z414" i="2"/>
  <c r="Y414" i="2"/>
  <c r="X414" i="2"/>
  <c r="W414" i="2"/>
  <c r="M414" i="2"/>
  <c r="F414" i="2"/>
  <c r="AA413" i="2"/>
  <c r="Z413" i="2"/>
  <c r="Y413" i="2"/>
  <c r="X413" i="2"/>
  <c r="W413" i="2"/>
  <c r="M413" i="2"/>
  <c r="F413" i="2"/>
  <c r="AA412" i="2"/>
  <c r="Z412" i="2"/>
  <c r="Y412" i="2"/>
  <c r="X412" i="2"/>
  <c r="W412" i="2"/>
  <c r="M412" i="2"/>
  <c r="F412" i="2"/>
  <c r="AA411" i="2"/>
  <c r="Z411" i="2"/>
  <c r="Y411" i="2"/>
  <c r="X411" i="2"/>
  <c r="W411" i="2"/>
  <c r="M411" i="2"/>
  <c r="F411" i="2"/>
  <c r="AA410" i="2"/>
  <c r="Z410" i="2"/>
  <c r="Y410" i="2"/>
  <c r="X410" i="2"/>
  <c r="W410" i="2"/>
  <c r="M410" i="2"/>
  <c r="F410" i="2"/>
  <c r="AA409" i="2"/>
  <c r="Z409" i="2"/>
  <c r="Y409" i="2"/>
  <c r="X409" i="2"/>
  <c r="W409" i="2"/>
  <c r="M409" i="2"/>
  <c r="F409" i="2"/>
  <c r="AA408" i="2"/>
  <c r="Z408" i="2"/>
  <c r="Y408" i="2"/>
  <c r="X408" i="2"/>
  <c r="W408" i="2"/>
  <c r="M408" i="2"/>
  <c r="F408" i="2"/>
  <c r="AA407" i="2"/>
  <c r="Z407" i="2"/>
  <c r="Y407" i="2"/>
  <c r="X407" i="2"/>
  <c r="W407" i="2"/>
  <c r="M407" i="2"/>
  <c r="F407" i="2"/>
  <c r="AA406" i="2"/>
  <c r="Z406" i="2"/>
  <c r="Y406" i="2"/>
  <c r="X406" i="2"/>
  <c r="W406" i="2"/>
  <c r="M406" i="2"/>
  <c r="F406" i="2"/>
  <c r="AA405" i="2"/>
  <c r="Z405" i="2"/>
  <c r="Y405" i="2"/>
  <c r="X405" i="2"/>
  <c r="W405" i="2"/>
  <c r="M405" i="2"/>
  <c r="F405" i="2"/>
  <c r="AA404" i="2"/>
  <c r="Z404" i="2"/>
  <c r="Y404" i="2"/>
  <c r="X404" i="2"/>
  <c r="W404" i="2"/>
  <c r="M404" i="2"/>
  <c r="F404" i="2"/>
  <c r="AA403" i="2"/>
  <c r="Z403" i="2"/>
  <c r="Y403" i="2"/>
  <c r="X403" i="2"/>
  <c r="W403" i="2"/>
  <c r="M403" i="2"/>
  <c r="F403" i="2"/>
  <c r="AA402" i="2"/>
  <c r="Z402" i="2"/>
  <c r="Y402" i="2"/>
  <c r="X402" i="2"/>
  <c r="W402" i="2"/>
  <c r="M402" i="2"/>
  <c r="F402" i="2"/>
  <c r="AA401" i="2"/>
  <c r="Z401" i="2"/>
  <c r="Y401" i="2"/>
  <c r="X401" i="2"/>
  <c r="W401" i="2"/>
  <c r="M401" i="2"/>
  <c r="F401" i="2"/>
  <c r="AA400" i="2"/>
  <c r="Z400" i="2"/>
  <c r="Y400" i="2"/>
  <c r="X400" i="2"/>
  <c r="W400" i="2"/>
  <c r="M400" i="2"/>
  <c r="F400" i="2"/>
  <c r="AA399" i="2"/>
  <c r="Z399" i="2"/>
  <c r="Y399" i="2"/>
  <c r="X399" i="2"/>
  <c r="W399" i="2"/>
  <c r="M399" i="2"/>
  <c r="F399" i="2"/>
  <c r="AA398" i="2"/>
  <c r="Z398" i="2"/>
  <c r="Y398" i="2"/>
  <c r="X398" i="2"/>
  <c r="W398" i="2"/>
  <c r="M398" i="2"/>
  <c r="F398" i="2"/>
  <c r="AA397" i="2"/>
  <c r="Z397" i="2"/>
  <c r="Y397" i="2"/>
  <c r="X397" i="2"/>
  <c r="W397" i="2"/>
  <c r="M397" i="2"/>
  <c r="F397" i="2"/>
  <c r="AA396" i="2"/>
  <c r="Z396" i="2"/>
  <c r="Y396" i="2"/>
  <c r="X396" i="2"/>
  <c r="W396" i="2"/>
  <c r="M396" i="2"/>
  <c r="F396" i="2"/>
  <c r="AA395" i="2"/>
  <c r="Z395" i="2"/>
  <c r="Y395" i="2"/>
  <c r="X395" i="2"/>
  <c r="W395" i="2"/>
  <c r="M395" i="2"/>
  <c r="F395" i="2"/>
  <c r="AA394" i="2"/>
  <c r="Z394" i="2"/>
  <c r="Y394" i="2"/>
  <c r="X394" i="2"/>
  <c r="W394" i="2"/>
  <c r="M394" i="2"/>
  <c r="F394" i="2"/>
  <c r="AA393" i="2"/>
  <c r="Z393" i="2"/>
  <c r="Y393" i="2"/>
  <c r="X393" i="2"/>
  <c r="W393" i="2"/>
  <c r="M393" i="2"/>
  <c r="F393" i="2"/>
  <c r="AA392" i="2"/>
  <c r="Z392" i="2"/>
  <c r="Y392" i="2"/>
  <c r="X392" i="2"/>
  <c r="W392" i="2"/>
  <c r="M392" i="2"/>
  <c r="F392" i="2"/>
  <c r="AA391" i="2"/>
  <c r="Z391" i="2"/>
  <c r="Y391" i="2"/>
  <c r="X391" i="2"/>
  <c r="W391" i="2"/>
  <c r="M391" i="2"/>
  <c r="F391" i="2"/>
  <c r="AA390" i="2"/>
  <c r="Z390" i="2"/>
  <c r="Y390" i="2"/>
  <c r="X390" i="2"/>
  <c r="W390" i="2"/>
  <c r="M390" i="2"/>
  <c r="F390" i="2"/>
  <c r="AA389" i="2"/>
  <c r="Z389" i="2"/>
  <c r="Y389" i="2"/>
  <c r="X389" i="2"/>
  <c r="W389" i="2"/>
  <c r="M389" i="2"/>
  <c r="F389" i="2"/>
  <c r="AA388" i="2"/>
  <c r="Z388" i="2"/>
  <c r="Y388" i="2"/>
  <c r="X388" i="2"/>
  <c r="W388" i="2"/>
  <c r="M388" i="2"/>
  <c r="F388" i="2"/>
  <c r="AA387" i="2"/>
  <c r="Z387" i="2"/>
  <c r="Y387" i="2"/>
  <c r="X387" i="2"/>
  <c r="W387" i="2"/>
  <c r="M387" i="2"/>
  <c r="F387" i="2"/>
  <c r="AA386" i="2"/>
  <c r="Z386" i="2"/>
  <c r="Y386" i="2"/>
  <c r="X386" i="2"/>
  <c r="W386" i="2"/>
  <c r="M386" i="2"/>
  <c r="F386" i="2"/>
  <c r="AA385" i="2"/>
  <c r="Z385" i="2"/>
  <c r="Y385" i="2"/>
  <c r="X385" i="2"/>
  <c r="W385" i="2"/>
  <c r="M385" i="2"/>
  <c r="F385" i="2"/>
  <c r="AA384" i="2"/>
  <c r="Z384" i="2"/>
  <c r="Y384" i="2"/>
  <c r="X384" i="2"/>
  <c r="W384" i="2"/>
  <c r="M384" i="2"/>
  <c r="F384" i="2"/>
  <c r="AA383" i="2"/>
  <c r="Z383" i="2"/>
  <c r="Y383" i="2"/>
  <c r="X383" i="2"/>
  <c r="W383" i="2"/>
  <c r="M383" i="2"/>
  <c r="F383" i="2"/>
  <c r="AA382" i="2"/>
  <c r="Z382" i="2"/>
  <c r="Y382" i="2"/>
  <c r="X382" i="2"/>
  <c r="W382" i="2"/>
  <c r="M382" i="2"/>
  <c r="F382" i="2"/>
  <c r="AA381" i="2"/>
  <c r="Z381" i="2"/>
  <c r="Y381" i="2"/>
  <c r="X381" i="2"/>
  <c r="W381" i="2"/>
  <c r="M381" i="2"/>
  <c r="F381" i="2"/>
  <c r="AA380" i="2"/>
  <c r="Z380" i="2"/>
  <c r="Y380" i="2"/>
  <c r="X380" i="2"/>
  <c r="W380" i="2"/>
  <c r="M380" i="2"/>
  <c r="F380" i="2"/>
  <c r="AA379" i="2"/>
  <c r="Z379" i="2"/>
  <c r="Y379" i="2"/>
  <c r="X379" i="2"/>
  <c r="W379" i="2"/>
  <c r="M379" i="2"/>
  <c r="F379" i="2"/>
  <c r="AA378" i="2"/>
  <c r="Z378" i="2"/>
  <c r="Y378" i="2"/>
  <c r="X378" i="2"/>
  <c r="W378" i="2"/>
  <c r="M378" i="2"/>
  <c r="F378" i="2"/>
  <c r="AA377" i="2"/>
  <c r="Z377" i="2"/>
  <c r="Y377" i="2"/>
  <c r="X377" i="2"/>
  <c r="W377" i="2"/>
  <c r="M377" i="2"/>
  <c r="F377" i="2"/>
  <c r="AA376" i="2"/>
  <c r="Z376" i="2"/>
  <c r="Y376" i="2"/>
  <c r="X376" i="2"/>
  <c r="W376" i="2"/>
  <c r="M376" i="2"/>
  <c r="F376" i="2"/>
  <c r="AA375" i="2"/>
  <c r="Z375" i="2"/>
  <c r="Y375" i="2"/>
  <c r="X375" i="2"/>
  <c r="W375" i="2"/>
  <c r="M375" i="2"/>
  <c r="F375" i="2"/>
  <c r="AA374" i="2"/>
  <c r="Z374" i="2"/>
  <c r="Y374" i="2"/>
  <c r="X374" i="2"/>
  <c r="W374" i="2"/>
  <c r="M374" i="2"/>
  <c r="F374" i="2"/>
  <c r="AA373" i="2"/>
  <c r="Z373" i="2"/>
  <c r="Y373" i="2"/>
  <c r="X373" i="2"/>
  <c r="W373" i="2"/>
  <c r="M373" i="2"/>
  <c r="F373" i="2"/>
  <c r="AA372" i="2"/>
  <c r="Z372" i="2"/>
  <c r="Y372" i="2"/>
  <c r="X372" i="2"/>
  <c r="W372" i="2"/>
  <c r="M372" i="2"/>
  <c r="F372" i="2"/>
  <c r="AA371" i="2"/>
  <c r="Z371" i="2"/>
  <c r="Y371" i="2"/>
  <c r="X371" i="2"/>
  <c r="W371" i="2"/>
  <c r="M371" i="2"/>
  <c r="F371" i="2"/>
  <c r="AA370" i="2"/>
  <c r="Z370" i="2"/>
  <c r="Y370" i="2"/>
  <c r="X370" i="2"/>
  <c r="W370" i="2"/>
  <c r="M370" i="2"/>
  <c r="F370" i="2"/>
  <c r="AA369" i="2"/>
  <c r="Z369" i="2"/>
  <c r="Y369" i="2"/>
  <c r="X369" i="2"/>
  <c r="W369" i="2"/>
  <c r="M369" i="2"/>
  <c r="F369" i="2"/>
  <c r="AA368" i="2"/>
  <c r="Z368" i="2"/>
  <c r="Y368" i="2"/>
  <c r="X368" i="2"/>
  <c r="W368" i="2"/>
  <c r="M368" i="2"/>
  <c r="F368" i="2"/>
  <c r="AA367" i="2"/>
  <c r="Z367" i="2"/>
  <c r="Y367" i="2"/>
  <c r="X367" i="2"/>
  <c r="W367" i="2"/>
  <c r="M367" i="2"/>
  <c r="F367" i="2"/>
  <c r="AA366" i="2"/>
  <c r="Z366" i="2"/>
  <c r="Y366" i="2"/>
  <c r="X366" i="2"/>
  <c r="W366" i="2"/>
  <c r="M366" i="2"/>
  <c r="F366" i="2"/>
  <c r="AA365" i="2"/>
  <c r="Z365" i="2"/>
  <c r="Y365" i="2"/>
  <c r="X365" i="2"/>
  <c r="W365" i="2"/>
  <c r="M365" i="2"/>
  <c r="F365" i="2"/>
  <c r="AA364" i="2"/>
  <c r="Z364" i="2"/>
  <c r="Y364" i="2"/>
  <c r="X364" i="2"/>
  <c r="W364" i="2"/>
  <c r="M364" i="2"/>
  <c r="F364" i="2"/>
  <c r="AA363" i="2"/>
  <c r="Z363" i="2"/>
  <c r="Y363" i="2"/>
  <c r="X363" i="2"/>
  <c r="W363" i="2"/>
  <c r="M363" i="2"/>
  <c r="F363" i="2"/>
  <c r="AA362" i="2"/>
  <c r="Z362" i="2"/>
  <c r="Y362" i="2"/>
  <c r="X362" i="2"/>
  <c r="W362" i="2"/>
  <c r="M362" i="2"/>
  <c r="F362" i="2"/>
  <c r="AA361" i="2"/>
  <c r="Z361" i="2"/>
  <c r="Y361" i="2"/>
  <c r="X361" i="2"/>
  <c r="W361" i="2"/>
  <c r="M361" i="2"/>
  <c r="F361" i="2"/>
  <c r="AA360" i="2"/>
  <c r="Z360" i="2"/>
  <c r="Y360" i="2"/>
  <c r="X360" i="2"/>
  <c r="W360" i="2"/>
  <c r="M360" i="2"/>
  <c r="F360" i="2"/>
  <c r="AA359" i="2"/>
  <c r="Z359" i="2"/>
  <c r="Y359" i="2"/>
  <c r="X359" i="2"/>
  <c r="W359" i="2"/>
  <c r="M359" i="2"/>
  <c r="F359" i="2"/>
  <c r="AA358" i="2"/>
  <c r="Z358" i="2"/>
  <c r="Y358" i="2"/>
  <c r="X358" i="2"/>
  <c r="W358" i="2"/>
  <c r="M358" i="2"/>
  <c r="F358" i="2"/>
  <c r="AA357" i="2"/>
  <c r="Z357" i="2"/>
  <c r="Y357" i="2"/>
  <c r="X357" i="2"/>
  <c r="W357" i="2"/>
  <c r="M357" i="2"/>
  <c r="F357" i="2"/>
  <c r="AA356" i="2"/>
  <c r="Z356" i="2"/>
  <c r="Y356" i="2"/>
  <c r="X356" i="2"/>
  <c r="W356" i="2"/>
  <c r="M356" i="2"/>
  <c r="F356" i="2"/>
  <c r="AA355" i="2"/>
  <c r="Z355" i="2"/>
  <c r="Y355" i="2"/>
  <c r="X355" i="2"/>
  <c r="W355" i="2"/>
  <c r="M355" i="2"/>
  <c r="F355" i="2"/>
  <c r="AA354" i="2"/>
  <c r="Z354" i="2"/>
  <c r="Y354" i="2"/>
  <c r="X354" i="2"/>
  <c r="W354" i="2"/>
  <c r="M354" i="2"/>
  <c r="F354" i="2"/>
  <c r="AA353" i="2"/>
  <c r="Z353" i="2"/>
  <c r="Y353" i="2"/>
  <c r="X353" i="2"/>
  <c r="W353" i="2"/>
  <c r="M353" i="2"/>
  <c r="F353" i="2"/>
  <c r="AA352" i="2"/>
  <c r="Z352" i="2"/>
  <c r="Y352" i="2"/>
  <c r="X352" i="2"/>
  <c r="W352" i="2"/>
  <c r="M352" i="2"/>
  <c r="F352" i="2"/>
  <c r="AA351" i="2"/>
  <c r="Z351" i="2"/>
  <c r="Y351" i="2"/>
  <c r="X351" i="2"/>
  <c r="W351" i="2"/>
  <c r="M351" i="2"/>
  <c r="F351" i="2"/>
  <c r="AA350" i="2"/>
  <c r="Z350" i="2"/>
  <c r="Y350" i="2"/>
  <c r="X350" i="2"/>
  <c r="W350" i="2"/>
  <c r="M350" i="2"/>
  <c r="F350" i="2"/>
  <c r="AA349" i="2"/>
  <c r="Z349" i="2"/>
  <c r="Y349" i="2"/>
  <c r="X349" i="2"/>
  <c r="W349" i="2"/>
  <c r="M349" i="2"/>
  <c r="F349" i="2"/>
  <c r="AA348" i="2"/>
  <c r="Z348" i="2"/>
  <c r="Y348" i="2"/>
  <c r="X348" i="2"/>
  <c r="W348" i="2"/>
  <c r="M348" i="2"/>
  <c r="F348" i="2"/>
  <c r="AA347" i="2"/>
  <c r="Z347" i="2"/>
  <c r="Y347" i="2"/>
  <c r="X347" i="2"/>
  <c r="W347" i="2"/>
  <c r="M347" i="2"/>
  <c r="F347" i="2"/>
  <c r="AA346" i="2"/>
  <c r="Z346" i="2"/>
  <c r="Y346" i="2"/>
  <c r="X346" i="2"/>
  <c r="W346" i="2"/>
  <c r="M346" i="2"/>
  <c r="F346" i="2"/>
  <c r="AA345" i="2"/>
  <c r="Z345" i="2"/>
  <c r="Y345" i="2"/>
  <c r="X345" i="2"/>
  <c r="W345" i="2"/>
  <c r="M345" i="2"/>
  <c r="F345" i="2"/>
  <c r="AA344" i="2"/>
  <c r="Z344" i="2"/>
  <c r="Y344" i="2"/>
  <c r="X344" i="2"/>
  <c r="W344" i="2"/>
  <c r="M344" i="2"/>
  <c r="F344" i="2"/>
  <c r="AA343" i="2"/>
  <c r="Z343" i="2"/>
  <c r="Y343" i="2"/>
  <c r="X343" i="2"/>
  <c r="W343" i="2"/>
  <c r="M343" i="2"/>
  <c r="F343" i="2"/>
  <c r="AA342" i="2"/>
  <c r="Z342" i="2"/>
  <c r="Y342" i="2"/>
  <c r="X342" i="2"/>
  <c r="W342" i="2"/>
  <c r="M342" i="2"/>
  <c r="F342" i="2"/>
  <c r="AA341" i="2"/>
  <c r="Z341" i="2"/>
  <c r="Y341" i="2"/>
  <c r="X341" i="2"/>
  <c r="W341" i="2"/>
  <c r="M341" i="2"/>
  <c r="F341" i="2"/>
  <c r="AA340" i="2"/>
  <c r="Z340" i="2"/>
  <c r="Y340" i="2"/>
  <c r="X340" i="2"/>
  <c r="W340" i="2"/>
  <c r="M340" i="2"/>
  <c r="F340" i="2"/>
  <c r="AA339" i="2"/>
  <c r="Z339" i="2"/>
  <c r="Y339" i="2"/>
  <c r="X339" i="2"/>
  <c r="W339" i="2"/>
  <c r="M339" i="2"/>
  <c r="F339" i="2"/>
  <c r="AA338" i="2"/>
  <c r="Z338" i="2"/>
  <c r="Y338" i="2"/>
  <c r="X338" i="2"/>
  <c r="W338" i="2"/>
  <c r="M338" i="2"/>
  <c r="F338" i="2"/>
  <c r="AA337" i="2"/>
  <c r="Z337" i="2"/>
  <c r="Y337" i="2"/>
  <c r="X337" i="2"/>
  <c r="W337" i="2"/>
  <c r="M337" i="2"/>
  <c r="F337" i="2"/>
  <c r="AA336" i="2"/>
  <c r="Z336" i="2"/>
  <c r="Y336" i="2"/>
  <c r="X336" i="2"/>
  <c r="W336" i="2"/>
  <c r="M336" i="2"/>
  <c r="F336" i="2"/>
  <c r="AA335" i="2"/>
  <c r="Z335" i="2"/>
  <c r="Y335" i="2"/>
  <c r="X335" i="2"/>
  <c r="W335" i="2"/>
  <c r="M335" i="2"/>
  <c r="F335" i="2"/>
  <c r="AA334" i="2"/>
  <c r="Z334" i="2"/>
  <c r="Y334" i="2"/>
  <c r="X334" i="2"/>
  <c r="W334" i="2"/>
  <c r="M334" i="2"/>
  <c r="F334" i="2"/>
  <c r="AA333" i="2"/>
  <c r="Z333" i="2"/>
  <c r="Y333" i="2"/>
  <c r="X333" i="2"/>
  <c r="W333" i="2"/>
  <c r="M333" i="2"/>
  <c r="F333" i="2"/>
  <c r="AA332" i="2"/>
  <c r="Z332" i="2"/>
  <c r="Y332" i="2"/>
  <c r="X332" i="2"/>
  <c r="W332" i="2"/>
  <c r="M332" i="2"/>
  <c r="F332" i="2"/>
  <c r="AA331" i="2"/>
  <c r="Z331" i="2"/>
  <c r="Y331" i="2"/>
  <c r="X331" i="2"/>
  <c r="W331" i="2"/>
  <c r="M331" i="2"/>
  <c r="F331" i="2"/>
  <c r="AA330" i="2"/>
  <c r="Z330" i="2"/>
  <c r="Y330" i="2"/>
  <c r="X330" i="2"/>
  <c r="W330" i="2"/>
  <c r="M330" i="2"/>
  <c r="F330" i="2"/>
  <c r="AA329" i="2"/>
  <c r="Z329" i="2"/>
  <c r="Y329" i="2"/>
  <c r="X329" i="2"/>
  <c r="W329" i="2"/>
  <c r="M329" i="2"/>
  <c r="F329" i="2"/>
  <c r="AA328" i="2"/>
  <c r="Z328" i="2"/>
  <c r="Y328" i="2"/>
  <c r="X328" i="2"/>
  <c r="W328" i="2"/>
  <c r="M328" i="2"/>
  <c r="F328" i="2"/>
  <c r="AA327" i="2"/>
  <c r="Z327" i="2"/>
  <c r="Y327" i="2"/>
  <c r="X327" i="2"/>
  <c r="W327" i="2"/>
  <c r="M327" i="2"/>
  <c r="F327" i="2"/>
  <c r="AA326" i="2"/>
  <c r="Z326" i="2"/>
  <c r="Y326" i="2"/>
  <c r="X326" i="2"/>
  <c r="W326" i="2"/>
  <c r="M326" i="2"/>
  <c r="F326" i="2"/>
  <c r="AA325" i="2"/>
  <c r="Z325" i="2"/>
  <c r="Y325" i="2"/>
  <c r="X325" i="2"/>
  <c r="W325" i="2"/>
  <c r="M325" i="2"/>
  <c r="F325" i="2"/>
  <c r="AA324" i="2"/>
  <c r="Z324" i="2"/>
  <c r="Y324" i="2"/>
  <c r="X324" i="2"/>
  <c r="W324" i="2"/>
  <c r="M324" i="2"/>
  <c r="F324" i="2"/>
  <c r="AA323" i="2"/>
  <c r="Z323" i="2"/>
  <c r="Y323" i="2"/>
  <c r="X323" i="2"/>
  <c r="W323" i="2"/>
  <c r="M323" i="2"/>
  <c r="F323" i="2"/>
  <c r="AA322" i="2"/>
  <c r="Z322" i="2"/>
  <c r="Y322" i="2"/>
  <c r="X322" i="2"/>
  <c r="W322" i="2"/>
  <c r="M322" i="2"/>
  <c r="F322" i="2"/>
  <c r="AA321" i="2"/>
  <c r="Z321" i="2"/>
  <c r="Y321" i="2"/>
  <c r="X321" i="2"/>
  <c r="W321" i="2"/>
  <c r="M321" i="2"/>
  <c r="F321" i="2"/>
  <c r="AA320" i="2"/>
  <c r="Z320" i="2"/>
  <c r="Y320" i="2"/>
  <c r="X320" i="2"/>
  <c r="W320" i="2"/>
  <c r="M320" i="2"/>
  <c r="F320" i="2"/>
  <c r="AA319" i="2"/>
  <c r="Z319" i="2"/>
  <c r="Y319" i="2"/>
  <c r="X319" i="2"/>
  <c r="W319" i="2"/>
  <c r="M319" i="2"/>
  <c r="F319" i="2"/>
  <c r="AA318" i="2"/>
  <c r="Z318" i="2"/>
  <c r="Y318" i="2"/>
  <c r="X318" i="2"/>
  <c r="W318" i="2"/>
  <c r="M318" i="2"/>
  <c r="F318" i="2"/>
  <c r="AA317" i="2"/>
  <c r="Z317" i="2"/>
  <c r="Y317" i="2"/>
  <c r="X317" i="2"/>
  <c r="W317" i="2"/>
  <c r="M317" i="2"/>
  <c r="F317" i="2"/>
  <c r="AA316" i="2"/>
  <c r="Z316" i="2"/>
  <c r="Y316" i="2"/>
  <c r="X316" i="2"/>
  <c r="W316" i="2"/>
  <c r="M316" i="2"/>
  <c r="F316" i="2"/>
  <c r="AA315" i="2"/>
  <c r="Z315" i="2"/>
  <c r="Y315" i="2"/>
  <c r="X315" i="2"/>
  <c r="W315" i="2"/>
  <c r="M315" i="2"/>
  <c r="F315" i="2"/>
  <c r="AA314" i="2"/>
  <c r="Z314" i="2"/>
  <c r="Y314" i="2"/>
  <c r="X314" i="2"/>
  <c r="W314" i="2"/>
  <c r="M314" i="2"/>
  <c r="F314" i="2"/>
  <c r="AA313" i="2"/>
  <c r="Z313" i="2"/>
  <c r="Y313" i="2"/>
  <c r="X313" i="2"/>
  <c r="W313" i="2"/>
  <c r="M313" i="2"/>
  <c r="F313" i="2"/>
  <c r="AA312" i="2"/>
  <c r="Z312" i="2"/>
  <c r="Y312" i="2"/>
  <c r="X312" i="2"/>
  <c r="W312" i="2"/>
  <c r="M312" i="2"/>
  <c r="F312" i="2"/>
  <c r="AA311" i="2"/>
  <c r="Z311" i="2"/>
  <c r="Y311" i="2"/>
  <c r="X311" i="2"/>
  <c r="W311" i="2"/>
  <c r="M311" i="2"/>
  <c r="F311" i="2"/>
  <c r="AA310" i="2"/>
  <c r="Z310" i="2"/>
  <c r="Y310" i="2"/>
  <c r="X310" i="2"/>
  <c r="W310" i="2"/>
  <c r="M310" i="2"/>
  <c r="F310" i="2"/>
  <c r="AA309" i="2"/>
  <c r="Z309" i="2"/>
  <c r="Y309" i="2"/>
  <c r="X309" i="2"/>
  <c r="W309" i="2"/>
  <c r="M309" i="2"/>
  <c r="F309" i="2"/>
  <c r="AA308" i="2"/>
  <c r="Z308" i="2"/>
  <c r="Y308" i="2"/>
  <c r="X308" i="2"/>
  <c r="W308" i="2"/>
  <c r="M308" i="2"/>
  <c r="F308" i="2"/>
  <c r="AA307" i="2"/>
  <c r="Z307" i="2"/>
  <c r="Y307" i="2"/>
  <c r="X307" i="2"/>
  <c r="W307" i="2"/>
  <c r="M307" i="2"/>
  <c r="F307" i="2"/>
  <c r="AA306" i="2"/>
  <c r="Z306" i="2"/>
  <c r="Y306" i="2"/>
  <c r="X306" i="2"/>
  <c r="W306" i="2"/>
  <c r="M306" i="2"/>
  <c r="F306" i="2"/>
  <c r="AA305" i="2"/>
  <c r="Z305" i="2"/>
  <c r="Y305" i="2"/>
  <c r="X305" i="2"/>
  <c r="W305" i="2"/>
  <c r="M305" i="2"/>
  <c r="F305" i="2"/>
  <c r="AA304" i="2"/>
  <c r="Z304" i="2"/>
  <c r="Y304" i="2"/>
  <c r="X304" i="2"/>
  <c r="W304" i="2"/>
  <c r="M304" i="2"/>
  <c r="F304" i="2"/>
  <c r="AA303" i="2"/>
  <c r="Z303" i="2"/>
  <c r="Y303" i="2"/>
  <c r="X303" i="2"/>
  <c r="W303" i="2"/>
  <c r="M303" i="2"/>
  <c r="F303" i="2"/>
  <c r="AA302" i="2"/>
  <c r="Z302" i="2"/>
  <c r="Y302" i="2"/>
  <c r="X302" i="2"/>
  <c r="W302" i="2"/>
  <c r="M302" i="2"/>
  <c r="F302" i="2"/>
  <c r="AA301" i="2"/>
  <c r="Z301" i="2"/>
  <c r="Y301" i="2"/>
  <c r="X301" i="2"/>
  <c r="W301" i="2"/>
  <c r="M301" i="2"/>
  <c r="F301" i="2"/>
  <c r="AA300" i="2"/>
  <c r="Z300" i="2"/>
  <c r="Y300" i="2"/>
  <c r="X300" i="2"/>
  <c r="W300" i="2"/>
  <c r="M300" i="2"/>
  <c r="F300" i="2"/>
  <c r="AA299" i="2"/>
  <c r="Z299" i="2"/>
  <c r="Y299" i="2"/>
  <c r="X299" i="2"/>
  <c r="W299" i="2"/>
  <c r="M299" i="2"/>
  <c r="F299" i="2"/>
  <c r="AA298" i="2"/>
  <c r="Z298" i="2"/>
  <c r="Y298" i="2"/>
  <c r="X298" i="2"/>
  <c r="W298" i="2"/>
  <c r="M298" i="2"/>
  <c r="F298" i="2"/>
  <c r="AA297" i="2"/>
  <c r="Z297" i="2"/>
  <c r="Y297" i="2"/>
  <c r="X297" i="2"/>
  <c r="W297" i="2"/>
  <c r="M297" i="2"/>
  <c r="F297" i="2"/>
  <c r="AA296" i="2"/>
  <c r="Z296" i="2"/>
  <c r="Y296" i="2"/>
  <c r="X296" i="2"/>
  <c r="W296" i="2"/>
  <c r="M296" i="2"/>
  <c r="F296" i="2"/>
  <c r="AA295" i="2"/>
  <c r="Z295" i="2"/>
  <c r="Y295" i="2"/>
  <c r="X295" i="2"/>
  <c r="W295" i="2"/>
  <c r="M295" i="2"/>
  <c r="F295" i="2"/>
  <c r="AA294" i="2"/>
  <c r="Z294" i="2"/>
  <c r="Y294" i="2"/>
  <c r="X294" i="2"/>
  <c r="W294" i="2"/>
  <c r="M294" i="2"/>
  <c r="F294" i="2"/>
  <c r="AA293" i="2"/>
  <c r="Z293" i="2"/>
  <c r="Y293" i="2"/>
  <c r="X293" i="2"/>
  <c r="W293" i="2"/>
  <c r="M293" i="2"/>
  <c r="F293" i="2"/>
  <c r="AA292" i="2"/>
  <c r="Z292" i="2"/>
  <c r="Y292" i="2"/>
  <c r="X292" i="2"/>
  <c r="W292" i="2"/>
  <c r="M292" i="2"/>
  <c r="F292" i="2"/>
  <c r="AA291" i="2"/>
  <c r="Z291" i="2"/>
  <c r="Y291" i="2"/>
  <c r="X291" i="2"/>
  <c r="W291" i="2"/>
  <c r="M291" i="2"/>
  <c r="F291" i="2"/>
  <c r="AA290" i="2"/>
  <c r="Z290" i="2"/>
  <c r="Y290" i="2"/>
  <c r="X290" i="2"/>
  <c r="W290" i="2"/>
  <c r="M290" i="2"/>
  <c r="F290" i="2"/>
  <c r="AA289" i="2"/>
  <c r="Z289" i="2"/>
  <c r="Y289" i="2"/>
  <c r="X289" i="2"/>
  <c r="W289" i="2"/>
  <c r="M289" i="2"/>
  <c r="F289" i="2"/>
  <c r="AA288" i="2"/>
  <c r="Z288" i="2"/>
  <c r="Y288" i="2"/>
  <c r="X288" i="2"/>
  <c r="W288" i="2"/>
  <c r="M288" i="2"/>
  <c r="F288" i="2"/>
  <c r="AA287" i="2"/>
  <c r="Z287" i="2"/>
  <c r="Y287" i="2"/>
  <c r="X287" i="2"/>
  <c r="W287" i="2"/>
  <c r="M287" i="2"/>
  <c r="F287" i="2"/>
  <c r="AA286" i="2"/>
  <c r="Z286" i="2"/>
  <c r="Y286" i="2"/>
  <c r="X286" i="2"/>
  <c r="W286" i="2"/>
  <c r="M286" i="2"/>
  <c r="F286" i="2"/>
  <c r="AA285" i="2"/>
  <c r="Z285" i="2"/>
  <c r="Y285" i="2"/>
  <c r="X285" i="2"/>
  <c r="W285" i="2"/>
  <c r="M285" i="2"/>
  <c r="F285" i="2"/>
  <c r="AA284" i="2"/>
  <c r="Z284" i="2"/>
  <c r="Y284" i="2"/>
  <c r="X284" i="2"/>
  <c r="W284" i="2"/>
  <c r="M284" i="2"/>
  <c r="F284" i="2"/>
  <c r="AA283" i="2"/>
  <c r="Z283" i="2"/>
  <c r="Y283" i="2"/>
  <c r="X283" i="2"/>
  <c r="W283" i="2"/>
  <c r="M283" i="2"/>
  <c r="F283" i="2"/>
  <c r="AA282" i="2"/>
  <c r="Z282" i="2"/>
  <c r="Y282" i="2"/>
  <c r="X282" i="2"/>
  <c r="W282" i="2"/>
  <c r="M282" i="2"/>
  <c r="F282" i="2"/>
  <c r="AA281" i="2"/>
  <c r="Z281" i="2"/>
  <c r="Y281" i="2"/>
  <c r="X281" i="2"/>
  <c r="W281" i="2"/>
  <c r="M281" i="2"/>
  <c r="F281" i="2"/>
  <c r="AA280" i="2"/>
  <c r="Z280" i="2"/>
  <c r="Y280" i="2"/>
  <c r="X280" i="2"/>
  <c r="W280" i="2"/>
  <c r="M280" i="2"/>
  <c r="F280" i="2"/>
  <c r="AA279" i="2"/>
  <c r="Z279" i="2"/>
  <c r="Y279" i="2"/>
  <c r="X279" i="2"/>
  <c r="W279" i="2"/>
  <c r="M279" i="2"/>
  <c r="F279" i="2"/>
  <c r="AA278" i="2"/>
  <c r="Z278" i="2"/>
  <c r="Y278" i="2"/>
  <c r="X278" i="2"/>
  <c r="W278" i="2"/>
  <c r="M278" i="2"/>
  <c r="F278" i="2"/>
  <c r="AA277" i="2"/>
  <c r="Z277" i="2"/>
  <c r="Y277" i="2"/>
  <c r="X277" i="2"/>
  <c r="W277" i="2"/>
  <c r="M277" i="2"/>
  <c r="F277" i="2"/>
  <c r="AA276" i="2"/>
  <c r="Z276" i="2"/>
  <c r="Y276" i="2"/>
  <c r="X276" i="2"/>
  <c r="W276" i="2"/>
  <c r="M276" i="2"/>
  <c r="F276" i="2"/>
  <c r="AA275" i="2"/>
  <c r="Z275" i="2"/>
  <c r="Y275" i="2"/>
  <c r="X275" i="2"/>
  <c r="W275" i="2"/>
  <c r="M275" i="2"/>
  <c r="F275" i="2"/>
  <c r="AA274" i="2"/>
  <c r="Z274" i="2"/>
  <c r="Y274" i="2"/>
  <c r="X274" i="2"/>
  <c r="W274" i="2"/>
  <c r="M274" i="2"/>
  <c r="F274" i="2"/>
  <c r="AA273" i="2"/>
  <c r="Z273" i="2"/>
  <c r="Y273" i="2"/>
  <c r="X273" i="2"/>
  <c r="W273" i="2"/>
  <c r="M273" i="2"/>
  <c r="F273" i="2"/>
  <c r="AA272" i="2"/>
  <c r="Z272" i="2"/>
  <c r="Y272" i="2"/>
  <c r="X272" i="2"/>
  <c r="W272" i="2"/>
  <c r="M272" i="2"/>
  <c r="F272" i="2"/>
  <c r="AA271" i="2"/>
  <c r="Z271" i="2"/>
  <c r="Y271" i="2"/>
  <c r="X271" i="2"/>
  <c r="W271" i="2"/>
  <c r="M271" i="2"/>
  <c r="F271" i="2"/>
  <c r="AA270" i="2"/>
  <c r="Z270" i="2"/>
  <c r="Y270" i="2"/>
  <c r="X270" i="2"/>
  <c r="W270" i="2"/>
  <c r="M270" i="2"/>
  <c r="F270" i="2"/>
  <c r="AA269" i="2"/>
  <c r="Z269" i="2"/>
  <c r="Y269" i="2"/>
  <c r="X269" i="2"/>
  <c r="W269" i="2"/>
  <c r="M269" i="2"/>
  <c r="F269" i="2"/>
  <c r="AA268" i="2"/>
  <c r="Z268" i="2"/>
  <c r="Y268" i="2"/>
  <c r="X268" i="2"/>
  <c r="W268" i="2"/>
  <c r="M268" i="2"/>
  <c r="F268" i="2"/>
  <c r="AA267" i="2"/>
  <c r="Z267" i="2"/>
  <c r="Y267" i="2"/>
  <c r="X267" i="2"/>
  <c r="W267" i="2"/>
  <c r="M267" i="2"/>
  <c r="F267" i="2"/>
  <c r="AA266" i="2"/>
  <c r="Z266" i="2"/>
  <c r="Y266" i="2"/>
  <c r="X266" i="2"/>
  <c r="W266" i="2"/>
  <c r="M266" i="2"/>
  <c r="F266" i="2"/>
  <c r="AA265" i="2"/>
  <c r="Z265" i="2"/>
  <c r="Y265" i="2"/>
  <c r="X265" i="2"/>
  <c r="W265" i="2"/>
  <c r="M265" i="2"/>
  <c r="F265" i="2"/>
  <c r="AA264" i="2"/>
  <c r="Z264" i="2"/>
  <c r="Y264" i="2"/>
  <c r="X264" i="2"/>
  <c r="W264" i="2"/>
  <c r="M264" i="2"/>
  <c r="F264" i="2"/>
  <c r="AA263" i="2"/>
  <c r="Z263" i="2"/>
  <c r="Y263" i="2"/>
  <c r="X263" i="2"/>
  <c r="W263" i="2"/>
  <c r="M263" i="2"/>
  <c r="F263" i="2"/>
  <c r="AA262" i="2"/>
  <c r="Z262" i="2"/>
  <c r="Y262" i="2"/>
  <c r="X262" i="2"/>
  <c r="W262" i="2"/>
  <c r="M262" i="2"/>
  <c r="F262" i="2"/>
  <c r="AA261" i="2"/>
  <c r="Z261" i="2"/>
  <c r="Y261" i="2"/>
  <c r="X261" i="2"/>
  <c r="W261" i="2"/>
  <c r="M261" i="2"/>
  <c r="F261" i="2"/>
  <c r="AA260" i="2"/>
  <c r="Z260" i="2"/>
  <c r="Y260" i="2"/>
  <c r="X260" i="2"/>
  <c r="W260" i="2"/>
  <c r="M260" i="2"/>
  <c r="F260" i="2"/>
  <c r="AA259" i="2"/>
  <c r="Z259" i="2"/>
  <c r="Y259" i="2"/>
  <c r="X259" i="2"/>
  <c r="W259" i="2"/>
  <c r="M259" i="2"/>
  <c r="F259" i="2"/>
  <c r="AA258" i="2"/>
  <c r="Z258" i="2"/>
  <c r="Y258" i="2"/>
  <c r="X258" i="2"/>
  <c r="W258" i="2"/>
  <c r="M258" i="2"/>
  <c r="F258" i="2"/>
  <c r="AA257" i="2"/>
  <c r="Z257" i="2"/>
  <c r="Y257" i="2"/>
  <c r="X257" i="2"/>
  <c r="W257" i="2"/>
  <c r="M257" i="2"/>
  <c r="F257" i="2"/>
  <c r="AA256" i="2"/>
  <c r="Z256" i="2"/>
  <c r="Y256" i="2"/>
  <c r="X256" i="2"/>
  <c r="W256" i="2"/>
  <c r="M256" i="2"/>
  <c r="F256" i="2"/>
  <c r="AA255" i="2"/>
  <c r="Z255" i="2"/>
  <c r="Y255" i="2"/>
  <c r="X255" i="2"/>
  <c r="W255" i="2"/>
  <c r="M255" i="2"/>
  <c r="F255" i="2"/>
  <c r="AA254" i="2"/>
  <c r="Z254" i="2"/>
  <c r="Y254" i="2"/>
  <c r="X254" i="2"/>
  <c r="W254" i="2"/>
  <c r="M254" i="2"/>
  <c r="F254" i="2"/>
  <c r="AA253" i="2"/>
  <c r="Z253" i="2"/>
  <c r="Y253" i="2"/>
  <c r="X253" i="2"/>
  <c r="W253" i="2"/>
  <c r="M253" i="2"/>
  <c r="F253" i="2"/>
  <c r="AA252" i="2"/>
  <c r="Z252" i="2"/>
  <c r="Y252" i="2"/>
  <c r="X252" i="2"/>
  <c r="W252" i="2"/>
  <c r="M252" i="2"/>
  <c r="F252" i="2"/>
  <c r="AA251" i="2"/>
  <c r="Z251" i="2"/>
  <c r="Y251" i="2"/>
  <c r="X251" i="2"/>
  <c r="W251" i="2"/>
  <c r="M251" i="2"/>
  <c r="F251" i="2"/>
  <c r="AA250" i="2"/>
  <c r="Z250" i="2"/>
  <c r="Y250" i="2"/>
  <c r="X250" i="2"/>
  <c r="W250" i="2"/>
  <c r="M250" i="2"/>
  <c r="F250" i="2"/>
  <c r="AA249" i="2"/>
  <c r="Z249" i="2"/>
  <c r="Y249" i="2"/>
  <c r="X249" i="2"/>
  <c r="W249" i="2"/>
  <c r="M249" i="2"/>
  <c r="F249" i="2"/>
  <c r="AA248" i="2"/>
  <c r="Z248" i="2"/>
  <c r="Y248" i="2"/>
  <c r="X248" i="2"/>
  <c r="W248" i="2"/>
  <c r="M248" i="2"/>
  <c r="F248" i="2"/>
  <c r="AA247" i="2"/>
  <c r="Z247" i="2"/>
  <c r="Y247" i="2"/>
  <c r="X247" i="2"/>
  <c r="W247" i="2"/>
  <c r="M247" i="2"/>
  <c r="F247" i="2"/>
  <c r="AA246" i="2"/>
  <c r="Z246" i="2"/>
  <c r="Y246" i="2"/>
  <c r="X246" i="2"/>
  <c r="W246" i="2"/>
  <c r="M246" i="2"/>
  <c r="F246" i="2"/>
  <c r="AA245" i="2"/>
  <c r="Z245" i="2"/>
  <c r="Y245" i="2"/>
  <c r="X245" i="2"/>
  <c r="W245" i="2"/>
  <c r="M245" i="2"/>
  <c r="F245" i="2"/>
  <c r="AA244" i="2"/>
  <c r="Z244" i="2"/>
  <c r="Y244" i="2"/>
  <c r="X244" i="2"/>
  <c r="W244" i="2"/>
  <c r="M244" i="2"/>
  <c r="F244" i="2"/>
  <c r="AA243" i="2"/>
  <c r="Z243" i="2"/>
  <c r="Y243" i="2"/>
  <c r="X243" i="2"/>
  <c r="W243" i="2"/>
  <c r="M243" i="2"/>
  <c r="F243" i="2"/>
  <c r="AA242" i="2"/>
  <c r="Z242" i="2"/>
  <c r="Y242" i="2"/>
  <c r="X242" i="2"/>
  <c r="W242" i="2"/>
  <c r="M242" i="2"/>
  <c r="F242" i="2"/>
  <c r="AA241" i="2"/>
  <c r="Z241" i="2"/>
  <c r="Y241" i="2"/>
  <c r="X241" i="2"/>
  <c r="W241" i="2"/>
  <c r="M241" i="2"/>
  <c r="F241" i="2"/>
  <c r="AA240" i="2"/>
  <c r="Z240" i="2"/>
  <c r="Y240" i="2"/>
  <c r="X240" i="2"/>
  <c r="W240" i="2"/>
  <c r="M240" i="2"/>
  <c r="F240" i="2"/>
  <c r="AA239" i="2"/>
  <c r="Z239" i="2"/>
  <c r="Y239" i="2"/>
  <c r="X239" i="2"/>
  <c r="W239" i="2"/>
  <c r="M239" i="2"/>
  <c r="F239" i="2"/>
  <c r="AA238" i="2"/>
  <c r="Z238" i="2"/>
  <c r="Y238" i="2"/>
  <c r="X238" i="2"/>
  <c r="W238" i="2"/>
  <c r="M238" i="2"/>
  <c r="F238" i="2"/>
  <c r="AA237" i="2"/>
  <c r="Z237" i="2"/>
  <c r="Y237" i="2"/>
  <c r="X237" i="2"/>
  <c r="W237" i="2"/>
  <c r="M237" i="2"/>
  <c r="F237" i="2"/>
  <c r="AA236" i="2"/>
  <c r="Z236" i="2"/>
  <c r="Y236" i="2"/>
  <c r="X236" i="2"/>
  <c r="W236" i="2"/>
  <c r="M236" i="2"/>
  <c r="F236" i="2"/>
  <c r="AA235" i="2"/>
  <c r="Z235" i="2"/>
  <c r="Y235" i="2"/>
  <c r="X235" i="2"/>
  <c r="W235" i="2"/>
  <c r="M235" i="2"/>
  <c r="F235" i="2"/>
  <c r="AA234" i="2"/>
  <c r="Z234" i="2"/>
  <c r="Y234" i="2"/>
  <c r="X234" i="2"/>
  <c r="W234" i="2"/>
  <c r="M234" i="2"/>
  <c r="F234" i="2"/>
  <c r="AA233" i="2"/>
  <c r="Z233" i="2"/>
  <c r="Y233" i="2"/>
  <c r="X233" i="2"/>
  <c r="W233" i="2"/>
  <c r="M233" i="2"/>
  <c r="F233" i="2"/>
  <c r="AA232" i="2"/>
  <c r="Z232" i="2"/>
  <c r="Y232" i="2"/>
  <c r="X232" i="2"/>
  <c r="W232" i="2"/>
  <c r="M232" i="2"/>
  <c r="F232" i="2"/>
  <c r="AA231" i="2"/>
  <c r="Z231" i="2"/>
  <c r="Y231" i="2"/>
  <c r="X231" i="2"/>
  <c r="W231" i="2"/>
  <c r="M231" i="2"/>
  <c r="F231" i="2"/>
  <c r="AA230" i="2"/>
  <c r="Z230" i="2"/>
  <c r="Y230" i="2"/>
  <c r="X230" i="2"/>
  <c r="W230" i="2"/>
  <c r="M230" i="2"/>
  <c r="F230" i="2"/>
  <c r="AA229" i="2"/>
  <c r="Z229" i="2"/>
  <c r="Y229" i="2"/>
  <c r="X229" i="2"/>
  <c r="W229" i="2"/>
  <c r="M229" i="2"/>
  <c r="F229" i="2"/>
  <c r="AA228" i="2"/>
  <c r="Z228" i="2"/>
  <c r="Y228" i="2"/>
  <c r="X228" i="2"/>
  <c r="W228" i="2"/>
  <c r="M228" i="2"/>
  <c r="F228" i="2"/>
  <c r="AA227" i="2"/>
  <c r="Z227" i="2"/>
  <c r="Y227" i="2"/>
  <c r="X227" i="2"/>
  <c r="W227" i="2"/>
  <c r="M227" i="2"/>
  <c r="F227" i="2"/>
  <c r="AA226" i="2"/>
  <c r="Z226" i="2"/>
  <c r="Y226" i="2"/>
  <c r="X226" i="2"/>
  <c r="W226" i="2"/>
  <c r="M226" i="2"/>
  <c r="F226" i="2"/>
  <c r="AA225" i="2"/>
  <c r="Z225" i="2"/>
  <c r="Y225" i="2"/>
  <c r="X225" i="2"/>
  <c r="W225" i="2"/>
  <c r="M225" i="2"/>
  <c r="F225" i="2"/>
  <c r="AA224" i="2"/>
  <c r="Z224" i="2"/>
  <c r="Y224" i="2"/>
  <c r="X224" i="2"/>
  <c r="W224" i="2"/>
  <c r="M224" i="2"/>
  <c r="F224" i="2"/>
  <c r="AA223" i="2"/>
  <c r="Z223" i="2"/>
  <c r="Y223" i="2"/>
  <c r="X223" i="2"/>
  <c r="W223" i="2"/>
  <c r="M223" i="2"/>
  <c r="F223" i="2"/>
  <c r="AA222" i="2"/>
  <c r="Z222" i="2"/>
  <c r="Y222" i="2"/>
  <c r="X222" i="2"/>
  <c r="W222" i="2"/>
  <c r="M222" i="2"/>
  <c r="F222" i="2"/>
  <c r="AA221" i="2"/>
  <c r="Z221" i="2"/>
  <c r="Y221" i="2"/>
  <c r="X221" i="2"/>
  <c r="W221" i="2"/>
  <c r="M221" i="2"/>
  <c r="F221" i="2"/>
  <c r="AA220" i="2"/>
  <c r="Z220" i="2"/>
  <c r="Y220" i="2"/>
  <c r="X220" i="2"/>
  <c r="W220" i="2"/>
  <c r="M220" i="2"/>
  <c r="F220" i="2"/>
  <c r="AA219" i="2"/>
  <c r="Z219" i="2"/>
  <c r="Y219" i="2"/>
  <c r="X219" i="2"/>
  <c r="W219" i="2"/>
  <c r="M219" i="2"/>
  <c r="F219" i="2"/>
  <c r="AA218" i="2"/>
  <c r="Z218" i="2"/>
  <c r="Y218" i="2"/>
  <c r="X218" i="2"/>
  <c r="W218" i="2"/>
  <c r="M218" i="2"/>
  <c r="F218" i="2"/>
  <c r="AA217" i="2"/>
  <c r="Z217" i="2"/>
  <c r="Y217" i="2"/>
  <c r="X217" i="2"/>
  <c r="W217" i="2"/>
  <c r="M217" i="2"/>
  <c r="F217" i="2"/>
  <c r="AA216" i="2"/>
  <c r="Z216" i="2"/>
  <c r="Y216" i="2"/>
  <c r="X216" i="2"/>
  <c r="W216" i="2"/>
  <c r="M216" i="2"/>
  <c r="F216" i="2"/>
  <c r="AA215" i="2"/>
  <c r="Z215" i="2"/>
  <c r="Y215" i="2"/>
  <c r="X215" i="2"/>
  <c r="W215" i="2"/>
  <c r="M215" i="2"/>
  <c r="F215" i="2"/>
  <c r="AA214" i="2"/>
  <c r="Z214" i="2"/>
  <c r="Y214" i="2"/>
  <c r="X214" i="2"/>
  <c r="W214" i="2"/>
  <c r="M214" i="2"/>
  <c r="F214" i="2"/>
  <c r="AA213" i="2"/>
  <c r="Z213" i="2"/>
  <c r="Y213" i="2"/>
  <c r="X213" i="2"/>
  <c r="W213" i="2"/>
  <c r="M213" i="2"/>
  <c r="F213" i="2"/>
  <c r="AA212" i="2"/>
  <c r="Z212" i="2"/>
  <c r="Y212" i="2"/>
  <c r="X212" i="2"/>
  <c r="W212" i="2"/>
  <c r="M212" i="2"/>
  <c r="F212" i="2"/>
  <c r="AA211" i="2"/>
  <c r="Z211" i="2"/>
  <c r="Y211" i="2"/>
  <c r="X211" i="2"/>
  <c r="W211" i="2"/>
  <c r="M211" i="2"/>
  <c r="F211" i="2"/>
  <c r="AA210" i="2"/>
  <c r="Z210" i="2"/>
  <c r="Y210" i="2"/>
  <c r="X210" i="2"/>
  <c r="W210" i="2"/>
  <c r="M210" i="2"/>
  <c r="F210" i="2"/>
  <c r="AA209" i="2"/>
  <c r="Z209" i="2"/>
  <c r="Y209" i="2"/>
  <c r="X209" i="2"/>
  <c r="W209" i="2"/>
  <c r="M209" i="2"/>
  <c r="F209" i="2"/>
  <c r="AA208" i="2"/>
  <c r="Z208" i="2"/>
  <c r="Y208" i="2"/>
  <c r="X208" i="2"/>
  <c r="W208" i="2"/>
  <c r="M208" i="2"/>
  <c r="F208" i="2"/>
  <c r="AA207" i="2"/>
  <c r="Z207" i="2"/>
  <c r="Y207" i="2"/>
  <c r="X207" i="2"/>
  <c r="W207" i="2"/>
  <c r="M207" i="2"/>
  <c r="F207" i="2"/>
  <c r="AA206" i="2"/>
  <c r="Z206" i="2"/>
  <c r="Y206" i="2"/>
  <c r="X206" i="2"/>
  <c r="W206" i="2"/>
  <c r="M206" i="2"/>
  <c r="F206" i="2"/>
  <c r="AA205" i="2"/>
  <c r="Z205" i="2"/>
  <c r="Y205" i="2"/>
  <c r="X205" i="2"/>
  <c r="W205" i="2"/>
  <c r="M205" i="2"/>
  <c r="F205" i="2"/>
  <c r="AA204" i="2"/>
  <c r="Z204" i="2"/>
  <c r="Y204" i="2"/>
  <c r="X204" i="2"/>
  <c r="W204" i="2"/>
  <c r="M204" i="2"/>
  <c r="F204" i="2"/>
  <c r="AA203" i="2"/>
  <c r="Z203" i="2"/>
  <c r="Y203" i="2"/>
  <c r="X203" i="2"/>
  <c r="W203" i="2"/>
  <c r="M203" i="2"/>
  <c r="F203" i="2"/>
  <c r="AA202" i="2"/>
  <c r="Z202" i="2"/>
  <c r="Y202" i="2"/>
  <c r="X202" i="2"/>
  <c r="W202" i="2"/>
  <c r="M202" i="2"/>
  <c r="F202" i="2"/>
  <c r="AA201" i="2"/>
  <c r="Z201" i="2"/>
  <c r="Y201" i="2"/>
  <c r="X201" i="2"/>
  <c r="W201" i="2"/>
  <c r="M201" i="2"/>
  <c r="F201" i="2"/>
  <c r="AA200" i="2"/>
  <c r="Z200" i="2"/>
  <c r="Y200" i="2"/>
  <c r="X200" i="2"/>
  <c r="W200" i="2"/>
  <c r="M200" i="2"/>
  <c r="F200" i="2"/>
  <c r="AA199" i="2"/>
  <c r="Z199" i="2"/>
  <c r="Y199" i="2"/>
  <c r="X199" i="2"/>
  <c r="W199" i="2"/>
  <c r="M199" i="2"/>
  <c r="F199" i="2"/>
  <c r="AA198" i="2"/>
  <c r="Z198" i="2"/>
  <c r="Y198" i="2"/>
  <c r="X198" i="2"/>
  <c r="W198" i="2"/>
  <c r="M198" i="2"/>
  <c r="F198" i="2"/>
  <c r="AA197" i="2"/>
  <c r="Z197" i="2"/>
  <c r="Y197" i="2"/>
  <c r="X197" i="2"/>
  <c r="W197" i="2"/>
  <c r="M197" i="2"/>
  <c r="F197" i="2"/>
  <c r="AA196" i="2"/>
  <c r="Z196" i="2"/>
  <c r="Y196" i="2"/>
  <c r="X196" i="2"/>
  <c r="W196" i="2"/>
  <c r="M196" i="2"/>
  <c r="F196" i="2"/>
  <c r="AA195" i="2"/>
  <c r="Z195" i="2"/>
  <c r="Y195" i="2"/>
  <c r="X195" i="2"/>
  <c r="W195" i="2"/>
  <c r="M195" i="2"/>
  <c r="F195" i="2"/>
  <c r="AA194" i="2"/>
  <c r="Z194" i="2"/>
  <c r="Y194" i="2"/>
  <c r="X194" i="2"/>
  <c r="W194" i="2"/>
  <c r="M194" i="2"/>
  <c r="F194" i="2"/>
  <c r="AA193" i="2"/>
  <c r="Z193" i="2"/>
  <c r="Y193" i="2"/>
  <c r="X193" i="2"/>
  <c r="W193" i="2"/>
  <c r="M193" i="2"/>
  <c r="F193" i="2"/>
  <c r="AA192" i="2"/>
  <c r="Z192" i="2"/>
  <c r="Y192" i="2"/>
  <c r="X192" i="2"/>
  <c r="W192" i="2"/>
  <c r="M192" i="2"/>
  <c r="F192" i="2"/>
  <c r="AA191" i="2"/>
  <c r="Z191" i="2"/>
  <c r="Y191" i="2"/>
  <c r="X191" i="2"/>
  <c r="W191" i="2"/>
  <c r="M191" i="2"/>
  <c r="F191" i="2"/>
  <c r="AA190" i="2"/>
  <c r="Z190" i="2"/>
  <c r="Y190" i="2"/>
  <c r="X190" i="2"/>
  <c r="W190" i="2"/>
  <c r="M190" i="2"/>
  <c r="F190" i="2"/>
  <c r="AA189" i="2"/>
  <c r="Z189" i="2"/>
  <c r="Y189" i="2"/>
  <c r="X189" i="2"/>
  <c r="W189" i="2"/>
  <c r="M189" i="2"/>
  <c r="F189" i="2"/>
  <c r="AA188" i="2"/>
  <c r="Z188" i="2"/>
  <c r="Y188" i="2"/>
  <c r="X188" i="2"/>
  <c r="W188" i="2"/>
  <c r="M188" i="2"/>
  <c r="F188" i="2"/>
  <c r="AA187" i="2"/>
  <c r="Z187" i="2"/>
  <c r="Y187" i="2"/>
  <c r="X187" i="2"/>
  <c r="W187" i="2"/>
  <c r="M187" i="2"/>
  <c r="F187" i="2"/>
  <c r="AA186" i="2"/>
  <c r="Z186" i="2"/>
  <c r="Y186" i="2"/>
  <c r="X186" i="2"/>
  <c r="W186" i="2"/>
  <c r="M186" i="2"/>
  <c r="F186" i="2"/>
  <c r="AA185" i="2"/>
  <c r="Z185" i="2"/>
  <c r="Y185" i="2"/>
  <c r="X185" i="2"/>
  <c r="W185" i="2"/>
  <c r="M185" i="2"/>
  <c r="F185" i="2"/>
  <c r="AA184" i="2"/>
  <c r="Z184" i="2"/>
  <c r="Y184" i="2"/>
  <c r="X184" i="2"/>
  <c r="W184" i="2"/>
  <c r="M184" i="2"/>
  <c r="F184" i="2"/>
  <c r="AA183" i="2"/>
  <c r="Z183" i="2"/>
  <c r="Y183" i="2"/>
  <c r="X183" i="2"/>
  <c r="W183" i="2"/>
  <c r="M183" i="2"/>
  <c r="F183" i="2"/>
  <c r="AA182" i="2"/>
  <c r="Z182" i="2"/>
  <c r="Y182" i="2"/>
  <c r="X182" i="2"/>
  <c r="W182" i="2"/>
  <c r="M182" i="2"/>
  <c r="F182" i="2"/>
  <c r="AA181" i="2"/>
  <c r="Z181" i="2"/>
  <c r="Y181" i="2"/>
  <c r="X181" i="2"/>
  <c r="W181" i="2"/>
  <c r="M181" i="2"/>
  <c r="F181" i="2"/>
  <c r="AA180" i="2"/>
  <c r="Z180" i="2"/>
  <c r="Y180" i="2"/>
  <c r="X180" i="2"/>
  <c r="W180" i="2"/>
  <c r="M180" i="2"/>
  <c r="F180" i="2"/>
  <c r="AA179" i="2"/>
  <c r="Z179" i="2"/>
  <c r="Y179" i="2"/>
  <c r="X179" i="2"/>
  <c r="W179" i="2"/>
  <c r="M179" i="2"/>
  <c r="F179" i="2"/>
  <c r="AA178" i="2"/>
  <c r="Z178" i="2"/>
  <c r="Y178" i="2"/>
  <c r="X178" i="2"/>
  <c r="W178" i="2"/>
  <c r="M178" i="2"/>
  <c r="F178" i="2"/>
  <c r="AA177" i="2"/>
  <c r="Z177" i="2"/>
  <c r="Y177" i="2"/>
  <c r="X177" i="2"/>
  <c r="W177" i="2"/>
  <c r="M177" i="2"/>
  <c r="F177" i="2"/>
  <c r="AA176" i="2"/>
  <c r="Z176" i="2"/>
  <c r="Y176" i="2"/>
  <c r="X176" i="2"/>
  <c r="W176" i="2"/>
  <c r="M176" i="2"/>
  <c r="F176" i="2"/>
  <c r="AA175" i="2"/>
  <c r="Z175" i="2"/>
  <c r="Y175" i="2"/>
  <c r="X175" i="2"/>
  <c r="W175" i="2"/>
  <c r="M175" i="2"/>
  <c r="F175" i="2"/>
  <c r="AA174" i="2"/>
  <c r="Z174" i="2"/>
  <c r="Y174" i="2"/>
  <c r="X174" i="2"/>
  <c r="W174" i="2"/>
  <c r="M174" i="2"/>
  <c r="F174" i="2"/>
  <c r="AA173" i="2"/>
  <c r="Z173" i="2"/>
  <c r="Y173" i="2"/>
  <c r="X173" i="2"/>
  <c r="W173" i="2"/>
  <c r="M173" i="2"/>
  <c r="F173" i="2"/>
  <c r="AA172" i="2"/>
  <c r="Z172" i="2"/>
  <c r="Y172" i="2"/>
  <c r="X172" i="2"/>
  <c r="W172" i="2"/>
  <c r="M172" i="2"/>
  <c r="F172" i="2"/>
  <c r="AA171" i="2"/>
  <c r="Z171" i="2"/>
  <c r="Y171" i="2"/>
  <c r="X171" i="2"/>
  <c r="W171" i="2"/>
  <c r="M171" i="2"/>
  <c r="F171" i="2"/>
  <c r="AA170" i="2"/>
  <c r="Z170" i="2"/>
  <c r="Y170" i="2"/>
  <c r="X170" i="2"/>
  <c r="W170" i="2"/>
  <c r="M170" i="2"/>
  <c r="F170" i="2"/>
  <c r="AA169" i="2"/>
  <c r="Z169" i="2"/>
  <c r="Y169" i="2"/>
  <c r="X169" i="2"/>
  <c r="W169" i="2"/>
  <c r="M169" i="2"/>
  <c r="F169" i="2"/>
  <c r="AA168" i="2"/>
  <c r="Z168" i="2"/>
  <c r="Y168" i="2"/>
  <c r="X168" i="2"/>
  <c r="W168" i="2"/>
  <c r="M168" i="2"/>
  <c r="F168" i="2"/>
  <c r="AA167" i="2"/>
  <c r="Z167" i="2"/>
  <c r="Y167" i="2"/>
  <c r="X167" i="2"/>
  <c r="W167" i="2"/>
  <c r="M167" i="2"/>
  <c r="F167" i="2"/>
  <c r="AA166" i="2"/>
  <c r="Z166" i="2"/>
  <c r="Y166" i="2"/>
  <c r="X166" i="2"/>
  <c r="W166" i="2"/>
  <c r="M166" i="2"/>
  <c r="F166" i="2"/>
  <c r="AA165" i="2"/>
  <c r="Z165" i="2"/>
  <c r="Y165" i="2"/>
  <c r="X165" i="2"/>
  <c r="W165" i="2"/>
  <c r="M165" i="2"/>
  <c r="F165" i="2"/>
  <c r="AA164" i="2"/>
  <c r="Z164" i="2"/>
  <c r="Y164" i="2"/>
  <c r="X164" i="2"/>
  <c r="W164" i="2"/>
  <c r="M164" i="2"/>
  <c r="F164" i="2"/>
  <c r="AA163" i="2"/>
  <c r="Z163" i="2"/>
  <c r="Y163" i="2"/>
  <c r="X163" i="2"/>
  <c r="W163" i="2"/>
  <c r="M163" i="2"/>
  <c r="F163" i="2"/>
  <c r="AA162" i="2"/>
  <c r="Z162" i="2"/>
  <c r="Y162" i="2"/>
  <c r="X162" i="2"/>
  <c r="W162" i="2"/>
  <c r="M162" i="2"/>
  <c r="F162" i="2"/>
  <c r="AA161" i="2"/>
  <c r="Z161" i="2"/>
  <c r="Y161" i="2"/>
  <c r="X161" i="2"/>
  <c r="W161" i="2"/>
  <c r="M161" i="2"/>
  <c r="F161" i="2"/>
  <c r="AA160" i="2"/>
  <c r="Z160" i="2"/>
  <c r="Y160" i="2"/>
  <c r="X160" i="2"/>
  <c r="W160" i="2"/>
  <c r="M160" i="2"/>
  <c r="F160" i="2"/>
  <c r="AA159" i="2"/>
  <c r="Z159" i="2"/>
  <c r="Y159" i="2"/>
  <c r="X159" i="2"/>
  <c r="W159" i="2"/>
  <c r="M159" i="2"/>
  <c r="F159" i="2"/>
  <c r="AA158" i="2"/>
  <c r="Z158" i="2"/>
  <c r="Y158" i="2"/>
  <c r="X158" i="2"/>
  <c r="W158" i="2"/>
  <c r="M158" i="2"/>
  <c r="F158" i="2"/>
  <c r="AA157" i="2"/>
  <c r="Z157" i="2"/>
  <c r="Y157" i="2"/>
  <c r="X157" i="2"/>
  <c r="W157" i="2"/>
  <c r="M157" i="2"/>
  <c r="F157" i="2"/>
  <c r="AA156" i="2"/>
  <c r="Z156" i="2"/>
  <c r="Y156" i="2"/>
  <c r="X156" i="2"/>
  <c r="W156" i="2"/>
  <c r="M156" i="2"/>
  <c r="F156" i="2"/>
  <c r="AA155" i="2"/>
  <c r="Z155" i="2"/>
  <c r="Y155" i="2"/>
  <c r="X155" i="2"/>
  <c r="W155" i="2"/>
  <c r="M155" i="2"/>
  <c r="F155" i="2"/>
  <c r="AA154" i="2"/>
  <c r="Z154" i="2"/>
  <c r="Y154" i="2"/>
  <c r="X154" i="2"/>
  <c r="W154" i="2"/>
  <c r="M154" i="2"/>
  <c r="F154" i="2"/>
  <c r="AA153" i="2"/>
  <c r="Z153" i="2"/>
  <c r="Y153" i="2"/>
  <c r="X153" i="2"/>
  <c r="W153" i="2"/>
  <c r="M153" i="2"/>
  <c r="F153" i="2"/>
  <c r="AA152" i="2"/>
  <c r="Z152" i="2"/>
  <c r="Y152" i="2"/>
  <c r="X152" i="2"/>
  <c r="W152" i="2"/>
  <c r="M152" i="2"/>
  <c r="F152" i="2"/>
  <c r="AA151" i="2"/>
  <c r="Z151" i="2"/>
  <c r="Y151" i="2"/>
  <c r="X151" i="2"/>
  <c r="W151" i="2"/>
  <c r="M151" i="2"/>
  <c r="F151" i="2"/>
  <c r="AA150" i="2"/>
  <c r="Z150" i="2"/>
  <c r="Y150" i="2"/>
  <c r="X150" i="2"/>
  <c r="W150" i="2"/>
  <c r="M150" i="2"/>
  <c r="F150" i="2"/>
  <c r="AA149" i="2"/>
  <c r="Z149" i="2"/>
  <c r="Y149" i="2"/>
  <c r="X149" i="2"/>
  <c r="W149" i="2"/>
  <c r="M149" i="2"/>
  <c r="F149" i="2"/>
  <c r="AA148" i="2"/>
  <c r="Z148" i="2"/>
  <c r="Y148" i="2"/>
  <c r="X148" i="2"/>
  <c r="W148" i="2"/>
  <c r="M148" i="2"/>
  <c r="F148" i="2"/>
  <c r="AA147" i="2"/>
  <c r="Z147" i="2"/>
  <c r="Y147" i="2"/>
  <c r="X147" i="2"/>
  <c r="W147" i="2"/>
  <c r="M147" i="2"/>
  <c r="F147" i="2"/>
  <c r="AA146" i="2"/>
  <c r="Z146" i="2"/>
  <c r="Y146" i="2"/>
  <c r="X146" i="2"/>
  <c r="W146" i="2"/>
  <c r="M146" i="2"/>
  <c r="F146" i="2"/>
  <c r="AA145" i="2"/>
  <c r="Z145" i="2"/>
  <c r="Y145" i="2"/>
  <c r="X145" i="2"/>
  <c r="W145" i="2"/>
  <c r="M145" i="2"/>
  <c r="F145" i="2"/>
  <c r="AA144" i="2"/>
  <c r="Z144" i="2"/>
  <c r="Y144" i="2"/>
  <c r="X144" i="2"/>
  <c r="W144" i="2"/>
  <c r="M144" i="2"/>
  <c r="F144" i="2"/>
  <c r="AA143" i="2"/>
  <c r="Z143" i="2"/>
  <c r="Y143" i="2"/>
  <c r="X143" i="2"/>
  <c r="W143" i="2"/>
  <c r="M143" i="2"/>
  <c r="F143" i="2"/>
  <c r="AA142" i="2"/>
  <c r="Z142" i="2"/>
  <c r="Y142" i="2"/>
  <c r="X142" i="2"/>
  <c r="W142" i="2"/>
  <c r="M142" i="2"/>
  <c r="F142" i="2"/>
  <c r="AA141" i="2"/>
  <c r="Z141" i="2"/>
  <c r="Y141" i="2"/>
  <c r="X141" i="2"/>
  <c r="W141" i="2"/>
  <c r="M141" i="2"/>
  <c r="F141" i="2"/>
  <c r="AA140" i="2"/>
  <c r="Z140" i="2"/>
  <c r="Y140" i="2"/>
  <c r="X140" i="2"/>
  <c r="W140" i="2"/>
  <c r="M140" i="2"/>
  <c r="F140" i="2"/>
  <c r="AA139" i="2"/>
  <c r="Z139" i="2"/>
  <c r="Y139" i="2"/>
  <c r="X139" i="2"/>
  <c r="W139" i="2"/>
  <c r="M139" i="2"/>
  <c r="F139" i="2"/>
  <c r="AA138" i="2"/>
  <c r="Z138" i="2"/>
  <c r="Y138" i="2"/>
  <c r="X138" i="2"/>
  <c r="W138" i="2"/>
  <c r="M138" i="2"/>
  <c r="F138" i="2"/>
  <c r="AA137" i="2"/>
  <c r="Z137" i="2"/>
  <c r="Y137" i="2"/>
  <c r="X137" i="2"/>
  <c r="W137" i="2"/>
  <c r="M137" i="2"/>
  <c r="F137" i="2"/>
  <c r="AA136" i="2"/>
  <c r="Z136" i="2"/>
  <c r="Y136" i="2"/>
  <c r="X136" i="2"/>
  <c r="W136" i="2"/>
  <c r="M136" i="2"/>
  <c r="F136" i="2"/>
  <c r="AA135" i="2"/>
  <c r="Z135" i="2"/>
  <c r="Y135" i="2"/>
  <c r="X135" i="2"/>
  <c r="W135" i="2"/>
  <c r="M135" i="2"/>
  <c r="F135" i="2"/>
  <c r="AA134" i="2"/>
  <c r="Z134" i="2"/>
  <c r="Y134" i="2"/>
  <c r="X134" i="2"/>
  <c r="W134" i="2"/>
  <c r="M134" i="2"/>
  <c r="F134" i="2"/>
  <c r="AA133" i="2"/>
  <c r="Z133" i="2"/>
  <c r="Y133" i="2"/>
  <c r="X133" i="2"/>
  <c r="W133" i="2"/>
  <c r="M133" i="2"/>
  <c r="F133" i="2"/>
  <c r="AA132" i="2"/>
  <c r="Z132" i="2"/>
  <c r="Y132" i="2"/>
  <c r="X132" i="2"/>
  <c r="W132" i="2"/>
  <c r="M132" i="2"/>
  <c r="F132" i="2"/>
  <c r="AA131" i="2"/>
  <c r="Z131" i="2"/>
  <c r="Y131" i="2"/>
  <c r="X131" i="2"/>
  <c r="W131" i="2"/>
  <c r="M131" i="2"/>
  <c r="F131" i="2"/>
  <c r="AA130" i="2"/>
  <c r="Z130" i="2"/>
  <c r="Y130" i="2"/>
  <c r="X130" i="2"/>
  <c r="W130" i="2"/>
  <c r="M130" i="2"/>
  <c r="F130" i="2"/>
  <c r="AA129" i="2"/>
  <c r="Z129" i="2"/>
  <c r="Y129" i="2"/>
  <c r="X129" i="2"/>
  <c r="W129" i="2"/>
  <c r="M129" i="2"/>
  <c r="F129" i="2"/>
  <c r="AA128" i="2"/>
  <c r="Z128" i="2"/>
  <c r="Y128" i="2"/>
  <c r="X128" i="2"/>
  <c r="W128" i="2"/>
  <c r="M128" i="2"/>
  <c r="F128" i="2"/>
  <c r="AA127" i="2"/>
  <c r="Z127" i="2"/>
  <c r="Y127" i="2"/>
  <c r="X127" i="2"/>
  <c r="W127" i="2"/>
  <c r="M127" i="2"/>
  <c r="F127" i="2"/>
  <c r="AA126" i="2"/>
  <c r="Z126" i="2"/>
  <c r="Y126" i="2"/>
  <c r="X126" i="2"/>
  <c r="W126" i="2"/>
  <c r="M126" i="2"/>
  <c r="F126" i="2"/>
  <c r="AA125" i="2"/>
  <c r="Z125" i="2"/>
  <c r="Y125" i="2"/>
  <c r="X125" i="2"/>
  <c r="W125" i="2"/>
  <c r="M125" i="2"/>
  <c r="F125" i="2"/>
  <c r="AA124" i="2"/>
  <c r="Z124" i="2"/>
  <c r="Y124" i="2"/>
  <c r="X124" i="2"/>
  <c r="W124" i="2"/>
  <c r="M124" i="2"/>
  <c r="F124" i="2"/>
  <c r="AA123" i="2"/>
  <c r="Z123" i="2"/>
  <c r="Y123" i="2"/>
  <c r="X123" i="2"/>
  <c r="W123" i="2"/>
  <c r="M123" i="2"/>
  <c r="F123" i="2"/>
  <c r="AA122" i="2"/>
  <c r="Z122" i="2"/>
  <c r="Y122" i="2"/>
  <c r="X122" i="2"/>
  <c r="W122" i="2"/>
  <c r="M122" i="2"/>
  <c r="F122" i="2"/>
  <c r="AA121" i="2"/>
  <c r="Z121" i="2"/>
  <c r="Y121" i="2"/>
  <c r="X121" i="2"/>
  <c r="W121" i="2"/>
  <c r="M121" i="2"/>
  <c r="F121" i="2"/>
  <c r="AA120" i="2"/>
  <c r="Z120" i="2"/>
  <c r="Y120" i="2"/>
  <c r="X120" i="2"/>
  <c r="W120" i="2"/>
  <c r="M120" i="2"/>
  <c r="F120" i="2"/>
  <c r="AA119" i="2"/>
  <c r="Z119" i="2"/>
  <c r="Y119" i="2"/>
  <c r="X119" i="2"/>
  <c r="W119" i="2"/>
  <c r="M119" i="2"/>
  <c r="F119" i="2"/>
  <c r="AA118" i="2"/>
  <c r="Z118" i="2"/>
  <c r="Y118" i="2"/>
  <c r="X118" i="2"/>
  <c r="W118" i="2"/>
  <c r="M118" i="2"/>
  <c r="F118" i="2"/>
  <c r="AA117" i="2"/>
  <c r="Z117" i="2"/>
  <c r="Y117" i="2"/>
  <c r="X117" i="2"/>
  <c r="W117" i="2"/>
  <c r="M117" i="2"/>
  <c r="F117" i="2"/>
  <c r="AA116" i="2"/>
  <c r="Z116" i="2"/>
  <c r="Y116" i="2"/>
  <c r="X116" i="2"/>
  <c r="W116" i="2"/>
  <c r="M116" i="2"/>
  <c r="F116" i="2"/>
  <c r="AA115" i="2"/>
  <c r="Z115" i="2"/>
  <c r="Y115" i="2"/>
  <c r="X115" i="2"/>
  <c r="W115" i="2"/>
  <c r="M115" i="2"/>
  <c r="F115" i="2"/>
  <c r="AA114" i="2"/>
  <c r="Z114" i="2"/>
  <c r="Y114" i="2"/>
  <c r="X114" i="2"/>
  <c r="W114" i="2"/>
  <c r="M114" i="2"/>
  <c r="F114" i="2"/>
  <c r="AA113" i="2"/>
  <c r="Z113" i="2"/>
  <c r="Y113" i="2"/>
  <c r="X113" i="2"/>
  <c r="W113" i="2"/>
  <c r="M113" i="2"/>
  <c r="F113" i="2"/>
  <c r="AA112" i="2"/>
  <c r="Z112" i="2"/>
  <c r="Y112" i="2"/>
  <c r="X112" i="2"/>
  <c r="W112" i="2"/>
  <c r="M112" i="2"/>
  <c r="F112" i="2"/>
  <c r="AA111" i="2"/>
  <c r="Z111" i="2"/>
  <c r="Y111" i="2"/>
  <c r="X111" i="2"/>
  <c r="W111" i="2"/>
  <c r="M111" i="2"/>
  <c r="F111" i="2"/>
  <c r="AA110" i="2"/>
  <c r="Z110" i="2"/>
  <c r="Y110" i="2"/>
  <c r="X110" i="2"/>
  <c r="W110" i="2"/>
  <c r="M110" i="2"/>
  <c r="F110" i="2"/>
  <c r="AA109" i="2"/>
  <c r="Z109" i="2"/>
  <c r="Y109" i="2"/>
  <c r="X109" i="2"/>
  <c r="W109" i="2"/>
  <c r="M109" i="2"/>
  <c r="F109" i="2"/>
  <c r="AA108" i="2"/>
  <c r="Z108" i="2"/>
  <c r="Y108" i="2"/>
  <c r="X108" i="2"/>
  <c r="W108" i="2"/>
  <c r="M108" i="2"/>
  <c r="F108" i="2"/>
  <c r="AA107" i="2"/>
  <c r="Z107" i="2"/>
  <c r="Y107" i="2"/>
  <c r="X107" i="2"/>
  <c r="W107" i="2"/>
  <c r="M107" i="2"/>
  <c r="F107" i="2"/>
  <c r="AA106" i="2"/>
  <c r="Z106" i="2"/>
  <c r="Y106" i="2"/>
  <c r="X106" i="2"/>
  <c r="W106" i="2"/>
  <c r="M106" i="2"/>
  <c r="F106" i="2"/>
  <c r="AA105" i="2"/>
  <c r="Z105" i="2"/>
  <c r="Y105" i="2"/>
  <c r="X105" i="2"/>
  <c r="W105" i="2"/>
  <c r="M105" i="2"/>
  <c r="F105" i="2"/>
  <c r="AA104" i="2"/>
  <c r="Z104" i="2"/>
  <c r="Y104" i="2"/>
  <c r="X104" i="2"/>
  <c r="W104" i="2"/>
  <c r="M104" i="2"/>
  <c r="F104" i="2"/>
  <c r="AA103" i="2"/>
  <c r="Z103" i="2"/>
  <c r="Y103" i="2"/>
  <c r="X103" i="2"/>
  <c r="W103" i="2"/>
  <c r="M103" i="2"/>
  <c r="F103" i="2"/>
  <c r="AA102" i="2"/>
  <c r="Z102" i="2"/>
  <c r="Y102" i="2"/>
  <c r="X102" i="2"/>
  <c r="W102" i="2"/>
  <c r="M102" i="2"/>
  <c r="F102" i="2"/>
  <c r="AA101" i="2"/>
  <c r="Z101" i="2"/>
  <c r="Y101" i="2"/>
  <c r="X101" i="2"/>
  <c r="W101" i="2"/>
  <c r="M101" i="2"/>
  <c r="F101" i="2"/>
  <c r="AA100" i="2"/>
  <c r="Z100" i="2"/>
  <c r="Y100" i="2"/>
  <c r="X100" i="2"/>
  <c r="W100" i="2"/>
  <c r="M100" i="2"/>
  <c r="F100" i="2"/>
  <c r="AA99" i="2"/>
  <c r="Z99" i="2"/>
  <c r="Y99" i="2"/>
  <c r="X99" i="2"/>
  <c r="W99" i="2"/>
  <c r="M99" i="2"/>
  <c r="F99" i="2"/>
  <c r="AA98" i="2"/>
  <c r="Z98" i="2"/>
  <c r="Y98" i="2"/>
  <c r="X98" i="2"/>
  <c r="W98" i="2"/>
  <c r="M98" i="2"/>
  <c r="F98" i="2"/>
  <c r="AA97" i="2"/>
  <c r="Z97" i="2"/>
  <c r="Y97" i="2"/>
  <c r="X97" i="2"/>
  <c r="W97" i="2"/>
  <c r="M97" i="2"/>
  <c r="F97" i="2"/>
  <c r="AA96" i="2"/>
  <c r="Z96" i="2"/>
  <c r="Y96" i="2"/>
  <c r="X96" i="2"/>
  <c r="W96" i="2"/>
  <c r="M96" i="2"/>
  <c r="F96" i="2"/>
  <c r="AA95" i="2"/>
  <c r="Z95" i="2"/>
  <c r="Y95" i="2"/>
  <c r="X95" i="2"/>
  <c r="W95" i="2"/>
  <c r="M95" i="2"/>
  <c r="F95" i="2"/>
  <c r="AA94" i="2"/>
  <c r="Z94" i="2"/>
  <c r="Y94" i="2"/>
  <c r="X94" i="2"/>
  <c r="W94" i="2"/>
  <c r="M94" i="2"/>
  <c r="F94" i="2"/>
  <c r="AA93" i="2"/>
  <c r="Z93" i="2"/>
  <c r="Y93" i="2"/>
  <c r="X93" i="2"/>
  <c r="W93" i="2"/>
  <c r="M93" i="2"/>
  <c r="F93" i="2"/>
  <c r="AA92" i="2"/>
  <c r="Z92" i="2"/>
  <c r="Y92" i="2"/>
  <c r="X92" i="2"/>
  <c r="W92" i="2"/>
  <c r="M92" i="2"/>
  <c r="F92" i="2"/>
  <c r="AA91" i="2"/>
  <c r="Z91" i="2"/>
  <c r="Y91" i="2"/>
  <c r="X91" i="2"/>
  <c r="W91" i="2"/>
  <c r="M91" i="2"/>
  <c r="F91" i="2"/>
  <c r="AA90" i="2"/>
  <c r="Z90" i="2"/>
  <c r="Y90" i="2"/>
  <c r="X90" i="2"/>
  <c r="W90" i="2"/>
  <c r="M90" i="2"/>
  <c r="F90" i="2"/>
  <c r="AA89" i="2"/>
  <c r="Z89" i="2"/>
  <c r="Y89" i="2"/>
  <c r="X89" i="2"/>
  <c r="W89" i="2"/>
  <c r="M89" i="2"/>
  <c r="F89" i="2"/>
  <c r="AA88" i="2"/>
  <c r="Z88" i="2"/>
  <c r="Y88" i="2"/>
  <c r="X88" i="2"/>
  <c r="W88" i="2"/>
  <c r="M88" i="2"/>
  <c r="F88" i="2"/>
  <c r="AA87" i="2"/>
  <c r="Z87" i="2"/>
  <c r="Y87" i="2"/>
  <c r="X87" i="2"/>
  <c r="W87" i="2"/>
  <c r="M87" i="2"/>
  <c r="F87" i="2"/>
  <c r="AA86" i="2"/>
  <c r="Z86" i="2"/>
  <c r="Y86" i="2"/>
  <c r="X86" i="2"/>
  <c r="W86" i="2"/>
  <c r="M86" i="2"/>
  <c r="F86" i="2"/>
  <c r="AA85" i="2"/>
  <c r="Z85" i="2"/>
  <c r="Y85" i="2"/>
  <c r="X85" i="2"/>
  <c r="W85" i="2"/>
  <c r="M85" i="2"/>
  <c r="F85" i="2"/>
  <c r="AA84" i="2"/>
  <c r="Z84" i="2"/>
  <c r="Y84" i="2"/>
  <c r="X84" i="2"/>
  <c r="W84" i="2"/>
  <c r="M84" i="2"/>
  <c r="F84" i="2"/>
  <c r="AA83" i="2"/>
  <c r="Z83" i="2"/>
  <c r="Y83" i="2"/>
  <c r="X83" i="2"/>
  <c r="W83" i="2"/>
  <c r="M83" i="2"/>
  <c r="F83" i="2"/>
  <c r="AA82" i="2"/>
  <c r="Z82" i="2"/>
  <c r="Y82" i="2"/>
  <c r="X82" i="2"/>
  <c r="W82" i="2"/>
  <c r="M82" i="2"/>
  <c r="F82" i="2"/>
  <c r="AA81" i="2"/>
  <c r="Z81" i="2"/>
  <c r="Y81" i="2"/>
  <c r="X81" i="2"/>
  <c r="W81" i="2"/>
  <c r="M81" i="2"/>
  <c r="F81" i="2"/>
  <c r="AA80" i="2"/>
  <c r="Z80" i="2"/>
  <c r="Y80" i="2"/>
  <c r="X80" i="2"/>
  <c r="W80" i="2"/>
  <c r="M80" i="2"/>
  <c r="F80" i="2"/>
  <c r="AA79" i="2"/>
  <c r="Z79" i="2"/>
  <c r="Y79" i="2"/>
  <c r="X79" i="2"/>
  <c r="W79" i="2"/>
  <c r="M79" i="2"/>
  <c r="F79" i="2"/>
  <c r="AA78" i="2"/>
  <c r="Z78" i="2"/>
  <c r="Y78" i="2"/>
  <c r="X78" i="2"/>
  <c r="W78" i="2"/>
  <c r="M78" i="2"/>
  <c r="F78" i="2"/>
  <c r="AA77" i="2"/>
  <c r="Z77" i="2"/>
  <c r="Y77" i="2"/>
  <c r="X77" i="2"/>
  <c r="W77" i="2"/>
  <c r="M77" i="2"/>
  <c r="F77" i="2"/>
  <c r="AA76" i="2"/>
  <c r="Z76" i="2"/>
  <c r="Y76" i="2"/>
  <c r="X76" i="2"/>
  <c r="W76" i="2"/>
  <c r="M76" i="2"/>
  <c r="F76" i="2"/>
  <c r="AA75" i="2"/>
  <c r="Z75" i="2"/>
  <c r="Y75" i="2"/>
  <c r="X75" i="2"/>
  <c r="W75" i="2"/>
  <c r="M75" i="2"/>
  <c r="F75" i="2"/>
  <c r="AA74" i="2"/>
  <c r="Z74" i="2"/>
  <c r="Y74" i="2"/>
  <c r="X74" i="2"/>
  <c r="W74" i="2"/>
  <c r="M74" i="2"/>
  <c r="F74" i="2"/>
  <c r="AA73" i="2"/>
  <c r="Z73" i="2"/>
  <c r="Y73" i="2"/>
  <c r="X73" i="2"/>
  <c r="W73" i="2"/>
  <c r="M73" i="2"/>
  <c r="F73" i="2"/>
  <c r="AA72" i="2"/>
  <c r="Z72" i="2"/>
  <c r="Y72" i="2"/>
  <c r="X72" i="2"/>
  <c r="W72" i="2"/>
  <c r="M72" i="2"/>
  <c r="F72" i="2"/>
  <c r="AA71" i="2"/>
  <c r="Z71" i="2"/>
  <c r="Y71" i="2"/>
  <c r="X71" i="2"/>
  <c r="W71" i="2"/>
  <c r="M71" i="2"/>
  <c r="F71" i="2"/>
  <c r="AA70" i="2"/>
  <c r="Z70" i="2"/>
  <c r="Y70" i="2"/>
  <c r="X70" i="2"/>
  <c r="W70" i="2"/>
  <c r="M70" i="2"/>
  <c r="F70" i="2"/>
  <c r="AA69" i="2"/>
  <c r="Z69" i="2"/>
  <c r="Y69" i="2"/>
  <c r="X69" i="2"/>
  <c r="W69" i="2"/>
  <c r="M69" i="2"/>
  <c r="F69" i="2"/>
  <c r="AA68" i="2"/>
  <c r="Z68" i="2"/>
  <c r="Y68" i="2"/>
  <c r="X68" i="2"/>
  <c r="W68" i="2"/>
  <c r="M68" i="2"/>
  <c r="F68" i="2"/>
  <c r="AA67" i="2"/>
  <c r="Z67" i="2"/>
  <c r="Y67" i="2"/>
  <c r="X67" i="2"/>
  <c r="W67" i="2"/>
  <c r="M67" i="2"/>
  <c r="F67" i="2"/>
  <c r="AA66" i="2"/>
  <c r="Z66" i="2"/>
  <c r="Y66" i="2"/>
  <c r="X66" i="2"/>
  <c r="W66" i="2"/>
  <c r="M66" i="2"/>
  <c r="F66" i="2"/>
  <c r="AA65" i="2"/>
  <c r="Z65" i="2"/>
  <c r="Y65" i="2"/>
  <c r="X65" i="2"/>
  <c r="W65" i="2"/>
  <c r="M65" i="2"/>
  <c r="F65" i="2"/>
  <c r="AA64" i="2"/>
  <c r="Z64" i="2"/>
  <c r="Y64" i="2"/>
  <c r="X64" i="2"/>
  <c r="W64" i="2"/>
  <c r="M64" i="2"/>
  <c r="F64" i="2"/>
  <c r="AA63" i="2"/>
  <c r="Z63" i="2"/>
  <c r="Y63" i="2"/>
  <c r="X63" i="2"/>
  <c r="W63" i="2"/>
  <c r="M63" i="2"/>
  <c r="F63" i="2"/>
  <c r="AA62" i="2"/>
  <c r="Z62" i="2"/>
  <c r="Y62" i="2"/>
  <c r="X62" i="2"/>
  <c r="W62" i="2"/>
  <c r="M62" i="2"/>
  <c r="F62" i="2"/>
  <c r="AA61" i="2"/>
  <c r="Z61" i="2"/>
  <c r="Y61" i="2"/>
  <c r="X61" i="2"/>
  <c r="W61" i="2"/>
  <c r="M61" i="2"/>
  <c r="F61" i="2"/>
  <c r="AA60" i="2"/>
  <c r="Z60" i="2"/>
  <c r="Y60" i="2"/>
  <c r="X60" i="2"/>
  <c r="W60" i="2"/>
  <c r="M60" i="2"/>
  <c r="F60" i="2"/>
  <c r="AA59" i="2"/>
  <c r="Z59" i="2"/>
  <c r="Y59" i="2"/>
  <c r="X59" i="2"/>
  <c r="W59" i="2"/>
  <c r="M59" i="2"/>
  <c r="F59" i="2"/>
  <c r="AA58" i="2"/>
  <c r="Z58" i="2"/>
  <c r="Y58" i="2"/>
  <c r="X58" i="2"/>
  <c r="W58" i="2"/>
  <c r="M58" i="2"/>
  <c r="F58" i="2"/>
  <c r="AA57" i="2"/>
  <c r="Z57" i="2"/>
  <c r="Y57" i="2"/>
  <c r="X57" i="2"/>
  <c r="W57" i="2"/>
  <c r="M57" i="2"/>
  <c r="F57" i="2"/>
  <c r="AA56" i="2"/>
  <c r="Z56" i="2"/>
  <c r="Y56" i="2"/>
  <c r="X56" i="2"/>
  <c r="W56" i="2"/>
  <c r="M56" i="2"/>
  <c r="F56" i="2"/>
  <c r="AA55" i="2"/>
  <c r="Z55" i="2"/>
  <c r="Y55" i="2"/>
  <c r="X55" i="2"/>
  <c r="W55" i="2"/>
  <c r="M55" i="2"/>
  <c r="F55" i="2"/>
  <c r="AA54" i="2"/>
  <c r="Z54" i="2"/>
  <c r="Y54" i="2"/>
  <c r="X54" i="2"/>
  <c r="W54" i="2"/>
  <c r="M54" i="2"/>
  <c r="F54" i="2"/>
  <c r="AA53" i="2"/>
  <c r="Z53" i="2"/>
  <c r="Y53" i="2"/>
  <c r="X53" i="2"/>
  <c r="W53" i="2"/>
  <c r="M53" i="2"/>
  <c r="F53" i="2"/>
  <c r="AA52" i="2"/>
  <c r="Z52" i="2"/>
  <c r="Y52" i="2"/>
  <c r="X52" i="2"/>
  <c r="W52" i="2"/>
  <c r="M52" i="2"/>
  <c r="F52" i="2"/>
  <c r="AA51" i="2"/>
  <c r="Z51" i="2"/>
  <c r="Y51" i="2"/>
  <c r="X51" i="2"/>
  <c r="W51" i="2"/>
  <c r="M51" i="2"/>
  <c r="F51" i="2"/>
  <c r="AA50" i="2"/>
  <c r="Z50" i="2"/>
  <c r="Y50" i="2"/>
  <c r="X50" i="2"/>
  <c r="W50" i="2"/>
  <c r="M50" i="2"/>
  <c r="F50" i="2"/>
  <c r="AA49" i="2"/>
  <c r="Z49" i="2"/>
  <c r="Y49" i="2"/>
  <c r="X49" i="2"/>
  <c r="W49" i="2"/>
  <c r="M49" i="2"/>
  <c r="F49" i="2"/>
  <c r="AA48" i="2"/>
  <c r="Z48" i="2"/>
  <c r="Y48" i="2"/>
  <c r="X48" i="2"/>
  <c r="W48" i="2"/>
  <c r="M48" i="2"/>
  <c r="F48" i="2"/>
  <c r="AA47" i="2"/>
  <c r="Z47" i="2"/>
  <c r="Y47" i="2"/>
  <c r="X47" i="2"/>
  <c r="W47" i="2"/>
  <c r="M47" i="2"/>
  <c r="F47" i="2"/>
  <c r="AA46" i="2"/>
  <c r="Z46" i="2"/>
  <c r="Y46" i="2"/>
  <c r="X46" i="2"/>
  <c r="W46" i="2"/>
  <c r="M46" i="2"/>
  <c r="F46" i="2"/>
  <c r="AA45" i="2"/>
  <c r="Z45" i="2"/>
  <c r="Y45" i="2"/>
  <c r="X45" i="2"/>
  <c r="W45" i="2"/>
  <c r="M45" i="2"/>
  <c r="F45" i="2"/>
  <c r="AA44" i="2"/>
  <c r="Z44" i="2"/>
  <c r="Y44" i="2"/>
  <c r="X44" i="2"/>
  <c r="W44" i="2"/>
  <c r="M44" i="2"/>
  <c r="F44" i="2"/>
  <c r="AA43" i="2"/>
  <c r="Z43" i="2"/>
  <c r="Y43" i="2"/>
  <c r="X43" i="2"/>
  <c r="W43" i="2"/>
  <c r="M43" i="2"/>
  <c r="F43" i="2"/>
  <c r="AA42" i="2"/>
  <c r="Z42" i="2"/>
  <c r="Y42" i="2"/>
  <c r="X42" i="2"/>
  <c r="W42" i="2"/>
  <c r="M42" i="2"/>
  <c r="F42" i="2"/>
  <c r="AA41" i="2"/>
  <c r="Z41" i="2"/>
  <c r="Y41" i="2"/>
  <c r="X41" i="2"/>
  <c r="W41" i="2"/>
  <c r="M41" i="2"/>
  <c r="F41" i="2"/>
  <c r="AA40" i="2"/>
  <c r="Z40" i="2"/>
  <c r="Y40" i="2"/>
  <c r="X40" i="2"/>
  <c r="W40" i="2"/>
  <c r="M40" i="2"/>
  <c r="F40" i="2"/>
  <c r="AA39" i="2"/>
  <c r="Z39" i="2"/>
  <c r="Y39" i="2"/>
  <c r="X39" i="2"/>
  <c r="W39" i="2"/>
  <c r="M39" i="2"/>
  <c r="F39" i="2"/>
  <c r="AA38" i="2"/>
  <c r="Z38" i="2"/>
  <c r="Y38" i="2"/>
  <c r="X38" i="2"/>
  <c r="W38" i="2"/>
  <c r="M38" i="2"/>
  <c r="F38" i="2"/>
  <c r="AA37" i="2"/>
  <c r="Z37" i="2"/>
  <c r="Y37" i="2"/>
  <c r="X37" i="2"/>
  <c r="W37" i="2"/>
  <c r="M37" i="2"/>
  <c r="F37" i="2"/>
  <c r="AA36" i="2"/>
  <c r="Z36" i="2"/>
  <c r="Y36" i="2"/>
  <c r="X36" i="2"/>
  <c r="W36" i="2"/>
  <c r="M36" i="2"/>
  <c r="F36" i="2"/>
  <c r="AA35" i="2"/>
  <c r="Z35" i="2"/>
  <c r="Y35" i="2"/>
  <c r="X35" i="2"/>
  <c r="W35" i="2"/>
  <c r="M35" i="2"/>
  <c r="F35" i="2"/>
  <c r="AA34" i="2"/>
  <c r="Z34" i="2"/>
  <c r="Y34" i="2"/>
  <c r="X34" i="2"/>
  <c r="W34" i="2"/>
  <c r="M34" i="2"/>
  <c r="F34" i="2"/>
  <c r="AA33" i="2"/>
  <c r="Z33" i="2"/>
  <c r="Y33" i="2"/>
  <c r="X33" i="2"/>
  <c r="W33" i="2"/>
  <c r="M33" i="2"/>
  <c r="F33" i="2"/>
  <c r="AA32" i="2"/>
  <c r="Z32" i="2"/>
  <c r="Y32" i="2"/>
  <c r="X32" i="2"/>
  <c r="W32" i="2"/>
  <c r="M32" i="2"/>
  <c r="F32" i="2"/>
  <c r="AA31" i="2"/>
  <c r="Z31" i="2"/>
  <c r="Y31" i="2"/>
  <c r="X31" i="2"/>
  <c r="W31" i="2"/>
  <c r="M31" i="2"/>
  <c r="F31" i="2"/>
  <c r="AA30" i="2"/>
  <c r="Z30" i="2"/>
  <c r="Y30" i="2"/>
  <c r="X30" i="2"/>
  <c r="W30" i="2"/>
  <c r="M30" i="2"/>
  <c r="F30" i="2"/>
  <c r="AA29" i="2"/>
  <c r="Z29" i="2"/>
  <c r="Y29" i="2"/>
  <c r="X29" i="2"/>
  <c r="W29" i="2"/>
  <c r="M29" i="2"/>
  <c r="F29" i="2"/>
  <c r="AA28" i="2"/>
  <c r="Z28" i="2"/>
  <c r="Y28" i="2"/>
  <c r="X28" i="2"/>
  <c r="W28" i="2"/>
  <c r="M28" i="2"/>
  <c r="F28" i="2"/>
  <c r="AA27" i="2"/>
  <c r="Z27" i="2"/>
  <c r="Y27" i="2"/>
  <c r="X27" i="2"/>
  <c r="W27" i="2"/>
  <c r="M27" i="2"/>
  <c r="F27" i="2"/>
  <c r="AA26" i="2"/>
  <c r="Z26" i="2"/>
  <c r="Y26" i="2"/>
  <c r="X26" i="2"/>
  <c r="W26" i="2"/>
  <c r="M26" i="2"/>
  <c r="F26" i="2"/>
  <c r="AA25" i="2"/>
  <c r="Z25" i="2"/>
  <c r="Y25" i="2"/>
  <c r="X25" i="2"/>
  <c r="W25" i="2"/>
  <c r="M25" i="2"/>
  <c r="F25" i="2"/>
  <c r="AA24" i="2"/>
  <c r="Z24" i="2"/>
  <c r="Y24" i="2"/>
  <c r="X24" i="2"/>
  <c r="W24" i="2"/>
  <c r="M24" i="2"/>
  <c r="F24" i="2"/>
  <c r="AA23" i="2"/>
  <c r="Z23" i="2"/>
  <c r="Y23" i="2"/>
  <c r="X23" i="2"/>
  <c r="W23" i="2"/>
  <c r="M23" i="2"/>
  <c r="F23" i="2"/>
  <c r="AA22" i="2"/>
  <c r="Z22" i="2"/>
  <c r="Y22" i="2"/>
  <c r="X22" i="2"/>
  <c r="W22" i="2"/>
  <c r="M22" i="2"/>
  <c r="F22" i="2"/>
  <c r="AA21" i="2"/>
  <c r="Z21" i="2"/>
  <c r="Y21" i="2"/>
  <c r="X21" i="2"/>
  <c r="W21" i="2"/>
  <c r="M21" i="2"/>
  <c r="F21" i="2"/>
  <c r="AA20" i="2"/>
  <c r="Z20" i="2"/>
  <c r="Y20" i="2"/>
  <c r="X20" i="2"/>
  <c r="W20" i="2"/>
  <c r="M20" i="2"/>
  <c r="F20" i="2"/>
  <c r="AA19" i="2"/>
  <c r="Z19" i="2"/>
  <c r="Y19" i="2"/>
  <c r="X19" i="2"/>
  <c r="W19" i="2"/>
  <c r="M19" i="2"/>
  <c r="F19" i="2"/>
  <c r="AA18" i="2"/>
  <c r="Z18" i="2"/>
  <c r="Y18" i="2"/>
  <c r="X18" i="2"/>
  <c r="W18" i="2"/>
  <c r="M18" i="2"/>
  <c r="F18" i="2"/>
  <c r="AA17" i="2"/>
  <c r="Z17" i="2"/>
  <c r="Y17" i="2"/>
  <c r="X17" i="2"/>
  <c r="W17" i="2"/>
  <c r="M17" i="2"/>
  <c r="F17" i="2"/>
  <c r="AA16" i="2"/>
  <c r="Z16" i="2"/>
  <c r="Y16" i="2"/>
  <c r="X16" i="2"/>
  <c r="W16" i="2"/>
  <c r="M16" i="2"/>
  <c r="F16" i="2"/>
  <c r="AA15" i="2"/>
  <c r="Z15" i="2"/>
  <c r="Y15" i="2"/>
  <c r="X15" i="2"/>
  <c r="W15" i="2"/>
  <c r="M15" i="2"/>
  <c r="F15" i="2"/>
  <c r="AA14" i="2"/>
  <c r="Z14" i="2"/>
  <c r="Y14" i="2"/>
  <c r="X14" i="2"/>
  <c r="W14" i="2"/>
  <c r="M14" i="2"/>
  <c r="F14" i="2"/>
  <c r="AA13" i="2"/>
  <c r="Z13" i="2"/>
  <c r="Y13" i="2"/>
  <c r="X13" i="2"/>
  <c r="W13" i="2"/>
  <c r="M13" i="2"/>
  <c r="F13" i="2"/>
  <c r="AA12" i="2"/>
  <c r="Z12" i="2"/>
  <c r="Y12" i="2"/>
  <c r="X12" i="2"/>
  <c r="W12" i="2"/>
  <c r="M12" i="2"/>
  <c r="F12" i="2"/>
  <c r="AA11" i="2"/>
  <c r="Z11" i="2"/>
  <c r="Y11" i="2"/>
  <c r="X11" i="2"/>
  <c r="W11" i="2"/>
  <c r="M11" i="2"/>
  <c r="F11" i="2"/>
  <c r="AA10" i="2"/>
  <c r="Z10" i="2"/>
  <c r="Y10" i="2"/>
  <c r="X10" i="2"/>
  <c r="W10" i="2"/>
  <c r="M10" i="2"/>
  <c r="F10" i="2"/>
  <c r="AA9" i="2"/>
  <c r="Z9" i="2"/>
  <c r="Y9" i="2"/>
  <c r="X9" i="2"/>
  <c r="W9" i="2"/>
  <c r="M9" i="2"/>
  <c r="F9" i="2"/>
  <c r="AA8" i="2"/>
  <c r="Z8" i="2"/>
  <c r="Y8" i="2"/>
  <c r="X8" i="2"/>
  <c r="W8" i="2"/>
  <c r="M8" i="2"/>
  <c r="F8" i="2"/>
  <c r="AA7" i="2"/>
  <c r="Z7" i="2"/>
  <c r="Y7" i="2"/>
  <c r="X7" i="2"/>
  <c r="W7" i="2"/>
  <c r="M7" i="2"/>
  <c r="F7" i="2"/>
  <c r="AA6" i="2"/>
  <c r="Z6" i="2"/>
  <c r="Y6" i="2"/>
  <c r="X6" i="2"/>
  <c r="W6" i="2"/>
  <c r="M6" i="2"/>
  <c r="F6" i="2"/>
  <c r="AA5" i="2"/>
  <c r="Z5" i="2"/>
  <c r="Y5" i="2"/>
  <c r="X5" i="2"/>
  <c r="W5" i="2"/>
  <c r="M5" i="2"/>
  <c r="F5" i="2"/>
  <c r="AA4" i="2"/>
  <c r="Z4" i="2"/>
  <c r="Y4" i="2"/>
  <c r="X4" i="2"/>
  <c r="W4" i="2"/>
  <c r="M4" i="2"/>
  <c r="F4" i="2"/>
  <c r="AA3" i="2"/>
  <c r="Z3" i="2"/>
  <c r="F49" i="4" s="1"/>
  <c r="Y3" i="2"/>
  <c r="X3" i="2"/>
  <c r="W3" i="2"/>
  <c r="E10" i="14" s="1"/>
  <c r="M3" i="2"/>
  <c r="F3" i="2"/>
  <c r="AA2" i="2"/>
  <c r="Z2" i="2"/>
  <c r="G200" i="4" s="1"/>
  <c r="Y2" i="2"/>
  <c r="X2" i="2"/>
  <c r="W2" i="2"/>
  <c r="D11" i="14" s="1"/>
  <c r="M2" i="2"/>
  <c r="F2" i="2"/>
  <c r="K1" i="4" l="1"/>
  <c r="K2" i="4" s="1"/>
  <c r="N1" i="4"/>
  <c r="N2" i="4" s="1"/>
  <c r="Q1" i="4"/>
  <c r="Q2" i="4" s="1"/>
  <c r="J2" i="14"/>
  <c r="J21" i="14"/>
  <c r="E90" i="4"/>
  <c r="D6" i="4"/>
  <c r="D10" i="4"/>
  <c r="E15" i="4"/>
  <c r="E19" i="4"/>
  <c r="F28" i="4"/>
  <c r="F32" i="4"/>
  <c r="G37" i="4"/>
  <c r="G41" i="4"/>
  <c r="C47" i="4"/>
  <c r="C51" i="4"/>
  <c r="D56" i="4"/>
  <c r="D60" i="4"/>
  <c r="E65" i="4"/>
  <c r="E69" i="4"/>
  <c r="F78" i="4"/>
  <c r="F82" i="4"/>
  <c r="G87" i="4"/>
  <c r="G91" i="4"/>
  <c r="C97" i="4"/>
  <c r="C101" i="4"/>
  <c r="D106" i="4"/>
  <c r="D110" i="4"/>
  <c r="E115" i="4"/>
  <c r="E119" i="4"/>
  <c r="F128" i="4"/>
  <c r="F132" i="4"/>
  <c r="G137" i="4"/>
  <c r="G141" i="4"/>
  <c r="C147" i="4"/>
  <c r="C151" i="4"/>
  <c r="D156" i="4"/>
  <c r="D160" i="4"/>
  <c r="E165" i="4"/>
  <c r="E169" i="4"/>
  <c r="F178" i="4"/>
  <c r="F182" i="4"/>
  <c r="G187" i="4"/>
  <c r="G191" i="4"/>
  <c r="C197" i="4"/>
  <c r="C201" i="4"/>
  <c r="C5" i="10"/>
  <c r="C6" i="10" s="1"/>
  <c r="F13" i="10"/>
  <c r="F14" i="10" s="1"/>
  <c r="F8" i="14"/>
  <c r="E11" i="14"/>
  <c r="K16" i="14"/>
  <c r="K21" i="14"/>
  <c r="F95" i="4"/>
  <c r="E6" i="4"/>
  <c r="E10" i="4"/>
  <c r="F15" i="4"/>
  <c r="F19" i="4"/>
  <c r="G28" i="4"/>
  <c r="G32" i="4"/>
  <c r="C38" i="4"/>
  <c r="C42" i="4"/>
  <c r="D47" i="4"/>
  <c r="D51" i="4"/>
  <c r="E56" i="4"/>
  <c r="E60" i="4"/>
  <c r="F65" i="4"/>
  <c r="F69" i="4"/>
  <c r="G78" i="4"/>
  <c r="G82" i="4"/>
  <c r="C88" i="4"/>
  <c r="C92" i="4"/>
  <c r="D97" i="4"/>
  <c r="D101" i="4"/>
  <c r="E106" i="4"/>
  <c r="E110" i="4"/>
  <c r="F115" i="4"/>
  <c r="F119" i="4"/>
  <c r="G128" i="4"/>
  <c r="G132" i="4"/>
  <c r="C138" i="4"/>
  <c r="C142" i="4"/>
  <c r="D147" i="4"/>
  <c r="D151" i="4"/>
  <c r="E156" i="4"/>
  <c r="E160" i="4"/>
  <c r="F165" i="4"/>
  <c r="F169" i="4"/>
  <c r="G178" i="4"/>
  <c r="G182" i="4"/>
  <c r="C188" i="4"/>
  <c r="C192" i="4"/>
  <c r="D197" i="4"/>
  <c r="D201" i="4"/>
  <c r="D5" i="10"/>
  <c r="D6" i="10" s="1"/>
  <c r="A11" i="10"/>
  <c r="A12" i="10" s="1"/>
  <c r="G13" i="10"/>
  <c r="G14" i="10" s="1"/>
  <c r="F11" i="14"/>
  <c r="L16" i="14"/>
  <c r="H19" i="14"/>
  <c r="L21" i="14"/>
  <c r="H24" i="14"/>
  <c r="G62" i="4"/>
  <c r="F6" i="4"/>
  <c r="F10" i="4"/>
  <c r="G15" i="4"/>
  <c r="G19" i="4"/>
  <c r="C25" i="4"/>
  <c r="C29" i="4"/>
  <c r="D38" i="4"/>
  <c r="D42" i="4"/>
  <c r="E47" i="4"/>
  <c r="E51" i="4"/>
  <c r="F56" i="4"/>
  <c r="F60" i="4"/>
  <c r="G65" i="4"/>
  <c r="G69" i="4"/>
  <c r="C75" i="4"/>
  <c r="C79" i="4"/>
  <c r="D88" i="4"/>
  <c r="D92" i="4"/>
  <c r="E97" i="4"/>
  <c r="E101" i="4"/>
  <c r="F106" i="4"/>
  <c r="F110" i="4"/>
  <c r="G115" i="4"/>
  <c r="G119" i="4"/>
  <c r="C125" i="4"/>
  <c r="C129" i="4"/>
  <c r="D138" i="4"/>
  <c r="D142" i="4"/>
  <c r="E147" i="4"/>
  <c r="E151" i="4"/>
  <c r="F156" i="4"/>
  <c r="F160" i="4"/>
  <c r="G165" i="4"/>
  <c r="G169" i="4"/>
  <c r="C175" i="4"/>
  <c r="C179" i="4"/>
  <c r="D188" i="4"/>
  <c r="D192" i="4"/>
  <c r="E197" i="4"/>
  <c r="E201" i="4"/>
  <c r="E5" i="10"/>
  <c r="E6" i="10" s="1"/>
  <c r="B11" i="10"/>
  <c r="B12" i="10" s="1"/>
  <c r="A9" i="14"/>
  <c r="I19" i="14"/>
  <c r="I24" i="14"/>
  <c r="D77" i="4"/>
  <c r="G6" i="4"/>
  <c r="G10" i="4"/>
  <c r="C16" i="4"/>
  <c r="C20" i="4"/>
  <c r="D25" i="4"/>
  <c r="D29" i="4"/>
  <c r="E38" i="4"/>
  <c r="E42" i="4"/>
  <c r="F47" i="4"/>
  <c r="F51" i="4"/>
  <c r="G56" i="4"/>
  <c r="G60" i="4"/>
  <c r="C66" i="4"/>
  <c r="C70" i="4"/>
  <c r="D75" i="4"/>
  <c r="D79" i="4"/>
  <c r="E88" i="4"/>
  <c r="E92" i="4"/>
  <c r="F97" i="4"/>
  <c r="F101" i="4"/>
  <c r="G106" i="4"/>
  <c r="G110" i="4"/>
  <c r="C116" i="4"/>
  <c r="C120" i="4"/>
  <c r="D125" i="4"/>
  <c r="D129" i="4"/>
  <c r="E138" i="4"/>
  <c r="E142" i="4"/>
  <c r="F147" i="4"/>
  <c r="F151" i="4"/>
  <c r="G156" i="4"/>
  <c r="G160" i="4"/>
  <c r="C166" i="4"/>
  <c r="C170" i="4"/>
  <c r="D175" i="4"/>
  <c r="D179" i="4"/>
  <c r="E188" i="4"/>
  <c r="E192" i="4"/>
  <c r="F197" i="4"/>
  <c r="F201" i="4"/>
  <c r="F5" i="10"/>
  <c r="F6" i="10" s="1"/>
  <c r="C11" i="10"/>
  <c r="C12" i="10" s="1"/>
  <c r="B9" i="14"/>
  <c r="A12" i="14"/>
  <c r="J19" i="14"/>
  <c r="J24" i="14"/>
  <c r="C18" i="4"/>
  <c r="C7" i="4"/>
  <c r="C11" i="4"/>
  <c r="D16" i="4"/>
  <c r="D20" i="4"/>
  <c r="E25" i="4"/>
  <c r="F38" i="4"/>
  <c r="F42" i="4"/>
  <c r="G47" i="4"/>
  <c r="G51" i="4"/>
  <c r="C57" i="4"/>
  <c r="C61" i="4"/>
  <c r="D66" i="4"/>
  <c r="D70" i="4"/>
  <c r="E75" i="4"/>
  <c r="E79" i="4"/>
  <c r="F88" i="4"/>
  <c r="F92" i="4"/>
  <c r="G97" i="4"/>
  <c r="G101" i="4"/>
  <c r="C107" i="4"/>
  <c r="C111" i="4"/>
  <c r="D116" i="4"/>
  <c r="D120" i="4"/>
  <c r="E125" i="4"/>
  <c r="E129" i="4"/>
  <c r="F138" i="4"/>
  <c r="F142" i="4"/>
  <c r="G147" i="4"/>
  <c r="G151" i="4"/>
  <c r="C157" i="4"/>
  <c r="C161" i="4"/>
  <c r="D166" i="4"/>
  <c r="D170" i="4"/>
  <c r="E175" i="4"/>
  <c r="E179" i="4"/>
  <c r="F188" i="4"/>
  <c r="F192" i="4"/>
  <c r="G197" i="4"/>
  <c r="G201" i="4"/>
  <c r="A3" i="10"/>
  <c r="A4" i="10" s="1"/>
  <c r="G5" i="10"/>
  <c r="G6" i="10" s="1"/>
  <c r="D11" i="10"/>
  <c r="D12" i="10" s="1"/>
  <c r="C9" i="14"/>
  <c r="B12" i="14"/>
  <c r="K19" i="14"/>
  <c r="K24" i="14"/>
  <c r="G58" i="4"/>
  <c r="E29" i="4"/>
  <c r="O1" i="4"/>
  <c r="O2" i="4" s="1"/>
  <c r="D7" i="4"/>
  <c r="D11" i="4"/>
  <c r="E16" i="4"/>
  <c r="E20" i="4"/>
  <c r="F25" i="4"/>
  <c r="F29" i="4"/>
  <c r="G38" i="4"/>
  <c r="C48" i="4"/>
  <c r="C52" i="4"/>
  <c r="D57" i="4"/>
  <c r="D61" i="4"/>
  <c r="E66" i="4"/>
  <c r="E70" i="4"/>
  <c r="F75" i="4"/>
  <c r="F79" i="4"/>
  <c r="G88" i="4"/>
  <c r="C98" i="4"/>
  <c r="C102" i="4"/>
  <c r="D107" i="4"/>
  <c r="D111" i="4"/>
  <c r="E116" i="4"/>
  <c r="E120" i="4"/>
  <c r="F125" i="4"/>
  <c r="F129" i="4"/>
  <c r="G138" i="4"/>
  <c r="C148" i="4"/>
  <c r="C152" i="4"/>
  <c r="D157" i="4"/>
  <c r="D161" i="4"/>
  <c r="E166" i="4"/>
  <c r="E170" i="4"/>
  <c r="F175" i="4"/>
  <c r="F179" i="4"/>
  <c r="G188" i="4"/>
  <c r="C198" i="4"/>
  <c r="C202" i="4"/>
  <c r="E7" i="7"/>
  <c r="B3" i="10"/>
  <c r="B4" i="10" s="1"/>
  <c r="E11" i="10"/>
  <c r="E12" i="10" s="1"/>
  <c r="D9" i="14"/>
  <c r="C12" i="14"/>
  <c r="H17" i="14"/>
  <c r="L19" i="14"/>
  <c r="H22" i="14"/>
  <c r="L24" i="14"/>
  <c r="F166" i="4"/>
  <c r="F170" i="4"/>
  <c r="G175" i="4"/>
  <c r="G179" i="4"/>
  <c r="C185" i="4"/>
  <c r="C189" i="4"/>
  <c r="D198" i="4"/>
  <c r="D202" i="4"/>
  <c r="F11" i="10"/>
  <c r="F12" i="10" s="1"/>
  <c r="E9" i="14"/>
  <c r="D12" i="14"/>
  <c r="I17" i="14"/>
  <c r="I22" i="14"/>
  <c r="E7" i="4"/>
  <c r="F16" i="4"/>
  <c r="D52" i="4"/>
  <c r="E61" i="4"/>
  <c r="E107" i="4"/>
  <c r="F116" i="4"/>
  <c r="D148" i="4"/>
  <c r="D152" i="4"/>
  <c r="F7" i="4"/>
  <c r="F11" i="4"/>
  <c r="G16" i="4"/>
  <c r="G20" i="4"/>
  <c r="C26" i="4"/>
  <c r="C30" i="4"/>
  <c r="D35" i="4"/>
  <c r="D39" i="4"/>
  <c r="E48" i="4"/>
  <c r="E52" i="4"/>
  <c r="F57" i="4"/>
  <c r="F61" i="4"/>
  <c r="G66" i="4"/>
  <c r="G70" i="4"/>
  <c r="C76" i="4"/>
  <c r="C80" i="4"/>
  <c r="D85" i="4"/>
  <c r="D89" i="4"/>
  <c r="E98" i="4"/>
  <c r="E102" i="4"/>
  <c r="F107" i="4"/>
  <c r="F111" i="4"/>
  <c r="G116" i="4"/>
  <c r="G120" i="4"/>
  <c r="C126" i="4"/>
  <c r="C130" i="4"/>
  <c r="D135" i="4"/>
  <c r="D139" i="4"/>
  <c r="E148" i="4"/>
  <c r="E152" i="4"/>
  <c r="F157" i="4"/>
  <c r="F161" i="4"/>
  <c r="G166" i="4"/>
  <c r="G170" i="4"/>
  <c r="C176" i="4"/>
  <c r="C180" i="4"/>
  <c r="D185" i="4"/>
  <c r="D189" i="4"/>
  <c r="E198" i="4"/>
  <c r="E202" i="4"/>
  <c r="F9" i="14"/>
  <c r="E12" i="14"/>
  <c r="J17" i="14"/>
  <c r="J22" i="14"/>
  <c r="E11" i="4"/>
  <c r="F20" i="4"/>
  <c r="G25" i="4"/>
  <c r="G29" i="4"/>
  <c r="C35" i="4"/>
  <c r="C39" i="4"/>
  <c r="D48" i="4"/>
  <c r="E57" i="4"/>
  <c r="F66" i="4"/>
  <c r="F70" i="4"/>
  <c r="G75" i="4"/>
  <c r="G79" i="4"/>
  <c r="C85" i="4"/>
  <c r="C89" i="4"/>
  <c r="D98" i="4"/>
  <c r="D102" i="4"/>
  <c r="E111" i="4"/>
  <c r="F120" i="4"/>
  <c r="G125" i="4"/>
  <c r="G129" i="4"/>
  <c r="C135" i="4"/>
  <c r="C139" i="4"/>
  <c r="E157" i="4"/>
  <c r="R1" i="4"/>
  <c r="R2" i="4" s="1"/>
  <c r="G7" i="4"/>
  <c r="G11" i="4"/>
  <c r="C17" i="4"/>
  <c r="C21" i="4"/>
  <c r="D26" i="4"/>
  <c r="D30" i="4"/>
  <c r="E35" i="4"/>
  <c r="E39" i="4"/>
  <c r="F48" i="4"/>
  <c r="F52" i="4"/>
  <c r="G57" i="4"/>
  <c r="G61" i="4"/>
  <c r="C67" i="4"/>
  <c r="C71" i="4"/>
  <c r="D76" i="4"/>
  <c r="D80" i="4"/>
  <c r="E85" i="4"/>
  <c r="E89" i="4"/>
  <c r="F98" i="4"/>
  <c r="F102" i="4"/>
  <c r="G107" i="4"/>
  <c r="G111" i="4"/>
  <c r="C117" i="4"/>
  <c r="C121" i="4"/>
  <c r="D126" i="4"/>
  <c r="D130" i="4"/>
  <c r="E135" i="4"/>
  <c r="E139" i="4"/>
  <c r="F148" i="4"/>
  <c r="F152" i="4"/>
  <c r="G157" i="4"/>
  <c r="G161" i="4"/>
  <c r="C167" i="4"/>
  <c r="C171" i="4"/>
  <c r="D176" i="4"/>
  <c r="D180" i="4"/>
  <c r="E185" i="4"/>
  <c r="E189" i="4"/>
  <c r="F198" i="4"/>
  <c r="F202" i="4"/>
  <c r="C5" i="7"/>
  <c r="A8" i="7"/>
  <c r="E3" i="10"/>
  <c r="E4" i="10" s="1"/>
  <c r="B9" i="10"/>
  <c r="B10" i="10" s="1"/>
  <c r="F12" i="14"/>
  <c r="K17" i="14"/>
  <c r="K22" i="14"/>
  <c r="C8" i="4"/>
  <c r="C12" i="4"/>
  <c r="D17" i="4"/>
  <c r="D21" i="4"/>
  <c r="E26" i="4"/>
  <c r="E30" i="4"/>
  <c r="F35" i="4"/>
  <c r="F39" i="4"/>
  <c r="G48" i="4"/>
  <c r="C58" i="4"/>
  <c r="C62" i="4"/>
  <c r="D67" i="4"/>
  <c r="D71" i="4"/>
  <c r="E76" i="4"/>
  <c r="E80" i="4"/>
  <c r="F85" i="4"/>
  <c r="F89" i="4"/>
  <c r="G98" i="4"/>
  <c r="C108" i="4"/>
  <c r="C112" i="4"/>
  <c r="D117" i="4"/>
  <c r="D121" i="4"/>
  <c r="E126" i="4"/>
  <c r="E130" i="4"/>
  <c r="F135" i="4"/>
  <c r="F139" i="4"/>
  <c r="G148" i="4"/>
  <c r="C158" i="4"/>
  <c r="C162" i="4"/>
  <c r="D167" i="4"/>
  <c r="D171" i="4"/>
  <c r="E176" i="4"/>
  <c r="E180" i="4"/>
  <c r="F185" i="4"/>
  <c r="F189" i="4"/>
  <c r="G198" i="4"/>
  <c r="F3" i="10"/>
  <c r="F4" i="10" s="1"/>
  <c r="C9" i="10"/>
  <c r="C10" i="10" s="1"/>
  <c r="A10" i="14"/>
  <c r="H15" i="14"/>
  <c r="L17" i="14"/>
  <c r="H20" i="14"/>
  <c r="L22" i="14"/>
  <c r="D8" i="4"/>
  <c r="D12" i="4"/>
  <c r="E17" i="4"/>
  <c r="F26" i="4"/>
  <c r="F30" i="4"/>
  <c r="G35" i="4"/>
  <c r="G39" i="4"/>
  <c r="C45" i="4"/>
  <c r="C49" i="4"/>
  <c r="D58" i="4"/>
  <c r="D62" i="4"/>
  <c r="E67" i="4"/>
  <c r="F76" i="4"/>
  <c r="F80" i="4"/>
  <c r="G85" i="4"/>
  <c r="G89" i="4"/>
  <c r="C95" i="4"/>
  <c r="C99" i="4"/>
  <c r="D108" i="4"/>
  <c r="D112" i="4"/>
  <c r="E121" i="4"/>
  <c r="F126" i="4"/>
  <c r="F130" i="4"/>
  <c r="G135" i="4"/>
  <c r="G139" i="4"/>
  <c r="C145" i="4"/>
  <c r="C149" i="4"/>
  <c r="D158" i="4"/>
  <c r="D162" i="4"/>
  <c r="E171" i="4"/>
  <c r="F180" i="4"/>
  <c r="G189" i="4"/>
  <c r="C195" i="4"/>
  <c r="B10" i="14"/>
  <c r="I15" i="14"/>
  <c r="E8" i="4"/>
  <c r="E12" i="4"/>
  <c r="F17" i="4"/>
  <c r="F21" i="4"/>
  <c r="G26" i="4"/>
  <c r="G30" i="4"/>
  <c r="C36" i="4"/>
  <c r="C40" i="4"/>
  <c r="D45" i="4"/>
  <c r="D49" i="4"/>
  <c r="E58" i="4"/>
  <c r="E62" i="4"/>
  <c r="F67" i="4"/>
  <c r="F71" i="4"/>
  <c r="G76" i="4"/>
  <c r="G80" i="4"/>
  <c r="C86" i="4"/>
  <c r="C90" i="4"/>
  <c r="D95" i="4"/>
  <c r="D99" i="4"/>
  <c r="E108" i="4"/>
  <c r="E112" i="4"/>
  <c r="F117" i="4"/>
  <c r="F121" i="4"/>
  <c r="G126" i="4"/>
  <c r="G130" i="4"/>
  <c r="C136" i="4"/>
  <c r="C140" i="4"/>
  <c r="D145" i="4"/>
  <c r="D149" i="4"/>
  <c r="E158" i="4"/>
  <c r="E162" i="4"/>
  <c r="F167" i="4"/>
  <c r="F171" i="4"/>
  <c r="G176" i="4"/>
  <c r="G180" i="4"/>
  <c r="C186" i="4"/>
  <c r="C190" i="4"/>
  <c r="D195" i="4"/>
  <c r="D199" i="4"/>
  <c r="E9" i="10"/>
  <c r="E10" i="10" s="1"/>
  <c r="C10" i="14"/>
  <c r="J15" i="14"/>
  <c r="J20" i="14"/>
  <c r="E21" i="4"/>
  <c r="E71" i="4"/>
  <c r="E117" i="4"/>
  <c r="E167" i="4"/>
  <c r="F176" i="4"/>
  <c r="G185" i="4"/>
  <c r="C199" i="4"/>
  <c r="I20" i="14"/>
  <c r="F8" i="4"/>
  <c r="G17" i="4"/>
  <c r="G21" i="4"/>
  <c r="C27" i="4"/>
  <c r="C31" i="4"/>
  <c r="D36" i="4"/>
  <c r="D40" i="4"/>
  <c r="E45" i="4"/>
  <c r="E49" i="4"/>
  <c r="F58" i="4"/>
  <c r="G67" i="4"/>
  <c r="G71" i="4"/>
  <c r="C77" i="4"/>
  <c r="C81" i="4"/>
  <c r="D86" i="4"/>
  <c r="D90" i="4"/>
  <c r="E95" i="4"/>
  <c r="E99" i="4"/>
  <c r="F108" i="4"/>
  <c r="G117" i="4"/>
  <c r="G121" i="4"/>
  <c r="C127" i="4"/>
  <c r="C131" i="4"/>
  <c r="D136" i="4"/>
  <c r="D140" i="4"/>
  <c r="E145" i="4"/>
  <c r="E149" i="4"/>
  <c r="F158" i="4"/>
  <c r="G167" i="4"/>
  <c r="G171" i="4"/>
  <c r="C177" i="4"/>
  <c r="C181" i="4"/>
  <c r="D186" i="4"/>
  <c r="D190" i="4"/>
  <c r="E195" i="4"/>
  <c r="E199" i="4"/>
  <c r="B3" i="7"/>
  <c r="G5" i="7"/>
  <c r="E8" i="7"/>
  <c r="A7" i="10"/>
  <c r="A8" i="10" s="1"/>
  <c r="F9" i="10"/>
  <c r="F10" i="10" s="1"/>
  <c r="D10" i="14"/>
  <c r="K15" i="14"/>
  <c r="K20" i="14"/>
  <c r="G8" i="4"/>
  <c r="G12" i="4"/>
  <c r="C22" i="4"/>
  <c r="D27" i="4"/>
  <c r="D31" i="4"/>
  <c r="E40" i="4"/>
  <c r="F45" i="4"/>
  <c r="C68" i="4"/>
  <c r="D81" i="4"/>
  <c r="E86" i="4"/>
  <c r="F99" i="4"/>
  <c r="G108" i="4"/>
  <c r="G112" i="4"/>
  <c r="C118" i="4"/>
  <c r="C122" i="4"/>
  <c r="D127" i="4"/>
  <c r="D131" i="4"/>
  <c r="E136" i="4"/>
  <c r="E140" i="4"/>
  <c r="F145" i="4"/>
  <c r="F149" i="4"/>
  <c r="G158" i="4"/>
  <c r="G162" i="4"/>
  <c r="C168" i="4"/>
  <c r="C172" i="4"/>
  <c r="D177" i="4"/>
  <c r="D181" i="4"/>
  <c r="E186" i="4"/>
  <c r="E190" i="4"/>
  <c r="F195" i="4"/>
  <c r="F199" i="4"/>
  <c r="H23" i="14"/>
  <c r="C5" i="4"/>
  <c r="C9" i="4"/>
  <c r="D18" i="4"/>
  <c r="D22" i="4"/>
  <c r="E27" i="4"/>
  <c r="E31" i="4"/>
  <c r="F36" i="4"/>
  <c r="F40" i="4"/>
  <c r="G45" i="4"/>
  <c r="G49" i="4"/>
  <c r="C55" i="4"/>
  <c r="C59" i="4"/>
  <c r="D68" i="4"/>
  <c r="D72" i="4"/>
  <c r="E77" i="4"/>
  <c r="E81" i="4"/>
  <c r="F86" i="4"/>
  <c r="F90" i="4"/>
  <c r="G95" i="4"/>
  <c r="G99" i="4"/>
  <c r="C105" i="4"/>
  <c r="C109" i="4"/>
  <c r="D118" i="4"/>
  <c r="D122" i="4"/>
  <c r="E127" i="4"/>
  <c r="E131" i="4"/>
  <c r="F136" i="4"/>
  <c r="F140" i="4"/>
  <c r="G145" i="4"/>
  <c r="G149" i="4"/>
  <c r="C155" i="4"/>
  <c r="C159" i="4"/>
  <c r="D168" i="4"/>
  <c r="D172" i="4"/>
  <c r="E177" i="4"/>
  <c r="E181" i="4"/>
  <c r="F186" i="4"/>
  <c r="F190" i="4"/>
  <c r="G195" i="4"/>
  <c r="G199" i="4"/>
  <c r="C7" i="10"/>
  <c r="C8" i="10" s="1"/>
  <c r="F10" i="14"/>
  <c r="I18" i="14"/>
  <c r="I23" i="14"/>
  <c r="L15" i="14"/>
  <c r="H18" i="14"/>
  <c r="L20" i="14"/>
  <c r="D5" i="4"/>
  <c r="D9" i="4"/>
  <c r="E18" i="4"/>
  <c r="F27" i="4"/>
  <c r="F31" i="4"/>
  <c r="G36" i="4"/>
  <c r="G40" i="4"/>
  <c r="C46" i="4"/>
  <c r="C50" i="4"/>
  <c r="D55" i="4"/>
  <c r="D59" i="4"/>
  <c r="E68" i="4"/>
  <c r="F77" i="4"/>
  <c r="F81" i="4"/>
  <c r="G86" i="4"/>
  <c r="G90" i="4"/>
  <c r="C96" i="4"/>
  <c r="C100" i="4"/>
  <c r="D105" i="4"/>
  <c r="D109" i="4"/>
  <c r="E118" i="4"/>
  <c r="F127" i="4"/>
  <c r="F131" i="4"/>
  <c r="G136" i="4"/>
  <c r="G140" i="4"/>
  <c r="C146" i="4"/>
  <c r="C150" i="4"/>
  <c r="D155" i="4"/>
  <c r="D159" i="4"/>
  <c r="E168" i="4"/>
  <c r="F177" i="4"/>
  <c r="F181" i="4"/>
  <c r="G186" i="4"/>
  <c r="G190" i="4"/>
  <c r="C196" i="4"/>
  <c r="C200" i="4"/>
  <c r="E3" i="7"/>
  <c r="C6" i="7"/>
  <c r="D7" i="10"/>
  <c r="D8" i="10" s="1"/>
  <c r="A13" i="10"/>
  <c r="A14" i="10" s="1"/>
  <c r="A8" i="14"/>
  <c r="J18" i="14"/>
  <c r="J23" i="14"/>
  <c r="E36" i="4"/>
  <c r="E5" i="4"/>
  <c r="E9" i="4"/>
  <c r="F18" i="4"/>
  <c r="F22" i="4"/>
  <c r="G27" i="4"/>
  <c r="G31" i="4"/>
  <c r="C37" i="4"/>
  <c r="C41" i="4"/>
  <c r="D46" i="4"/>
  <c r="D50" i="4"/>
  <c r="E55" i="4"/>
  <c r="E59" i="4"/>
  <c r="F68" i="4"/>
  <c r="F72" i="4"/>
  <c r="G77" i="4"/>
  <c r="G81" i="4"/>
  <c r="C87" i="4"/>
  <c r="C91" i="4"/>
  <c r="D96" i="4"/>
  <c r="D100" i="4"/>
  <c r="E105" i="4"/>
  <c r="E109" i="4"/>
  <c r="F118" i="4"/>
  <c r="F122" i="4"/>
  <c r="G127" i="4"/>
  <c r="G131" i="4"/>
  <c r="C137" i="4"/>
  <c r="C141" i="4"/>
  <c r="D146" i="4"/>
  <c r="D150" i="4"/>
  <c r="E155" i="4"/>
  <c r="E159" i="4"/>
  <c r="F168" i="4"/>
  <c r="F172" i="4"/>
  <c r="G177" i="4"/>
  <c r="G181" i="4"/>
  <c r="C187" i="4"/>
  <c r="C191" i="4"/>
  <c r="D196" i="4"/>
  <c r="D200" i="4"/>
  <c r="B8" i="14"/>
  <c r="A11" i="14"/>
  <c r="K18" i="14"/>
  <c r="K23" i="14"/>
  <c r="C72" i="4"/>
  <c r="F5" i="4"/>
  <c r="F9" i="4"/>
  <c r="G18" i="4"/>
  <c r="G22" i="4"/>
  <c r="C28" i="4"/>
  <c r="C32" i="4"/>
  <c r="D37" i="4"/>
  <c r="D41" i="4"/>
  <c r="E46" i="4"/>
  <c r="E50" i="4"/>
  <c r="F55" i="4"/>
  <c r="F59" i="4"/>
  <c r="G68" i="4"/>
  <c r="G72" i="4"/>
  <c r="C78" i="4"/>
  <c r="C82" i="4"/>
  <c r="D87" i="4"/>
  <c r="D91" i="4"/>
  <c r="E96" i="4"/>
  <c r="E100" i="4"/>
  <c r="F105" i="4"/>
  <c r="F109" i="4"/>
  <c r="G118" i="4"/>
  <c r="G122" i="4"/>
  <c r="C128" i="4"/>
  <c r="C132" i="4"/>
  <c r="D137" i="4"/>
  <c r="D141" i="4"/>
  <c r="E146" i="4"/>
  <c r="E150" i="4"/>
  <c r="F155" i="4"/>
  <c r="F159" i="4"/>
  <c r="G168" i="4"/>
  <c r="G172" i="4"/>
  <c r="C178" i="4"/>
  <c r="C182" i="4"/>
  <c r="D187" i="4"/>
  <c r="D191" i="4"/>
  <c r="E196" i="4"/>
  <c r="E200" i="4"/>
  <c r="F7" i="10"/>
  <c r="F8" i="10" s="1"/>
  <c r="C13" i="10"/>
  <c r="C14" i="10" s="1"/>
  <c r="C8" i="14"/>
  <c r="B11" i="14"/>
  <c r="H16" i="14"/>
  <c r="L18" i="14"/>
  <c r="H21" i="14"/>
  <c r="L23" i="14"/>
  <c r="G5" i="4"/>
  <c r="G9" i="4"/>
  <c r="C15" i="4"/>
  <c r="C19" i="4"/>
  <c r="D28" i="4"/>
  <c r="D32" i="4"/>
  <c r="E37" i="4"/>
  <c r="E41" i="4"/>
  <c r="F46" i="4"/>
  <c r="F50" i="4"/>
  <c r="G55" i="4"/>
  <c r="G59" i="4"/>
  <c r="C65" i="4"/>
  <c r="C69" i="4"/>
  <c r="D78" i="4"/>
  <c r="D82" i="4"/>
  <c r="E87" i="4"/>
  <c r="E91" i="4"/>
  <c r="F96" i="4"/>
  <c r="F100" i="4"/>
  <c r="G105" i="4"/>
  <c r="G109" i="4"/>
  <c r="C115" i="4"/>
  <c r="C119" i="4"/>
  <c r="D128" i="4"/>
  <c r="D132" i="4"/>
  <c r="E137" i="4"/>
  <c r="E141" i="4"/>
  <c r="F146" i="4"/>
  <c r="F150" i="4"/>
  <c r="G155" i="4"/>
  <c r="G159" i="4"/>
  <c r="C165" i="4"/>
  <c r="C169" i="4"/>
  <c r="D178" i="4"/>
  <c r="D182" i="4"/>
  <c r="E187" i="4"/>
  <c r="E191" i="4"/>
  <c r="F196" i="4"/>
  <c r="F200" i="4"/>
  <c r="A4" i="7"/>
  <c r="F6" i="7"/>
  <c r="A5" i="10"/>
  <c r="A6" i="10" s="1"/>
  <c r="G7" i="10"/>
  <c r="G8" i="10" s="1"/>
  <c r="D13" i="10"/>
  <c r="D14" i="10" s="1"/>
  <c r="D8" i="14"/>
  <c r="C11" i="14"/>
  <c r="I16" i="14"/>
  <c r="I21" i="14"/>
  <c r="C6" i="4"/>
  <c r="C10" i="4"/>
  <c r="D15" i="4"/>
  <c r="D19" i="4"/>
  <c r="E28" i="4"/>
  <c r="F37" i="4"/>
  <c r="F41" i="4"/>
  <c r="G46" i="4"/>
  <c r="G50" i="4"/>
  <c r="C56" i="4"/>
  <c r="C60" i="4"/>
  <c r="D65" i="4"/>
  <c r="D69" i="4"/>
  <c r="E78" i="4"/>
  <c r="F87" i="4"/>
  <c r="F91" i="4"/>
  <c r="G96" i="4"/>
  <c r="G100" i="4"/>
  <c r="C106" i="4"/>
  <c r="C110" i="4"/>
  <c r="D115" i="4"/>
  <c r="D119" i="4"/>
  <c r="E128" i="4"/>
  <c r="F137" i="4"/>
  <c r="F141" i="4"/>
  <c r="G146" i="4"/>
  <c r="G150" i="4"/>
  <c r="C156" i="4"/>
  <c r="C160" i="4"/>
  <c r="D165" i="4"/>
  <c r="D169" i="4"/>
  <c r="E178" i="4"/>
  <c r="F187" i="4"/>
  <c r="F191" i="4"/>
  <c r="G196" i="4"/>
  <c r="B4" i="7"/>
  <c r="B5" i="10"/>
  <c r="B6" i="10" s="1"/>
  <c r="E8" i="14"/>
  <c r="J16" i="14"/>
  <c r="I29" i="14" l="1"/>
  <c r="I28" i="14"/>
  <c r="M2" i="14"/>
  <c r="P2" i="14"/>
</calcChain>
</file>

<file path=xl/sharedStrings.xml><?xml version="1.0" encoding="utf-8"?>
<sst xmlns="http://schemas.openxmlformats.org/spreadsheetml/2006/main" count="387" uniqueCount="202">
  <si>
    <t>TaskKey</t>
  </si>
  <si>
    <t>Date</t>
  </si>
  <si>
    <t>Duration</t>
  </si>
  <si>
    <t>ID</t>
  </si>
  <si>
    <t>↑</t>
  </si>
  <si>
    <t>↓</t>
  </si>
  <si>
    <t>Start Date</t>
  </si>
  <si>
    <t>Task</t>
  </si>
  <si>
    <t>Total Subtasks</t>
  </si>
  <si>
    <t>Subtask of</t>
  </si>
  <si>
    <t>Project / Category</t>
  </si>
  <si>
    <t>Linked Campaign</t>
  </si>
  <si>
    <t>Priority</t>
  </si>
  <si>
    <t>Deadline</t>
  </si>
  <si>
    <t>Status</t>
  </si>
  <si>
    <t>Days Left</t>
  </si>
  <si>
    <t>Timer</t>
  </si>
  <si>
    <t>Time Spent (hrs)</t>
  </si>
  <si>
    <t>Notes</t>
  </si>
  <si>
    <t>ParentKey</t>
  </si>
  <si>
    <t>Level</t>
  </si>
  <si>
    <t>SiblingOrder</t>
  </si>
  <si>
    <t>TimerRunningSince</t>
  </si>
  <si>
    <t>LinkedCampaignKey</t>
  </si>
  <si>
    <t>SortKey</t>
  </si>
  <si>
    <t>CampaignSortHelper</t>
  </si>
  <si>
    <t>CampaignRank</t>
  </si>
  <si>
    <t>CampaignRankKey</t>
  </si>
  <si>
    <t>Time Spent</t>
  </si>
  <si>
    <t>Completed At</t>
  </si>
  <si>
    <t>Campaign Name</t>
  </si>
  <si>
    <t>Number of Tasks</t>
  </si>
  <si>
    <t>End Date</t>
  </si>
  <si>
    <t>Progress</t>
  </si>
  <si>
    <t>CampaignKey</t>
  </si>
  <si>
    <t>CampaignNameList</t>
  </si>
  <si>
    <t>ReminderDaysLeft</t>
  </si>
  <si>
    <t>ReminderSortKey</t>
  </si>
  <si>
    <t>None</t>
  </si>
  <si>
    <t>Task Name</t>
  </si>
  <si>
    <t>Subtasks</t>
  </si>
  <si>
    <t>Recurrence</t>
  </si>
  <si>
    <t>Task Start On</t>
  </si>
  <si>
    <t>Deadline Offset (days)</t>
  </si>
  <si>
    <t>RecurringKey</t>
  </si>
  <si>
    <t>RecurringParentKey</t>
  </si>
  <si>
    <t>Last Generated</t>
  </si>
  <si>
    <t>Monday</t>
  </si>
  <si>
    <t>Tuesday</t>
  </si>
  <si>
    <t>Wednesday</t>
  </si>
  <si>
    <t>Thursday</t>
  </si>
  <si>
    <t>Friday</t>
  </si>
  <si>
    <t>Saturday</t>
  </si>
  <si>
    <t>Sunday</t>
  </si>
  <si>
    <t>◀</t>
  </si>
  <si>
    <t>Today</t>
  </si>
  <si>
    <t>▶</t>
  </si>
  <si>
    <t>Mon</t>
  </si>
  <si>
    <t>Tue</t>
  </si>
  <si>
    <t>Wed</t>
  </si>
  <si>
    <t>Thu</t>
  </si>
  <si>
    <t>Fri</t>
  </si>
  <si>
    <t>Sat</t>
  </si>
  <si>
    <t>Sun</t>
  </si>
  <si>
    <t>Hour:</t>
  </si>
  <si>
    <t>00</t>
  </si>
  <si>
    <t>Minute:</t>
  </si>
  <si>
    <t>✓ Confirm</t>
  </si>
  <si>
    <t>✕ Cancel</t>
  </si>
  <si>
    <t>Planned Campaigns</t>
  </si>
  <si>
    <t>Total Planned Budget (EUR)</t>
  </si>
  <si>
    <t>Total Planned Budget (USD)</t>
  </si>
  <si>
    <t>💱 Set Exchange Rate</t>
  </si>
  <si>
    <t>🔄 Start New Month</t>
  </si>
  <si>
    <t>Funded</t>
  </si>
  <si>
    <t>Platform</t>
  </si>
  <si>
    <t>Optimization</t>
  </si>
  <si>
    <t>Audience</t>
  </si>
  <si>
    <t>Budget (EUR)</t>
  </si>
  <si>
    <t>Budget (USD)</t>
  </si>
  <si>
    <t>Location</t>
  </si>
  <si>
    <t>Meeting Name</t>
  </si>
  <si>
    <t>Start Time</t>
  </si>
  <si>
    <t>End Time</t>
  </si>
  <si>
    <t>Anchor Date</t>
  </si>
  <si>
    <t>MeetingKey</t>
  </si>
  <si>
    <t>Reminder Settings</t>
  </si>
  <si>
    <t>Website</t>
  </si>
  <si>
    <t>Username / Email</t>
  </si>
  <si>
    <t>Password</t>
  </si>
  <si>
    <t>Last Password Change</t>
  </si>
  <si>
    <t>Access</t>
  </si>
  <si>
    <t>Category / Group</t>
  </si>
  <si>
    <t>Link / URL</t>
  </si>
  <si>
    <t>Description</t>
  </si>
  <si>
    <t>Instructions</t>
  </si>
  <si>
    <t>Getting Started -- Enable Macros</t>
  </si>
  <si>
    <t>When you first open this workbook, Excel shows a yellow security bar near the top saying something like "SECURITY WARNING Macros have been disabled." Click "Enable Content" on that bar. This workbook won't work correctly until you do -- buttons, popups, and automatic updates all depend on macros being enabled.</t>
  </si>
  <si>
    <t>Contents</t>
  </si>
  <si>
    <t>Dashboard</t>
  </si>
  <si>
    <t>Tasks</t>
  </si>
  <si>
    <t>Archive</t>
  </si>
  <si>
    <t>Calendar</t>
  </si>
  <si>
    <t>Campaigns</t>
  </si>
  <si>
    <t>Campaigns Archive</t>
  </si>
  <si>
    <t>Monthly Media Plan</t>
  </si>
  <si>
    <t>Recurring Tasks</t>
  </si>
  <si>
    <t>Schedule</t>
  </si>
  <si>
    <t>Login Information</t>
  </si>
  <si>
    <t>Quick Links</t>
  </si>
  <si>
    <t>Your home screen -- a live overview of tasks, campaigns, and productivity, pulled from every other sheet.</t>
  </si>
  <si>
    <t>• Click "Refresh Now" to force everything to recalculate immediately (it also refreshes automatically whenever you open the file).</t>
  </si>
  <si>
    <t>• The KPI cards at the top update live as you work -- no action needed.</t>
  </si>
  <si>
    <t>• Marketing Campaign Reminders shows any campaign starting or ending within the next 7 days.</t>
  </si>
  <si>
    <t>Your main task tracker -- add tasks and subtasks, organize them into a hierarchy, and track deadlines, priority, and time spent.</t>
  </si>
  <si>
    <t>• Double-click a task's Deadline cell to pick a date from the Calendar.</t>
  </si>
  <si>
    <t>• Double-click the Timer cell to start/stop tracking time on that task -- this also marks it "In Progress."</t>
  </si>
  <si>
    <t>• Double-click a task's Notes cell to open the Notes popup and write a longer note.</t>
  </si>
  <si>
    <t>• Double-click a task's name to collapse/expand its subtasks.</t>
  </si>
  <si>
    <t>• Use the up/down arrow cells to reorder a task among its siblings.</t>
  </si>
  <si>
    <t>• Set a task's Status to "Completed" to move it to Archive automatically.</t>
  </si>
  <si>
    <t>• Set a task's Status to "Delete" to permanently remove it (and any subtasks) after a confirmation prompt -- this does not go to Archive.</t>
  </si>
  <si>
    <t>• Pick a Linked Campaign from the dropdown to connect a task to a Campaign.</t>
  </si>
  <si>
    <t>A read-only historical record of every completed task -- filled in automatically, never edited by hand.</t>
  </si>
  <si>
    <t>• Double-click a task's Notes cell to view the note it had when it was completed.</t>
  </si>
  <si>
    <t>• Tasks land here automatically when you set their Status to "Completed" on the Tasks sheet.</t>
  </si>
  <si>
    <t>• This sheet is protected against direct edits, since Dashboard's historical stats read straight from it.</t>
  </si>
  <si>
    <t>A date-picker popup, launched automatically whenever you double-click a Deadline cell elsewhere in the workbook.</t>
  </si>
  <si>
    <t>• Use the arrow buttons to move between months, or click "Today" to jump back to the current month.</t>
  </si>
  <si>
    <t>• Double-click a day to select it, then set the time with the Hour/Minute dropdowns.</t>
  </si>
  <si>
    <t>• Click "Confirm" to send the picked date back to the cell you started from, or "Cancel" to close without changes.</t>
  </si>
  <si>
    <t>Your own campaign tracker -- separate from the agency's Monthly Media Plan -- with linked tasks and a visual timeline.</t>
  </si>
  <si>
    <t>• Double-click a campaign's Notes cell to open the Notes popup.</t>
  </si>
  <si>
    <t>• Double-click a campaign's name to collapse/expand its linked-tasks summary block (only works once it has at least one linked task).</t>
  </si>
  <si>
    <t>• Use the up/down arrow cells to reorder a campaign.</t>
  </si>
  <si>
    <t>• Every task you link to a campaign (via Tasks' Linked Campaign dropdown) shows up automatically in that campaign's summary block below it.</t>
  </si>
  <si>
    <t>• Set a campaign's Status to "Completed" to move it to Campaigns Archive automatically.</t>
  </si>
  <si>
    <t>• The colored bars show each campaign's timeline across the visible weeks.</t>
  </si>
  <si>
    <t>A read-only historical record of every completed campaign -- filled in automatically, same idea as Archive.</t>
  </si>
  <si>
    <t>• Double-click a campaign's Notes cell to view its note.</t>
  </si>
  <si>
    <t>• Campaigns land here automatically when marked "Completed" on the Campaigns sheet.</t>
  </si>
  <si>
    <t>The agency-provided monthly budget and schedule plan -- separate from your own Campaigns tracker.</t>
  </si>
  <si>
    <t>• Click "Set Exchange Rate" to update the EUR-to-USD rate used to calculate Budget (USD) -- it's shown just to the right of the button.</t>
  </si>
  <si>
    <t>• Click "Start New Month" to clear the campaign table and move the Gantt to the current month -- this is destructive and asks for confirmation first.</t>
  </si>
  <si>
    <t>• The Gantt bars are colored by Platform (Google/META).</t>
  </si>
  <si>
    <t>Templates for tasks that repeat on a schedule (Daily/Weekly/Monthly) -- they generate real entries on Tasks automatically.</t>
  </si>
  <si>
    <t>• Set a template's Status to "Active" to start generating occurrences, or "Inactive" to pause it.</t>
  </si>
  <si>
    <t>• Choose a Recurrence, then a Task Start On value (a weekday for Weekly, a day-of-month for Monthly).</t>
  </si>
  <si>
    <t>• Missed occurrences catch up automatically the next time you open the workbook -- nothing is lost if you don't open it for a while.</t>
  </si>
  <si>
    <t>• Double-click a template's Notes cell to open the Notes popup.</t>
  </si>
  <si>
    <t>A visual monthly calendar showing your work location and meetings each day.</t>
  </si>
  <si>
    <t>• Double-click a day to set its Work Location and manage meetings for that date.</t>
  </si>
  <si>
    <t>• Each day's background color shows its Work Location; the small number below the date shows how many meetings are scheduled.</t>
  </si>
  <si>
    <t>• Click "Reminder Settings" to change how many minutes before a meeting you're reminded, and how many reminders you get.</t>
  </si>
  <si>
    <t>A flat reference list of platform logins -- type directly into most cells.</t>
  </si>
  <si>
    <t>• Passwords are stored in plain text here for simplicity -- this relies on your machine's own security, not Excel's.</t>
  </si>
  <si>
    <t>• Set Access to "Yes" or "No" for each platform.</t>
  </si>
  <si>
    <t>• Double-click a row's Notes cell to open the Notes popup.</t>
  </si>
  <si>
    <t>A flat reference list of bookmarked links -- type directly into the cells, no popups involved.</t>
  </si>
  <si>
    <t>• Excel automatically turns recognizable URLs into clickable links as you type them.</t>
  </si>
  <si>
    <t>Active Tasks (Upcoming)</t>
  </si>
  <si>
    <t>Completed Tasks (Total)</t>
  </si>
  <si>
    <t>Total Hours Invested</t>
  </si>
  <si>
    <t>Overdue Tasks</t>
  </si>
  <si>
    <t>Current Campaign Ends (days)</t>
  </si>
  <si>
    <t>Next Campaign Starts (days)</t>
  </si>
  <si>
    <t>🔄 Refresh Now</t>
  </si>
  <si>
    <t>Upcoming Tasks (Next 5 Deadlines)</t>
  </si>
  <si>
    <t>Daily &amp; Weekly Productivity</t>
  </si>
  <si>
    <t>Project</t>
  </si>
  <si>
    <t>Productivity Indicator</t>
  </si>
  <si>
    <t>Performance</t>
  </si>
  <si>
    <t>Completed Tasks Today</t>
  </si>
  <si>
    <t>Time Invested Today</t>
  </si>
  <si>
    <t>Completed This Week</t>
  </si>
  <si>
    <t>Time Invested This Week</t>
  </si>
  <si>
    <t>Marketing Campaign Reminders (7-Day Window)</t>
  </si>
  <si>
    <t>Yearly Monthly Performance</t>
  </si>
  <si>
    <t>Month</t>
  </si>
  <si>
    <t>Completed</t>
  </si>
  <si>
    <t>Hours</t>
  </si>
  <si>
    <t>HoursRaw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</si>
  <si>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</si>
  <si>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</si>
  <si>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</si>
  <si>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</si>
  <si>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</si>
  <si>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</si>
  <si>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</si>
  <si>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</si>
  <si>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</si>
  <si>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</si>
  <si>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</si>
  <si>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Campaign Metrics Summary</t>
  </si>
  <si>
    <t>December</t>
  </si>
  <si>
    <t>Performance Metric</t>
  </si>
  <si>
    <t>Count / Total</t>
  </si>
  <si>
    <t>Active Campaigns Count</t>
  </si>
  <si>
    <t>Planned Campaigns Count</t>
  </si>
  <si>
    <t>Completed Campaigns Count</t>
  </si>
  <si>
    <t>Planned Budget Total (EUR)</t>
  </si>
  <si>
    <t>Planned Budget Total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</si>
</sst>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.mm\.yyyy"/>
    <numFmt numFmtId="165" formatCode="dd\.mm\.yyyy\ hh:mm"/>
    <numFmt numFmtId="166" formatCode="General;General;General;&quot;📝&quot;"/>
    <numFmt numFmtId="167" formatCode="d"/>
    <numFmt numFmtId="168" formatCode="#,##0.00&quot; €&quot;"/>
    <numFmt numFmtId="169" formatCode="&quot;$&quot;#,##0.00"/>
    <numFmt numFmtId="170" formatCode="hh:mm"/>
    <numFmt numFmtId="171" formatCode="&quot;• &quot;0"/>
  </numFmts>
  <fonts count="18" x14ac:knownFonts="1">
    <font>
      <sz val="11"/>
      <color theme="1"/>
      <name val="Calibri"/>
      <family val="2"/>
      <scheme val="minor"/>
    </font>
    <font>
      <b/>
      <sz val="10.5"/>
      <color rgb="FFFFFFFF"/>
      <name val="Segoe UI"/>
    </font>
    <font>
      <b/>
      <sz val="9"/>
      <color rgb="FF898781"/>
      <name val="Segoe UI"/>
    </font>
    <font>
      <i/>
      <sz val="10.5"/>
      <color rgb="FF52514E"/>
      <name val="Segoe UI"/>
    </font>
    <font>
      <sz val="10.5"/>
      <color rgb="FF52514E"/>
      <name val="Segoe UI"/>
    </font>
    <font>
      <b/>
      <sz val="16"/>
      <color rgb="FFFFFFFF"/>
      <name val="Segoe UI"/>
    </font>
    <font>
      <b/>
      <sz val="11"/>
      <color rgb="FFFFFFFF"/>
      <name val="Segoe UI"/>
    </font>
    <font>
      <sz val="10.5"/>
      <name val="Segoe UI"/>
    </font>
    <font>
      <b/>
      <sz val="11"/>
      <name val="Segoe UI"/>
    </font>
    <font>
      <i/>
      <sz val="11"/>
      <color rgb="FF52514E"/>
      <name val="Segoe UI"/>
    </font>
    <font>
      <b/>
      <sz val="11"/>
      <color rgb="FF0B0B0B"/>
      <name val="Segoe UI"/>
    </font>
    <font>
      <sz val="9"/>
      <color rgb="FF52514E"/>
      <name val="Segoe UI"/>
    </font>
    <font>
      <b/>
      <sz val="24"/>
      <color rgb="FF0B0B0B"/>
      <name val="Segoe UI"/>
    </font>
    <font>
      <b/>
      <sz val="10.5"/>
      <color rgb="FF0B0B0B"/>
      <name val="Segoe UI"/>
    </font>
    <font>
      <b/>
      <sz val="20"/>
      <color rgb="FF0B0B0B"/>
      <name val="Segoe UI"/>
    </font>
    <font>
      <sz val="10.5"/>
      <color rgb="FF0B0B0B"/>
      <name val="Segoe UI"/>
    </font>
    <font>
      <b/>
      <sz val="16"/>
      <color rgb="FF0B0B0B"/>
      <name val="Segoe UI"/>
    </font>
    <font>
      <u/>
      <sz val="10.5"/>
      <color rgb="FF1F4E79"/>
      <name val="Segoe U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0CA30C"/>
      </patternFill>
    </fill>
    <fill>
      <patternFill patternType="solid">
        <fgColor rgb="FFE1E0D9"/>
      </patternFill>
    </fill>
    <fill>
      <patternFill patternType="solid">
        <fgColor rgb="FFFCFCFB"/>
      </patternFill>
    </fill>
  </fills>
  <borders count="20">
    <border>
      <left/>
      <right/>
      <top/>
      <bottom/>
      <diagonal/>
    </border>
    <border>
      <left/>
      <right style="hair">
        <color rgb="FF898781"/>
      </right>
      <top/>
      <bottom/>
      <diagonal/>
    </border>
    <border>
      <left/>
      <right/>
      <top/>
      <bottom style="hair">
        <color rgb="FFE1E0D9"/>
      </bottom>
      <diagonal/>
    </border>
    <border>
      <left style="medium">
        <color rgb="FF898781"/>
      </left>
      <right/>
      <top/>
      <bottom/>
      <diagonal/>
    </border>
    <border>
      <left/>
      <right/>
      <top/>
      <bottom style="thin">
        <color rgb="FFE1E0D9"/>
      </bottom>
      <diagonal/>
    </border>
    <border>
      <left style="thin">
        <color rgb="FFE1E0D9"/>
      </left>
      <right/>
      <top style="thin">
        <color rgb="FFE1E0D9"/>
      </top>
      <bottom/>
      <diagonal/>
    </border>
    <border>
      <left/>
      <right/>
      <top style="thin">
        <color rgb="FFE1E0D9"/>
      </top>
      <bottom/>
      <diagonal/>
    </border>
    <border>
      <left/>
      <right style="thin">
        <color rgb="FFE1E0D9"/>
      </right>
      <top style="thin">
        <color rgb="FFE1E0D9"/>
      </top>
      <bottom/>
      <diagonal/>
    </border>
    <border>
      <left style="thin">
        <color rgb="FFE1E0D9"/>
      </left>
      <right style="thin">
        <color rgb="FFE1E0D9"/>
      </right>
      <top/>
      <bottom style="thin">
        <color rgb="FFE1E0D9"/>
      </bottom>
      <diagonal/>
    </border>
    <border>
      <left/>
      <right/>
      <top/>
      <bottom style="thin">
        <color rgb="FFE1E0D9"/>
      </bottom>
      <diagonal/>
    </border>
    <border>
      <left/>
      <right style="thin">
        <color rgb="FFE1E0D9"/>
      </right>
      <top/>
      <bottom style="thin">
        <color rgb="FFE1E0D9"/>
      </bottom>
      <diagonal/>
    </border>
    <border>
      <left style="thin">
        <color rgb="FF898781"/>
      </left>
      <right/>
      <top style="thin">
        <color rgb="FF898781"/>
      </top>
      <bottom style="thin">
        <color rgb="FF898781"/>
      </bottom>
      <diagonal/>
    </border>
    <border>
      <left/>
      <right/>
      <top style="thin">
        <color rgb="FF898781"/>
      </top>
      <bottom style="thin">
        <color rgb="FF898781"/>
      </bottom>
      <diagonal/>
    </border>
    <border>
      <left/>
      <right style="thin">
        <color rgb="FF898781"/>
      </right>
      <top style="thin">
        <color rgb="FF898781"/>
      </top>
      <bottom style="thin">
        <color rgb="FF898781"/>
      </bottom>
      <diagonal/>
    </border>
    <border>
      <left style="hair">
        <color rgb="FFE1E0D9"/>
      </left>
      <right/>
      <top style="thick">
        <color rgb="FF1F4E79"/>
      </top>
      <bottom/>
      <diagonal/>
    </border>
    <border>
      <left/>
      <right style="hair">
        <color rgb="FFE1E0D9"/>
      </right>
      <top style="thick">
        <color rgb="FF1F4E79"/>
      </top>
      <bottom/>
      <diagonal/>
    </border>
    <border>
      <left style="hair">
        <color rgb="FFE1E0D9"/>
      </left>
      <right/>
      <top/>
      <bottom/>
      <diagonal/>
    </border>
    <border>
      <left/>
      <right style="hair">
        <color rgb="FFE1E0D9"/>
      </right>
      <top/>
      <bottom/>
      <diagonal/>
    </border>
    <border>
      <left style="hair">
        <color rgb="FFE1E0D9"/>
      </left>
      <right/>
      <top/>
      <bottom style="hair">
        <color rgb="FFE1E0D9"/>
      </bottom>
      <diagonal/>
    </border>
    <border>
      <left/>
      <right style="hair">
        <color rgb="FFE1E0D9"/>
      </right>
      <top/>
      <bottom style="hair">
        <color rgb="FFE1E0D9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165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2" fontId="0" fillId="0" borderId="2" xfId="0" applyNumberFormat="1" applyBorder="1"/>
    <xf numFmtId="166" fontId="0" fillId="0" borderId="2" xfId="0" applyNumberFormat="1" applyBorder="1"/>
    <xf numFmtId="0" fontId="1" fillId="2" borderId="0" xfId="0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/>
    <xf numFmtId="0" fontId="1" fillId="2" borderId="3" xfId="0" applyFont="1" applyFill="1" applyBorder="1" applyAlignment="1">
      <alignment horizontal="center" vertical="center" wrapText="1"/>
    </xf>
    <xf numFmtId="164" fontId="0" fillId="0" borderId="2" xfId="0" applyNumberFormat="1" applyBorder="1"/>
    <xf numFmtId="9" fontId="0" fillId="0" borderId="2" xfId="0" applyNumberFormat="1" applyBorder="1" applyAlignment="1">
      <alignment horizontal="center" vertical="center"/>
    </xf>
    <xf numFmtId="0" fontId="0" fillId="0" borderId="3" xfId="0" applyBorder="1"/>
    <xf numFmtId="0" fontId="2" fillId="0" borderId="4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3" fillId="0" borderId="0" xfId="0" applyFont="1" applyAlignment="1">
      <alignment indent="1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3" borderId="0" xfId="0" applyFill="1"/>
    <xf numFmtId="9" fontId="0" fillId="0" borderId="0" xfId="0" applyNumberFormat="1"/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167" fontId="7" fillId="4" borderId="0" xfId="0" applyNumberFormat="1" applyFont="1" applyFill="1" applyAlignment="1">
      <alignment horizontal="center" vertical="center"/>
    </xf>
    <xf numFmtId="0" fontId="8" fillId="5" borderId="5" xfId="0" applyFont="1" applyFill="1" applyBorder="1"/>
    <xf numFmtId="0" fontId="0" fillId="5" borderId="6" xfId="0" applyFill="1" applyBorder="1"/>
    <xf numFmtId="0" fontId="8" fillId="5" borderId="6" xfId="0" applyFont="1" applyFill="1" applyBorder="1"/>
    <xf numFmtId="0" fontId="0" fillId="5" borderId="7" xfId="0" applyFill="1" applyBorder="1"/>
    <xf numFmtId="168" fontId="0" fillId="0" borderId="2" xfId="0" applyNumberFormat="1" applyBorder="1"/>
    <xf numFmtId="169" fontId="0" fillId="0" borderId="2" xfId="0" applyNumberFormat="1" applyBorder="1"/>
    <xf numFmtId="170" fontId="0" fillId="0" borderId="2" xfId="0" applyNumberFormat="1" applyBorder="1"/>
    <xf numFmtId="171" fontId="11" fillId="0" borderId="0" xfId="0" applyNumberFormat="1" applyFont="1" applyAlignment="1">
      <alignment horizontal="center" vertical="center"/>
    </xf>
    <xf numFmtId="0" fontId="14" fillId="0" borderId="0" xfId="0" applyFont="1"/>
    <xf numFmtId="0" fontId="16" fillId="0" borderId="0" xfId="0" applyFont="1"/>
    <xf numFmtId="0" fontId="17" fillId="0" borderId="0" xfId="0" applyFont="1"/>
    <xf numFmtId="0" fontId="16" fillId="5" borderId="5" xfId="0" applyFont="1" applyFill="1" applyBorder="1"/>
    <xf numFmtId="0" fontId="0" fillId="5" borderId="2" xfId="0" applyFill="1" applyBorder="1" applyAlignment="1">
      <alignment horizontal="center" vertical="center"/>
    </xf>
    <xf numFmtId="0" fontId="0" fillId="5" borderId="2" xfId="0" applyFill="1" applyBorder="1"/>
    <xf numFmtId="164" fontId="0" fillId="5" borderId="2" xfId="0" applyNumberFormat="1" applyFill="1" applyBorder="1"/>
    <xf numFmtId="1" fontId="0" fillId="5" borderId="2" xfId="0" applyNumberFormat="1" applyFill="1" applyBorder="1" applyAlignment="1">
      <alignment horizontal="center" vertical="center"/>
    </xf>
    <xf numFmtId="168" fontId="0" fillId="5" borderId="2" xfId="0" applyNumberFormat="1" applyFill="1" applyBorder="1" applyAlignment="1">
      <alignment horizontal="center" vertical="center"/>
    </xf>
    <xf numFmtId="169" fontId="0" fillId="5" borderId="2" xfId="0" applyNumberForma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0" borderId="0" xfId="0"/>
    <xf numFmtId="0" fontId="10" fillId="5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9" fillId="5" borderId="8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5" fillId="2" borderId="0" xfId="0" applyFont="1" applyFill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11" fillId="5" borderId="14" xfId="0" applyFont="1" applyFill="1" applyBorder="1" applyAlignment="1">
      <alignment horizontal="center" vertical="center"/>
    </xf>
    <xf numFmtId="0" fontId="0" fillId="5" borderId="15" xfId="0" applyFill="1" applyBorder="1"/>
    <xf numFmtId="168" fontId="12" fillId="5" borderId="16" xfId="0" applyNumberFormat="1" applyFont="1" applyFill="1" applyBorder="1" applyAlignment="1">
      <alignment horizontal="center" vertical="center"/>
    </xf>
    <xf numFmtId="169" fontId="12" fillId="5" borderId="16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/>
    <xf numFmtId="0" fontId="3" fillId="0" borderId="0" xfId="0" applyFont="1"/>
    <xf numFmtId="0" fontId="5" fillId="2" borderId="0" xfId="0" applyFont="1" applyFill="1"/>
    <xf numFmtId="0" fontId="15" fillId="5" borderId="0" xfId="0" applyFont="1" applyFill="1" applyAlignment="1">
      <alignment vertical="top" wrapText="1"/>
    </xf>
    <xf numFmtId="1" fontId="12" fillId="5" borderId="16" xfId="0" applyNumberFormat="1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 wrapText="1"/>
    </xf>
  </cellXfs>
  <cellStyles count="1">
    <cellStyle name="Нормален" xfId="0" builtinId="0"/>
  </cellStyles>
  <dxfs count="480">
    <dxf>
      <border>
        <left style="hair">
          <color rgb="FFE1E0D9"/>
        </left>
        <right style="hair">
          <color rgb="FFE1E0D9"/>
        </right>
        <top style="thick">
          <color rgb="FFFAB219"/>
        </top>
        <bottom style="hair">
          <color rgb="FFE1E0D9"/>
        </bottom>
      </border>
    </dxf>
    <dxf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4A3AA7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4A3AA7"/>
        </patternFill>
      </fill>
    </dxf>
    <dxf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866FF"/>
        </patternFill>
      </fill>
    </dxf>
    <dxf>
      <fill>
        <patternFill patternType="solid">
          <bgColor rgb="FF4285F4"/>
        </patternFill>
      </fill>
    </dxf>
    <dxf>
      <fill>
        <patternFill patternType="solid">
          <bgColor rgb="FF4A3AA7"/>
        </patternFill>
      </fill>
    </dxf>
    <dxf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866FF"/>
        </patternFill>
      </fill>
    </dxf>
    <dxf>
      <fill>
        <patternFill patternType="solid">
          <bgColor rgb="FF4285F4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border>
        <left style="medium">
          <color rgb="FF4A3AA7"/>
        </left>
        <right style="medium">
          <color rgb="FF4A3AA7"/>
        </right>
        <top style="medium">
          <color rgb="FF4A3AA7"/>
        </top>
        <bottom style="medium">
          <color rgb="FF4A3AA7"/>
        </bottom>
      </border>
    </dxf>
    <dxf>
      <fill>
        <patternFill patternType="solid">
          <bgColor rgb="FFB7D3F6"/>
        </patternFill>
      </fill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2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fill>
        <patternFill patternType="solid">
          <bgColor rgb="FFF0EFEC"/>
        </patternFill>
      </fill>
    </dxf>
    <dxf>
      <fill>
        <patternFill patternType="solid">
          <bgColor rgb="FFE34948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2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Completed Tasks by Month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Dashboard!$B$15</c:f>
              <c:strCache>
                <c:ptCount val="1"/>
                <c:pt idx="0">
                  <c:v>Completed</c:v>
                </c:pt>
              </c:strCache>
            </c:strRef>
          </c:tx>
          <c:spPr>
            <a:ln>
              <a:solidFill>
                <a:srgbClr val="2A78D6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Dashboard!$B$16:$B$27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7D-4BD8-A32A-1832EC848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Hours Invested by Month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Dashboard!$D$15</c:f>
              <c:strCache>
                <c:ptCount val="1"/>
                <c:pt idx="0">
                  <c:v>HoursRaw</c:v>
                </c:pt>
              </c:strCache>
            </c:strRef>
          </c:tx>
          <c:spPr>
            <a:ln>
              <a:solidFill>
                <a:srgbClr val="1BAF7A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Dashboard!$D$16:$D$27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C-44C6-A703-B369B8433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28</xdr:row>
      <xdr:rowOff>0</xdr:rowOff>
    </xdr:from>
    <xdr:ext cx="360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39</xdr:row>
      <xdr:rowOff>0</xdr:rowOff>
    </xdr:from>
    <xdr:ext cx="360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meLogTable" displayName="TimeLogTable" ref="A1:C2">
  <autoFilter ref="A1:C2" xr:uid="{00000000-0009-0000-0100-000001000000}"/>
  <tableColumns count="3">
    <tableColumn id="1" xr3:uid="{00000000-0010-0000-0000-000001000000}" name="TaskKey"/>
    <tableColumn id="2" xr3:uid="{00000000-0010-0000-0000-000002000000}" name="Date"/>
    <tableColumn id="3" xr3:uid="{00000000-0010-0000-0000-000003000000}" name="Dur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rchiveTable" displayName="ArchiveTable" ref="A1:R2">
  <autoFilter ref="A1:R2" xr:uid="{00000000-0009-0000-0100-000002000000}"/>
  <tableColumns count="18">
    <tableColumn id="1" xr3:uid="{00000000-0010-0000-0100-000001000000}" name="ID"/>
    <tableColumn id="2" xr3:uid="{00000000-0010-0000-0100-000002000000}" name="Start Date"/>
    <tableColumn id="3" xr3:uid="{00000000-0010-0000-0100-000003000000}" name="Task"/>
    <tableColumn id="4" xr3:uid="{00000000-0010-0000-0100-000004000000}" name="Total Subtasks"/>
    <tableColumn id="5" xr3:uid="{00000000-0010-0000-0100-000005000000}" name="Subtask of"/>
    <tableColumn id="6" xr3:uid="{00000000-0010-0000-0100-000006000000}" name="Project / Category"/>
    <tableColumn id="7" xr3:uid="{00000000-0010-0000-0100-000007000000}" name="Linked Campaign"/>
    <tableColumn id="8" xr3:uid="{00000000-0010-0000-0100-000008000000}" name="Priority"/>
    <tableColumn id="9" xr3:uid="{00000000-0010-0000-0100-000009000000}" name="Deadline"/>
    <tableColumn id="10" xr3:uid="{00000000-0010-0000-0100-00000A000000}" name="Status"/>
    <tableColumn id="11" xr3:uid="{00000000-0010-0000-0100-00000B000000}" name="Days Left"/>
    <tableColumn id="12" xr3:uid="{00000000-0010-0000-0100-00000C000000}" name="Time Spent (hrs)"/>
    <tableColumn id="13" xr3:uid="{00000000-0010-0000-0100-00000D000000}" name="Notes"/>
    <tableColumn id="14" xr3:uid="{00000000-0010-0000-0100-00000E000000}" name="Completed At"/>
    <tableColumn id="15" xr3:uid="{00000000-0010-0000-0100-00000F000000}" name="TaskKey"/>
    <tableColumn id="16" xr3:uid="{00000000-0010-0000-0100-000010000000}" name="ParentKey"/>
    <tableColumn id="17" xr3:uid="{00000000-0010-0000-0100-000011000000}" name="Level"/>
    <tableColumn id="18" xr3:uid="{00000000-0010-0000-0100-000012000000}" name="Time Spent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ampaignsArchiveTable" displayName="CampaignsArchiveTable" ref="A1:H2">
  <autoFilter ref="A1:H2" xr:uid="{00000000-0009-0000-0100-000003000000}"/>
  <tableColumns count="8">
    <tableColumn id="1" xr3:uid="{00000000-0010-0000-0200-000001000000}" name="Campaign Name"/>
    <tableColumn id="2" xr3:uid="{00000000-0010-0000-0200-000002000000}" name="Start Date"/>
    <tableColumn id="3" xr3:uid="{00000000-0010-0000-0200-000003000000}" name="End Date"/>
    <tableColumn id="4" xr3:uid="{00000000-0010-0000-0200-000004000000}" name="Status"/>
    <tableColumn id="5" xr3:uid="{00000000-0010-0000-0200-000005000000}" name="Progress"/>
    <tableColumn id="6" xr3:uid="{00000000-0010-0000-0200-000006000000}" name="Notes"/>
    <tableColumn id="7" xr3:uid="{00000000-0010-0000-0200-000007000000}" name="Completed At"/>
    <tableColumn id="8" xr3:uid="{00000000-0010-0000-0200-000008000000}" name="CampaignKey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onthlyMediaPlanTable" displayName="MonthlyMediaPlanTable" ref="A6:I36">
  <autoFilter ref="A6:I36" xr:uid="{00000000-0009-0000-0100-000004000000}"/>
  <tableColumns count="9">
    <tableColumn id="1" xr3:uid="{00000000-0010-0000-0300-000001000000}" name="Funded"/>
    <tableColumn id="2" xr3:uid="{00000000-0010-0000-0300-000002000000}" name="Campaign Name"/>
    <tableColumn id="3" xr3:uid="{00000000-0010-0000-0300-000003000000}" name="Platform"/>
    <tableColumn id="4" xr3:uid="{00000000-0010-0000-0300-000004000000}" name="Optimization"/>
    <tableColumn id="5" xr3:uid="{00000000-0010-0000-0300-000005000000}" name="Audience"/>
    <tableColumn id="6" xr3:uid="{00000000-0010-0000-0300-000006000000}" name="Start Date"/>
    <tableColumn id="7" xr3:uid="{00000000-0010-0000-0300-000007000000}" name="End Date"/>
    <tableColumn id="8" xr3:uid="{00000000-0010-0000-0300-000008000000}" name="Budget (EUR)"/>
    <tableColumn id="9" xr3:uid="{00000000-0010-0000-0300-000009000000}" name="Budget (USD)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WorkLocationTable" displayName="WorkLocationTable" ref="A1:B2">
  <autoFilter ref="A1:B2" xr:uid="{00000000-0009-0000-0100-000005000000}"/>
  <tableColumns count="2">
    <tableColumn id="1" xr3:uid="{00000000-0010-0000-0400-000001000000}" name="Date"/>
    <tableColumn id="2" xr3:uid="{00000000-0010-0000-0400-000002000000}" name="Location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eetingsTable" displayName="MeetingsTable" ref="D1:J2">
  <autoFilter ref="D1:J2" xr:uid="{00000000-0009-0000-0100-000006000000}"/>
  <tableColumns count="7">
    <tableColumn id="4" xr3:uid="{00000000-0010-0000-0500-000004000000}" name="Meeting Name"/>
    <tableColumn id="5" xr3:uid="{00000000-0010-0000-0500-000005000000}" name="Start Time"/>
    <tableColumn id="6" xr3:uid="{00000000-0010-0000-0500-000006000000}" name="End Time"/>
    <tableColumn id="7" xr3:uid="{00000000-0010-0000-0500-000007000000}" name="Recurrence"/>
    <tableColumn id="8" xr3:uid="{00000000-0010-0000-0500-000008000000}" name="Anchor Date"/>
    <tableColumn id="9" xr3:uid="{00000000-0010-0000-0500-000009000000}" name="Status"/>
    <tableColumn id="10" xr3:uid="{00000000-0010-0000-0500-00000A000000}" name="MeetingKey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LoginInformationTable" displayName="LoginInformationTable" ref="A1:G2">
  <autoFilter ref="A1:G2" xr:uid="{00000000-0009-0000-0100-000007000000}"/>
  <tableColumns count="7">
    <tableColumn id="1" xr3:uid="{00000000-0010-0000-0600-000001000000}" name="Platform"/>
    <tableColumn id="2" xr3:uid="{00000000-0010-0000-0600-000002000000}" name="Website"/>
    <tableColumn id="3" xr3:uid="{00000000-0010-0000-0600-000003000000}" name="Username / Email"/>
    <tableColumn id="4" xr3:uid="{00000000-0010-0000-0600-000004000000}" name="Password"/>
    <tableColumn id="5" xr3:uid="{00000000-0010-0000-0600-000005000000}" name="Last Password Change"/>
    <tableColumn id="6" xr3:uid="{00000000-0010-0000-0600-000006000000}" name="Access"/>
    <tableColumn id="7" xr3:uid="{00000000-0010-0000-0600-000007000000}" name="Notes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QuickLinksTable" displayName="QuickLinksTable" ref="A1:D2">
  <autoFilter ref="A1:D2" xr:uid="{00000000-0009-0000-0100-000008000000}"/>
  <tableColumns count="4">
    <tableColumn id="1" xr3:uid="{00000000-0010-0000-0700-000001000000}" name="Category / Group"/>
    <tableColumn id="2" xr3:uid="{00000000-0010-0000-0700-000002000000}" name="Link / URL"/>
    <tableColumn id="3" xr3:uid="{00000000-0010-0000-0700-000003000000}" name="Description"/>
    <tableColumn id="4" xr3:uid="{00000000-0010-0000-0700-000004000000}" name="Notes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UpcomingTasksTable" displayName="UpcomingTasksTable" ref="A7:F12">
  <autoFilter ref="A7:F12" xr:uid="{00000000-0009-0000-0100-000009000000}"/>
  <tableColumns count="6">
    <tableColumn id="1" xr3:uid="{00000000-0010-0000-0800-000001000000}" name="ID"/>
    <tableColumn id="2" xr3:uid="{00000000-0010-0000-0800-000002000000}" name="Task"/>
    <tableColumn id="3" xr3:uid="{00000000-0010-0000-0800-000003000000}" name="Project"/>
    <tableColumn id="4" xr3:uid="{00000000-0010-0000-0800-000004000000}" name="Priority"/>
    <tableColumn id="5" xr3:uid="{00000000-0010-0000-0800-000005000000}" name="Deadline"/>
    <tableColumn id="6" xr3:uid="{00000000-0010-0000-0800-000006000000}" name="Days Left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YearlyMonthlyPerformanceTable" displayName="YearlyMonthlyPerformanceTable" ref="A15:C27">
  <autoFilter ref="A15:C27" xr:uid="{00000000-0009-0000-0100-00000A000000}"/>
  <tableColumns count="3">
    <tableColumn id="1" xr3:uid="{00000000-0010-0000-0900-000001000000}" name="Month"/>
    <tableColumn id="2" xr3:uid="{00000000-0010-0000-0900-000002000000}" name="Completed"/>
    <tableColumn id="3" xr3:uid="{00000000-0010-0000-0900-000003000000}" name="Hours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DailyWeeklyProductivityTable" displayName="DailyWeeklyProductivityTable" ref="H7:I11">
  <autoFilter ref="H7:I11" xr:uid="{00000000-0009-0000-0100-00000B000000}"/>
  <tableColumns count="2">
    <tableColumn id="8" xr3:uid="{00000000-0010-0000-0A00-000008000000}" name="Productivity Indicator"/>
    <tableColumn id="9" xr3:uid="{00000000-0010-0000-0A00-000009000000}" name="Performance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arketingCampaignRemindersTable" displayName="MarketingCampaignRemindersTable" ref="H14:L24">
  <autoFilter ref="H14:L24" xr:uid="{00000000-0009-0000-0100-00000C000000}"/>
  <tableColumns count="5">
    <tableColumn id="8" xr3:uid="{00000000-0010-0000-0B00-000008000000}" name="Campaign Name"/>
    <tableColumn id="9" xr3:uid="{00000000-0010-0000-0B00-000009000000}" name="Start Date"/>
    <tableColumn id="10" xr3:uid="{00000000-0010-0000-0B00-00000A000000}" name="End Date"/>
    <tableColumn id="11" xr3:uid="{00000000-0010-0000-0B00-00000B000000}" name="Days Left"/>
    <tableColumn id="12" xr3:uid="{00000000-0010-0000-0B00-00000C000000}" name="Status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ampaignMetricsSummaryTable" displayName="CampaignMetricsSummaryTable" ref="H27:I32">
  <autoFilter ref="H27:I32" xr:uid="{00000000-0009-0000-0100-00000D000000}"/>
  <tableColumns count="2">
    <tableColumn id="8" xr3:uid="{00000000-0010-0000-0C00-000008000000}" name="Performance Metric"/>
    <tableColumn id="9" xr3:uid="{00000000-0010-0000-0C00-000009000000}" name="Count / Total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"/>
  <sheetViews>
    <sheetView workbookViewId="0"/>
  </sheetViews>
  <sheetFormatPr defaultRowHeight="14.5" x14ac:dyDescent="0.35"/>
  <cols>
    <col min="1" max="2" width="12" customWidth="1"/>
    <col min="3" max="3" width="10" customWidth="1"/>
  </cols>
  <sheetData>
    <row r="1" spans="1:3" ht="17" x14ac:dyDescent="0.35">
      <c r="A1" s="1" t="s">
        <v>0</v>
      </c>
      <c r="B1" s="1" t="s">
        <v>1</v>
      </c>
      <c r="C1" s="1" t="s">
        <v>2</v>
      </c>
    </row>
    <row r="2" spans="1:3" x14ac:dyDescent="0.35">
      <c r="B2" s="2"/>
      <c r="C2" s="3"/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1F4E79"/>
  </sheetPr>
  <dimension ref="A1:AA501"/>
  <sheetViews>
    <sheetView showGridLines="0" tabSelected="1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0" customWidth="1"/>
    <col min="2" max="3" width="4" customWidth="1"/>
    <col min="4" max="4" width="19" customWidth="1"/>
    <col min="5" max="5" width="32" customWidth="1"/>
    <col min="6" max="7" width="10" customWidth="1"/>
    <col min="8" max="9" width="18" customWidth="1"/>
    <col min="10" max="10" width="10" customWidth="1"/>
    <col min="11" max="11" width="19" customWidth="1"/>
    <col min="12" max="12" width="13" customWidth="1"/>
    <col min="13" max="14" width="10" customWidth="1"/>
    <col min="15" max="15" width="10" hidden="1" customWidth="1"/>
    <col min="16" max="16" width="8" customWidth="1"/>
    <col min="17" max="26" width="13" hidden="1" customWidth="1"/>
    <col min="27" max="27" width="12" customWidth="1"/>
  </cols>
  <sheetData>
    <row r="1" spans="1:27" ht="32" customHeight="1" x14ac:dyDescent="0.3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0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  <c r="X1" s="4" t="s">
        <v>25</v>
      </c>
      <c r="Y1" s="4" t="s">
        <v>26</v>
      </c>
      <c r="Z1" s="4" t="s">
        <v>27</v>
      </c>
      <c r="AA1" s="4" t="s">
        <v>28</v>
      </c>
    </row>
    <row r="2" spans="1:27" ht="14.5" x14ac:dyDescent="0.35">
      <c r="A2" s="5"/>
      <c r="B2" s="6"/>
      <c r="C2" s="6"/>
      <c r="D2" s="7"/>
      <c r="E2" s="6"/>
      <c r="F2" s="5" t="str">
        <f t="shared" ref="F2:F65" si="0">IF(COUNTIF($A$2:$A$501,A2&amp;".*")=0,"",COUNTIF($A$2:$A$501,A2&amp;".*"))</f>
        <v/>
      </c>
      <c r="G2" s="5"/>
      <c r="H2" s="6"/>
      <c r="I2" s="6"/>
      <c r="J2" s="6"/>
      <c r="K2" s="7"/>
      <c r="L2" s="6"/>
      <c r="M2" s="8" t="str">
        <f t="shared" ref="M2:M65" ca="1" si="1">IF(K2="","",INT(K2)-TODAY())</f>
        <v/>
      </c>
      <c r="N2" s="6"/>
      <c r="O2" s="9"/>
      <c r="P2" s="10"/>
      <c r="Q2" s="6"/>
      <c r="R2" s="6"/>
      <c r="S2" s="6"/>
      <c r="T2" s="6"/>
      <c r="U2" s="6"/>
      <c r="V2" s="6"/>
      <c r="W2" s="6" t="str">
        <f t="shared" ref="W2:W65" si="2">IF(K2="","",K2+Q2/1000000)</f>
        <v/>
      </c>
      <c r="X2" s="6" t="str">
        <f t="shared" ref="X2:X65" si="3">IF(V2="","",IF(K2="",9999999+Q2/1000000,K2+Q2/1000000))</f>
        <v/>
      </c>
      <c r="Y2" s="6" t="str">
        <f t="shared" ref="Y2:Y65" si="4">IF(V2="","",SUMPRODUCT(($V$2:$V$501=V2)*($X$2:$X$501&lt;=X2)))</f>
        <v/>
      </c>
      <c r="Z2" s="6" t="str">
        <f t="shared" ref="Z2:Z65" si="5">IF(V2="","",V2&amp;"|"&amp;Y2)</f>
        <v/>
      </c>
      <c r="AA2" s="5" t="str">
        <f t="shared" ref="AA2:AA65" si="6">IF(O2="","",TEXT(INT(ROUND(O2*60,0)/60),"0")&amp;"h "&amp;TEXT(MOD(ROUND(O2*60,0),60),"00")&amp;"m")</f>
        <v/>
      </c>
    </row>
    <row r="3" spans="1:27" ht="14.5" x14ac:dyDescent="0.35">
      <c r="A3" s="5"/>
      <c r="B3" s="6"/>
      <c r="C3" s="6"/>
      <c r="D3" s="7"/>
      <c r="E3" s="6"/>
      <c r="F3" s="5" t="str">
        <f t="shared" si="0"/>
        <v/>
      </c>
      <c r="G3" s="5"/>
      <c r="H3" s="6"/>
      <c r="I3" s="6"/>
      <c r="J3" s="6"/>
      <c r="K3" s="7"/>
      <c r="L3" s="6"/>
      <c r="M3" s="8" t="str">
        <f t="shared" ca="1" si="1"/>
        <v/>
      </c>
      <c r="N3" s="6"/>
      <c r="O3" s="9"/>
      <c r="P3" s="10"/>
      <c r="Q3" s="6"/>
      <c r="R3" s="6"/>
      <c r="S3" s="6"/>
      <c r="T3" s="6"/>
      <c r="U3" s="6"/>
      <c r="V3" s="6"/>
      <c r="W3" s="6" t="str">
        <f t="shared" si="2"/>
        <v/>
      </c>
      <c r="X3" s="6" t="str">
        <f t="shared" si="3"/>
        <v/>
      </c>
      <c r="Y3" s="6" t="str">
        <f t="shared" si="4"/>
        <v/>
      </c>
      <c r="Z3" s="6" t="str">
        <f t="shared" si="5"/>
        <v/>
      </c>
      <c r="AA3" s="5" t="str">
        <f t="shared" si="6"/>
        <v/>
      </c>
    </row>
    <row r="4" spans="1:27" ht="14.5" x14ac:dyDescent="0.35">
      <c r="A4" s="5"/>
      <c r="B4" s="6"/>
      <c r="C4" s="6"/>
      <c r="D4" s="7"/>
      <c r="E4" s="6"/>
      <c r="F4" s="5" t="str">
        <f t="shared" si="0"/>
        <v/>
      </c>
      <c r="G4" s="5"/>
      <c r="H4" s="6"/>
      <c r="I4" s="6"/>
      <c r="J4" s="6"/>
      <c r="K4" s="7"/>
      <c r="L4" s="6"/>
      <c r="M4" s="8" t="str">
        <f t="shared" ca="1" si="1"/>
        <v/>
      </c>
      <c r="N4" s="6"/>
      <c r="O4" s="9"/>
      <c r="P4" s="10"/>
      <c r="Q4" s="6"/>
      <c r="R4" s="6"/>
      <c r="S4" s="6"/>
      <c r="T4" s="6"/>
      <c r="U4" s="6"/>
      <c r="V4" s="6"/>
      <c r="W4" s="6" t="str">
        <f t="shared" si="2"/>
        <v/>
      </c>
      <c r="X4" s="6" t="str">
        <f t="shared" si="3"/>
        <v/>
      </c>
      <c r="Y4" s="6" t="str">
        <f t="shared" si="4"/>
        <v/>
      </c>
      <c r="Z4" s="6" t="str">
        <f t="shared" si="5"/>
        <v/>
      </c>
      <c r="AA4" s="5" t="str">
        <f t="shared" si="6"/>
        <v/>
      </c>
    </row>
    <row r="5" spans="1:27" ht="14.5" x14ac:dyDescent="0.35">
      <c r="A5" s="5"/>
      <c r="B5" s="6"/>
      <c r="C5" s="6"/>
      <c r="D5" s="7"/>
      <c r="E5" s="6"/>
      <c r="F5" s="5" t="str">
        <f t="shared" si="0"/>
        <v/>
      </c>
      <c r="G5" s="5"/>
      <c r="H5" s="6"/>
      <c r="I5" s="6"/>
      <c r="J5" s="6"/>
      <c r="K5" s="7"/>
      <c r="L5" s="6"/>
      <c r="M5" s="8" t="str">
        <f t="shared" ca="1" si="1"/>
        <v/>
      </c>
      <c r="N5" s="6"/>
      <c r="O5" s="9"/>
      <c r="P5" s="10"/>
      <c r="Q5" s="6"/>
      <c r="R5" s="6"/>
      <c r="S5" s="6"/>
      <c r="T5" s="6"/>
      <c r="U5" s="6"/>
      <c r="V5" s="6"/>
      <c r="W5" s="6" t="str">
        <f t="shared" si="2"/>
        <v/>
      </c>
      <c r="X5" s="6" t="str">
        <f t="shared" si="3"/>
        <v/>
      </c>
      <c r="Y5" s="6" t="str">
        <f t="shared" si="4"/>
        <v/>
      </c>
      <c r="Z5" s="6" t="str">
        <f t="shared" si="5"/>
        <v/>
      </c>
      <c r="AA5" s="5" t="str">
        <f t="shared" si="6"/>
        <v/>
      </c>
    </row>
    <row r="6" spans="1:27" ht="14.5" x14ac:dyDescent="0.35">
      <c r="A6" s="5"/>
      <c r="B6" s="6"/>
      <c r="C6" s="6"/>
      <c r="D6" s="7"/>
      <c r="E6" s="6"/>
      <c r="F6" s="5" t="str">
        <f t="shared" si="0"/>
        <v/>
      </c>
      <c r="G6" s="5"/>
      <c r="H6" s="6"/>
      <c r="I6" s="6"/>
      <c r="J6" s="6"/>
      <c r="K6" s="7"/>
      <c r="L6" s="6"/>
      <c r="M6" s="8" t="str">
        <f t="shared" ca="1" si="1"/>
        <v/>
      </c>
      <c r="N6" s="6"/>
      <c r="O6" s="9"/>
      <c r="P6" s="10"/>
      <c r="Q6" s="6"/>
      <c r="R6" s="6"/>
      <c r="S6" s="6"/>
      <c r="T6" s="6"/>
      <c r="U6" s="6"/>
      <c r="V6" s="6"/>
      <c r="W6" s="6" t="str">
        <f t="shared" si="2"/>
        <v/>
      </c>
      <c r="X6" s="6" t="str">
        <f t="shared" si="3"/>
        <v/>
      </c>
      <c r="Y6" s="6" t="str">
        <f t="shared" si="4"/>
        <v/>
      </c>
      <c r="Z6" s="6" t="str">
        <f t="shared" si="5"/>
        <v/>
      </c>
      <c r="AA6" s="5" t="str">
        <f t="shared" si="6"/>
        <v/>
      </c>
    </row>
    <row r="7" spans="1:27" ht="14.5" x14ac:dyDescent="0.35">
      <c r="A7" s="5"/>
      <c r="B7" s="6"/>
      <c r="C7" s="6"/>
      <c r="D7" s="7"/>
      <c r="E7" s="6"/>
      <c r="F7" s="5" t="str">
        <f t="shared" si="0"/>
        <v/>
      </c>
      <c r="G7" s="5"/>
      <c r="H7" s="6"/>
      <c r="I7" s="6"/>
      <c r="J7" s="6"/>
      <c r="K7" s="7"/>
      <c r="L7" s="6"/>
      <c r="M7" s="8" t="str">
        <f t="shared" ca="1" si="1"/>
        <v/>
      </c>
      <c r="N7" s="6"/>
      <c r="O7" s="9"/>
      <c r="P7" s="10"/>
      <c r="Q7" s="6"/>
      <c r="R7" s="6"/>
      <c r="S7" s="6"/>
      <c r="T7" s="6"/>
      <c r="U7" s="6"/>
      <c r="V7" s="6"/>
      <c r="W7" s="6" t="str">
        <f t="shared" si="2"/>
        <v/>
      </c>
      <c r="X7" s="6" t="str">
        <f t="shared" si="3"/>
        <v/>
      </c>
      <c r="Y7" s="6" t="str">
        <f t="shared" si="4"/>
        <v/>
      </c>
      <c r="Z7" s="6" t="str">
        <f t="shared" si="5"/>
        <v/>
      </c>
      <c r="AA7" s="5" t="str">
        <f t="shared" si="6"/>
        <v/>
      </c>
    </row>
    <row r="8" spans="1:27" ht="14.5" x14ac:dyDescent="0.35">
      <c r="A8" s="5"/>
      <c r="B8" s="6"/>
      <c r="C8" s="6"/>
      <c r="D8" s="7"/>
      <c r="E8" s="6"/>
      <c r="F8" s="5" t="str">
        <f t="shared" si="0"/>
        <v/>
      </c>
      <c r="G8" s="5"/>
      <c r="H8" s="6"/>
      <c r="I8" s="6"/>
      <c r="J8" s="6"/>
      <c r="K8" s="7"/>
      <c r="L8" s="6"/>
      <c r="M8" s="8" t="str">
        <f t="shared" ca="1" si="1"/>
        <v/>
      </c>
      <c r="N8" s="6"/>
      <c r="O8" s="9"/>
      <c r="P8" s="10"/>
      <c r="Q8" s="6"/>
      <c r="R8" s="6"/>
      <c r="S8" s="6"/>
      <c r="T8" s="6"/>
      <c r="U8" s="6"/>
      <c r="V8" s="6"/>
      <c r="W8" s="6" t="str">
        <f t="shared" si="2"/>
        <v/>
      </c>
      <c r="X8" s="6" t="str">
        <f t="shared" si="3"/>
        <v/>
      </c>
      <c r="Y8" s="6" t="str">
        <f t="shared" si="4"/>
        <v/>
      </c>
      <c r="Z8" s="6" t="str">
        <f t="shared" si="5"/>
        <v/>
      </c>
      <c r="AA8" s="5" t="str">
        <f t="shared" si="6"/>
        <v/>
      </c>
    </row>
    <row r="9" spans="1:27" ht="14.5" x14ac:dyDescent="0.35">
      <c r="A9" s="5"/>
      <c r="B9" s="6"/>
      <c r="C9" s="6"/>
      <c r="D9" s="7"/>
      <c r="E9" s="6"/>
      <c r="F9" s="5" t="str">
        <f t="shared" si="0"/>
        <v/>
      </c>
      <c r="G9" s="5"/>
      <c r="H9" s="6"/>
      <c r="I9" s="6"/>
      <c r="J9" s="6"/>
      <c r="K9" s="7"/>
      <c r="L9" s="6"/>
      <c r="M9" s="8" t="str">
        <f t="shared" ca="1" si="1"/>
        <v/>
      </c>
      <c r="N9" s="6"/>
      <c r="O9" s="9"/>
      <c r="P9" s="10"/>
      <c r="Q9" s="6"/>
      <c r="R9" s="6"/>
      <c r="S9" s="6"/>
      <c r="T9" s="6"/>
      <c r="U9" s="6"/>
      <c r="V9" s="6"/>
      <c r="W9" s="6" t="str">
        <f t="shared" si="2"/>
        <v/>
      </c>
      <c r="X9" s="6" t="str">
        <f t="shared" si="3"/>
        <v/>
      </c>
      <c r="Y9" s="6" t="str">
        <f t="shared" si="4"/>
        <v/>
      </c>
      <c r="Z9" s="6" t="str">
        <f t="shared" si="5"/>
        <v/>
      </c>
      <c r="AA9" s="5" t="str">
        <f t="shared" si="6"/>
        <v/>
      </c>
    </row>
    <row r="10" spans="1:27" ht="14.5" x14ac:dyDescent="0.35">
      <c r="A10" s="5"/>
      <c r="B10" s="6"/>
      <c r="C10" s="6"/>
      <c r="D10" s="7"/>
      <c r="E10" s="6"/>
      <c r="F10" s="5" t="str">
        <f t="shared" si="0"/>
        <v/>
      </c>
      <c r="G10" s="5"/>
      <c r="H10" s="6"/>
      <c r="I10" s="6"/>
      <c r="J10" s="6"/>
      <c r="K10" s="7"/>
      <c r="L10" s="6"/>
      <c r="M10" s="8" t="str">
        <f t="shared" ca="1" si="1"/>
        <v/>
      </c>
      <c r="N10" s="6"/>
      <c r="O10" s="9"/>
      <c r="P10" s="10"/>
      <c r="Q10" s="6"/>
      <c r="R10" s="6"/>
      <c r="S10" s="6"/>
      <c r="T10" s="6"/>
      <c r="U10" s="6"/>
      <c r="V10" s="6"/>
      <c r="W10" s="6" t="str">
        <f t="shared" si="2"/>
        <v/>
      </c>
      <c r="X10" s="6" t="str">
        <f t="shared" si="3"/>
        <v/>
      </c>
      <c r="Y10" s="6" t="str">
        <f t="shared" si="4"/>
        <v/>
      </c>
      <c r="Z10" s="6" t="str">
        <f t="shared" si="5"/>
        <v/>
      </c>
      <c r="AA10" s="5" t="str">
        <f t="shared" si="6"/>
        <v/>
      </c>
    </row>
    <row r="11" spans="1:27" ht="14.5" x14ac:dyDescent="0.35">
      <c r="A11" s="5"/>
      <c r="B11" s="6"/>
      <c r="C11" s="6"/>
      <c r="D11" s="7"/>
      <c r="E11" s="6"/>
      <c r="F11" s="5" t="str">
        <f t="shared" si="0"/>
        <v/>
      </c>
      <c r="G11" s="5"/>
      <c r="H11" s="6"/>
      <c r="I11" s="6"/>
      <c r="J11" s="6"/>
      <c r="K11" s="7"/>
      <c r="L11" s="6"/>
      <c r="M11" s="8" t="str">
        <f t="shared" ca="1" si="1"/>
        <v/>
      </c>
      <c r="N11" s="6"/>
      <c r="O11" s="9"/>
      <c r="P11" s="10"/>
      <c r="Q11" s="6"/>
      <c r="R11" s="6"/>
      <c r="S11" s="6"/>
      <c r="T11" s="6"/>
      <c r="U11" s="6"/>
      <c r="V11" s="6"/>
      <c r="W11" s="6" t="str">
        <f t="shared" si="2"/>
        <v/>
      </c>
      <c r="X11" s="6" t="str">
        <f t="shared" si="3"/>
        <v/>
      </c>
      <c r="Y11" s="6" t="str">
        <f t="shared" si="4"/>
        <v/>
      </c>
      <c r="Z11" s="6" t="str">
        <f t="shared" si="5"/>
        <v/>
      </c>
      <c r="AA11" s="5" t="str">
        <f t="shared" si="6"/>
        <v/>
      </c>
    </row>
    <row r="12" spans="1:27" ht="14.5" x14ac:dyDescent="0.35">
      <c r="A12" s="5"/>
      <c r="B12" s="6"/>
      <c r="C12" s="6"/>
      <c r="D12" s="7"/>
      <c r="E12" s="6"/>
      <c r="F12" s="5" t="str">
        <f t="shared" si="0"/>
        <v/>
      </c>
      <c r="G12" s="5"/>
      <c r="H12" s="6"/>
      <c r="I12" s="6"/>
      <c r="J12" s="6"/>
      <c r="K12" s="7"/>
      <c r="L12" s="6"/>
      <c r="M12" s="8" t="str">
        <f t="shared" ca="1" si="1"/>
        <v/>
      </c>
      <c r="N12" s="6"/>
      <c r="O12" s="9"/>
      <c r="P12" s="10"/>
      <c r="Q12" s="6"/>
      <c r="R12" s="6"/>
      <c r="S12" s="6"/>
      <c r="T12" s="6"/>
      <c r="U12" s="6"/>
      <c r="V12" s="6"/>
      <c r="W12" s="6" t="str">
        <f t="shared" si="2"/>
        <v/>
      </c>
      <c r="X12" s="6" t="str">
        <f t="shared" si="3"/>
        <v/>
      </c>
      <c r="Y12" s="6" t="str">
        <f t="shared" si="4"/>
        <v/>
      </c>
      <c r="Z12" s="6" t="str">
        <f t="shared" si="5"/>
        <v/>
      </c>
      <c r="AA12" s="5" t="str">
        <f t="shared" si="6"/>
        <v/>
      </c>
    </row>
    <row r="13" spans="1:27" ht="14.5" x14ac:dyDescent="0.35">
      <c r="A13" s="5"/>
      <c r="B13" s="6"/>
      <c r="C13" s="6"/>
      <c r="D13" s="7"/>
      <c r="E13" s="6"/>
      <c r="F13" s="5" t="str">
        <f t="shared" si="0"/>
        <v/>
      </c>
      <c r="G13" s="5"/>
      <c r="H13" s="6"/>
      <c r="I13" s="6"/>
      <c r="J13" s="6"/>
      <c r="K13" s="7"/>
      <c r="L13" s="6"/>
      <c r="M13" s="8" t="str">
        <f t="shared" ca="1" si="1"/>
        <v/>
      </c>
      <c r="N13" s="6"/>
      <c r="O13" s="9"/>
      <c r="P13" s="10"/>
      <c r="Q13" s="6"/>
      <c r="R13" s="6"/>
      <c r="S13" s="6"/>
      <c r="T13" s="6"/>
      <c r="U13" s="6"/>
      <c r="V13" s="6"/>
      <c r="W13" s="6" t="str">
        <f t="shared" si="2"/>
        <v/>
      </c>
      <c r="X13" s="6" t="str">
        <f t="shared" si="3"/>
        <v/>
      </c>
      <c r="Y13" s="6" t="str">
        <f t="shared" si="4"/>
        <v/>
      </c>
      <c r="Z13" s="6" t="str">
        <f t="shared" si="5"/>
        <v/>
      </c>
      <c r="AA13" s="5" t="str">
        <f t="shared" si="6"/>
        <v/>
      </c>
    </row>
    <row r="14" spans="1:27" ht="14.5" x14ac:dyDescent="0.35">
      <c r="A14" s="5"/>
      <c r="B14" s="6"/>
      <c r="C14" s="6"/>
      <c r="D14" s="7"/>
      <c r="E14" s="6"/>
      <c r="F14" s="5" t="str">
        <f t="shared" si="0"/>
        <v/>
      </c>
      <c r="G14" s="5"/>
      <c r="H14" s="6"/>
      <c r="I14" s="6"/>
      <c r="J14" s="6"/>
      <c r="K14" s="7"/>
      <c r="L14" s="6"/>
      <c r="M14" s="8" t="str">
        <f t="shared" ca="1" si="1"/>
        <v/>
      </c>
      <c r="N14" s="6"/>
      <c r="O14" s="9"/>
      <c r="P14" s="10"/>
      <c r="Q14" s="6"/>
      <c r="R14" s="6"/>
      <c r="S14" s="6"/>
      <c r="T14" s="6"/>
      <c r="U14" s="6"/>
      <c r="V14" s="6"/>
      <c r="W14" s="6" t="str">
        <f t="shared" si="2"/>
        <v/>
      </c>
      <c r="X14" s="6" t="str">
        <f t="shared" si="3"/>
        <v/>
      </c>
      <c r="Y14" s="6" t="str">
        <f t="shared" si="4"/>
        <v/>
      </c>
      <c r="Z14" s="6" t="str">
        <f t="shared" si="5"/>
        <v/>
      </c>
      <c r="AA14" s="5" t="str">
        <f t="shared" si="6"/>
        <v/>
      </c>
    </row>
    <row r="15" spans="1:27" ht="14.5" x14ac:dyDescent="0.35">
      <c r="A15" s="5"/>
      <c r="B15" s="6"/>
      <c r="C15" s="6"/>
      <c r="D15" s="7"/>
      <c r="E15" s="6"/>
      <c r="F15" s="5" t="str">
        <f t="shared" si="0"/>
        <v/>
      </c>
      <c r="G15" s="5"/>
      <c r="H15" s="6"/>
      <c r="I15" s="6"/>
      <c r="J15" s="6"/>
      <c r="K15" s="7"/>
      <c r="L15" s="6"/>
      <c r="M15" s="8" t="str">
        <f t="shared" ca="1" si="1"/>
        <v/>
      </c>
      <c r="N15" s="6"/>
      <c r="O15" s="9"/>
      <c r="P15" s="10"/>
      <c r="Q15" s="6"/>
      <c r="R15" s="6"/>
      <c r="S15" s="6"/>
      <c r="T15" s="6"/>
      <c r="U15" s="6"/>
      <c r="V15" s="6"/>
      <c r="W15" s="6" t="str">
        <f t="shared" si="2"/>
        <v/>
      </c>
      <c r="X15" s="6" t="str">
        <f t="shared" si="3"/>
        <v/>
      </c>
      <c r="Y15" s="6" t="str">
        <f t="shared" si="4"/>
        <v/>
      </c>
      <c r="Z15" s="6" t="str">
        <f t="shared" si="5"/>
        <v/>
      </c>
      <c r="AA15" s="5" t="str">
        <f t="shared" si="6"/>
        <v/>
      </c>
    </row>
    <row r="16" spans="1:27" ht="14.5" x14ac:dyDescent="0.35">
      <c r="A16" s="5"/>
      <c r="B16" s="6"/>
      <c r="C16" s="6"/>
      <c r="D16" s="7"/>
      <c r="E16" s="6"/>
      <c r="F16" s="5" t="str">
        <f t="shared" si="0"/>
        <v/>
      </c>
      <c r="G16" s="5"/>
      <c r="H16" s="6"/>
      <c r="I16" s="6"/>
      <c r="J16" s="6"/>
      <c r="K16" s="7"/>
      <c r="L16" s="6"/>
      <c r="M16" s="8" t="str">
        <f t="shared" ca="1" si="1"/>
        <v/>
      </c>
      <c r="N16" s="6"/>
      <c r="O16" s="9"/>
      <c r="P16" s="10"/>
      <c r="Q16" s="6"/>
      <c r="R16" s="6"/>
      <c r="S16" s="6"/>
      <c r="T16" s="6"/>
      <c r="U16" s="6"/>
      <c r="V16" s="6"/>
      <c r="W16" s="6" t="str">
        <f t="shared" si="2"/>
        <v/>
      </c>
      <c r="X16" s="6" t="str">
        <f t="shared" si="3"/>
        <v/>
      </c>
      <c r="Y16" s="6" t="str">
        <f t="shared" si="4"/>
        <v/>
      </c>
      <c r="Z16" s="6" t="str">
        <f t="shared" si="5"/>
        <v/>
      </c>
      <c r="AA16" s="5" t="str">
        <f t="shared" si="6"/>
        <v/>
      </c>
    </row>
    <row r="17" spans="1:27" ht="14.5" x14ac:dyDescent="0.35">
      <c r="A17" s="5"/>
      <c r="B17" s="6"/>
      <c r="C17" s="6"/>
      <c r="D17" s="7"/>
      <c r="E17" s="6"/>
      <c r="F17" s="5" t="str">
        <f t="shared" si="0"/>
        <v/>
      </c>
      <c r="G17" s="5"/>
      <c r="H17" s="6"/>
      <c r="I17" s="6"/>
      <c r="J17" s="6"/>
      <c r="K17" s="7"/>
      <c r="L17" s="6"/>
      <c r="M17" s="8" t="str">
        <f t="shared" ca="1" si="1"/>
        <v/>
      </c>
      <c r="N17" s="6"/>
      <c r="O17" s="9"/>
      <c r="P17" s="10"/>
      <c r="Q17" s="6"/>
      <c r="R17" s="6"/>
      <c r="S17" s="6"/>
      <c r="T17" s="6"/>
      <c r="U17" s="6"/>
      <c r="V17" s="6"/>
      <c r="W17" s="6" t="str">
        <f t="shared" si="2"/>
        <v/>
      </c>
      <c r="X17" s="6" t="str">
        <f t="shared" si="3"/>
        <v/>
      </c>
      <c r="Y17" s="6" t="str">
        <f t="shared" si="4"/>
        <v/>
      </c>
      <c r="Z17" s="6" t="str">
        <f t="shared" si="5"/>
        <v/>
      </c>
      <c r="AA17" s="5" t="str">
        <f t="shared" si="6"/>
        <v/>
      </c>
    </row>
    <row r="18" spans="1:27" ht="14.5" x14ac:dyDescent="0.35">
      <c r="A18" s="5"/>
      <c r="B18" s="6"/>
      <c r="C18" s="6"/>
      <c r="D18" s="7"/>
      <c r="E18" s="6"/>
      <c r="F18" s="5" t="str">
        <f t="shared" si="0"/>
        <v/>
      </c>
      <c r="G18" s="5"/>
      <c r="H18" s="6"/>
      <c r="I18" s="6"/>
      <c r="J18" s="6"/>
      <c r="K18" s="7"/>
      <c r="L18" s="6"/>
      <c r="M18" s="8" t="str">
        <f t="shared" ca="1" si="1"/>
        <v/>
      </c>
      <c r="N18" s="6"/>
      <c r="O18" s="9"/>
      <c r="P18" s="10"/>
      <c r="Q18" s="6"/>
      <c r="R18" s="6"/>
      <c r="S18" s="6"/>
      <c r="T18" s="6"/>
      <c r="U18" s="6"/>
      <c r="V18" s="6"/>
      <c r="W18" s="6" t="str">
        <f t="shared" si="2"/>
        <v/>
      </c>
      <c r="X18" s="6" t="str">
        <f t="shared" si="3"/>
        <v/>
      </c>
      <c r="Y18" s="6" t="str">
        <f t="shared" si="4"/>
        <v/>
      </c>
      <c r="Z18" s="6" t="str">
        <f t="shared" si="5"/>
        <v/>
      </c>
      <c r="AA18" s="5" t="str">
        <f t="shared" si="6"/>
        <v/>
      </c>
    </row>
    <row r="19" spans="1:27" ht="14.5" x14ac:dyDescent="0.35">
      <c r="A19" s="5"/>
      <c r="B19" s="6"/>
      <c r="C19" s="6"/>
      <c r="D19" s="7"/>
      <c r="E19" s="6"/>
      <c r="F19" s="5" t="str">
        <f t="shared" si="0"/>
        <v/>
      </c>
      <c r="G19" s="5"/>
      <c r="H19" s="6"/>
      <c r="I19" s="6"/>
      <c r="J19" s="6"/>
      <c r="K19" s="7"/>
      <c r="L19" s="6"/>
      <c r="M19" s="8" t="str">
        <f t="shared" ca="1" si="1"/>
        <v/>
      </c>
      <c r="N19" s="6"/>
      <c r="O19" s="9"/>
      <c r="P19" s="10"/>
      <c r="Q19" s="6"/>
      <c r="R19" s="6"/>
      <c r="S19" s="6"/>
      <c r="T19" s="6"/>
      <c r="U19" s="6"/>
      <c r="V19" s="6"/>
      <c r="W19" s="6" t="str">
        <f t="shared" si="2"/>
        <v/>
      </c>
      <c r="X19" s="6" t="str">
        <f t="shared" si="3"/>
        <v/>
      </c>
      <c r="Y19" s="6" t="str">
        <f t="shared" si="4"/>
        <v/>
      </c>
      <c r="Z19" s="6" t="str">
        <f t="shared" si="5"/>
        <v/>
      </c>
      <c r="AA19" s="5" t="str">
        <f t="shared" si="6"/>
        <v/>
      </c>
    </row>
    <row r="20" spans="1:27" ht="14.5" x14ac:dyDescent="0.35">
      <c r="A20" s="5"/>
      <c r="B20" s="6"/>
      <c r="C20" s="6"/>
      <c r="D20" s="7"/>
      <c r="E20" s="6"/>
      <c r="F20" s="5" t="str">
        <f t="shared" si="0"/>
        <v/>
      </c>
      <c r="G20" s="5"/>
      <c r="H20" s="6"/>
      <c r="I20" s="6"/>
      <c r="J20" s="6"/>
      <c r="K20" s="7"/>
      <c r="L20" s="6"/>
      <c r="M20" s="8" t="str">
        <f t="shared" ca="1" si="1"/>
        <v/>
      </c>
      <c r="N20" s="6"/>
      <c r="O20" s="9"/>
      <c r="P20" s="10"/>
      <c r="Q20" s="6"/>
      <c r="R20" s="6"/>
      <c r="S20" s="6"/>
      <c r="T20" s="6"/>
      <c r="U20" s="6"/>
      <c r="V20" s="6"/>
      <c r="W20" s="6" t="str">
        <f t="shared" si="2"/>
        <v/>
      </c>
      <c r="X20" s="6" t="str">
        <f t="shared" si="3"/>
        <v/>
      </c>
      <c r="Y20" s="6" t="str">
        <f t="shared" si="4"/>
        <v/>
      </c>
      <c r="Z20" s="6" t="str">
        <f t="shared" si="5"/>
        <v/>
      </c>
      <c r="AA20" s="5" t="str">
        <f t="shared" si="6"/>
        <v/>
      </c>
    </row>
    <row r="21" spans="1:27" ht="14.5" x14ac:dyDescent="0.35">
      <c r="A21" s="5"/>
      <c r="B21" s="6"/>
      <c r="C21" s="6"/>
      <c r="D21" s="7"/>
      <c r="E21" s="6"/>
      <c r="F21" s="5" t="str">
        <f t="shared" si="0"/>
        <v/>
      </c>
      <c r="G21" s="5"/>
      <c r="H21" s="6"/>
      <c r="I21" s="6"/>
      <c r="J21" s="6"/>
      <c r="K21" s="7"/>
      <c r="L21" s="6"/>
      <c r="M21" s="8" t="str">
        <f t="shared" ca="1" si="1"/>
        <v/>
      </c>
      <c r="N21" s="6"/>
      <c r="O21" s="9"/>
      <c r="P21" s="10"/>
      <c r="Q21" s="6"/>
      <c r="R21" s="6"/>
      <c r="S21" s="6"/>
      <c r="T21" s="6"/>
      <c r="U21" s="6"/>
      <c r="V21" s="6"/>
      <c r="W21" s="6" t="str">
        <f t="shared" si="2"/>
        <v/>
      </c>
      <c r="X21" s="6" t="str">
        <f t="shared" si="3"/>
        <v/>
      </c>
      <c r="Y21" s="6" t="str">
        <f t="shared" si="4"/>
        <v/>
      </c>
      <c r="Z21" s="6" t="str">
        <f t="shared" si="5"/>
        <v/>
      </c>
      <c r="AA21" s="5" t="str">
        <f t="shared" si="6"/>
        <v/>
      </c>
    </row>
    <row r="22" spans="1:27" ht="14.5" x14ac:dyDescent="0.35">
      <c r="A22" s="5"/>
      <c r="B22" s="6"/>
      <c r="C22" s="6"/>
      <c r="D22" s="7"/>
      <c r="E22" s="6"/>
      <c r="F22" s="5" t="str">
        <f t="shared" si="0"/>
        <v/>
      </c>
      <c r="G22" s="5"/>
      <c r="H22" s="6"/>
      <c r="I22" s="6"/>
      <c r="J22" s="6"/>
      <c r="K22" s="7"/>
      <c r="L22" s="6"/>
      <c r="M22" s="8" t="str">
        <f t="shared" ca="1" si="1"/>
        <v/>
      </c>
      <c r="N22" s="6"/>
      <c r="O22" s="9"/>
      <c r="P22" s="10"/>
      <c r="Q22" s="6"/>
      <c r="R22" s="6"/>
      <c r="S22" s="6"/>
      <c r="T22" s="6"/>
      <c r="U22" s="6"/>
      <c r="V22" s="6"/>
      <c r="W22" s="6" t="str">
        <f t="shared" si="2"/>
        <v/>
      </c>
      <c r="X22" s="6" t="str">
        <f t="shared" si="3"/>
        <v/>
      </c>
      <c r="Y22" s="6" t="str">
        <f t="shared" si="4"/>
        <v/>
      </c>
      <c r="Z22" s="6" t="str">
        <f t="shared" si="5"/>
        <v/>
      </c>
      <c r="AA22" s="5" t="str">
        <f t="shared" si="6"/>
        <v/>
      </c>
    </row>
    <row r="23" spans="1:27" ht="14.5" x14ac:dyDescent="0.35">
      <c r="A23" s="5"/>
      <c r="B23" s="6"/>
      <c r="C23" s="6"/>
      <c r="D23" s="7"/>
      <c r="E23" s="6"/>
      <c r="F23" s="5" t="str">
        <f t="shared" si="0"/>
        <v/>
      </c>
      <c r="G23" s="5"/>
      <c r="H23" s="6"/>
      <c r="I23" s="6"/>
      <c r="J23" s="6"/>
      <c r="K23" s="7"/>
      <c r="L23" s="6"/>
      <c r="M23" s="8" t="str">
        <f t="shared" ca="1" si="1"/>
        <v/>
      </c>
      <c r="N23" s="6"/>
      <c r="O23" s="9"/>
      <c r="P23" s="10"/>
      <c r="Q23" s="6"/>
      <c r="R23" s="6"/>
      <c r="S23" s="6"/>
      <c r="T23" s="6"/>
      <c r="U23" s="6"/>
      <c r="V23" s="6"/>
      <c r="W23" s="6" t="str">
        <f t="shared" si="2"/>
        <v/>
      </c>
      <c r="X23" s="6" t="str">
        <f t="shared" si="3"/>
        <v/>
      </c>
      <c r="Y23" s="6" t="str">
        <f t="shared" si="4"/>
        <v/>
      </c>
      <c r="Z23" s="6" t="str">
        <f t="shared" si="5"/>
        <v/>
      </c>
      <c r="AA23" s="5" t="str">
        <f t="shared" si="6"/>
        <v/>
      </c>
    </row>
    <row r="24" spans="1:27" ht="14.5" x14ac:dyDescent="0.35">
      <c r="A24" s="5"/>
      <c r="B24" s="6"/>
      <c r="C24" s="6"/>
      <c r="D24" s="7"/>
      <c r="E24" s="6"/>
      <c r="F24" s="5" t="str">
        <f t="shared" si="0"/>
        <v/>
      </c>
      <c r="G24" s="5"/>
      <c r="H24" s="6"/>
      <c r="I24" s="6"/>
      <c r="J24" s="6"/>
      <c r="K24" s="7"/>
      <c r="L24" s="6"/>
      <c r="M24" s="8" t="str">
        <f t="shared" ca="1" si="1"/>
        <v/>
      </c>
      <c r="N24" s="6"/>
      <c r="O24" s="9"/>
      <c r="P24" s="10"/>
      <c r="Q24" s="6"/>
      <c r="R24" s="6"/>
      <c r="S24" s="6"/>
      <c r="T24" s="6"/>
      <c r="U24" s="6"/>
      <c r="V24" s="6"/>
      <c r="W24" s="6" t="str">
        <f t="shared" si="2"/>
        <v/>
      </c>
      <c r="X24" s="6" t="str">
        <f t="shared" si="3"/>
        <v/>
      </c>
      <c r="Y24" s="6" t="str">
        <f t="shared" si="4"/>
        <v/>
      </c>
      <c r="Z24" s="6" t="str">
        <f t="shared" si="5"/>
        <v/>
      </c>
      <c r="AA24" s="5" t="str">
        <f t="shared" si="6"/>
        <v/>
      </c>
    </row>
    <row r="25" spans="1:27" ht="14.5" x14ac:dyDescent="0.35">
      <c r="A25" s="5"/>
      <c r="B25" s="6"/>
      <c r="C25" s="6"/>
      <c r="D25" s="7"/>
      <c r="E25" s="6"/>
      <c r="F25" s="5" t="str">
        <f t="shared" si="0"/>
        <v/>
      </c>
      <c r="G25" s="5"/>
      <c r="H25" s="6"/>
      <c r="I25" s="6"/>
      <c r="J25" s="6"/>
      <c r="K25" s="7"/>
      <c r="L25" s="6"/>
      <c r="M25" s="8" t="str">
        <f t="shared" ca="1" si="1"/>
        <v/>
      </c>
      <c r="N25" s="6"/>
      <c r="O25" s="9"/>
      <c r="P25" s="10"/>
      <c r="Q25" s="6"/>
      <c r="R25" s="6"/>
      <c r="S25" s="6"/>
      <c r="T25" s="6"/>
      <c r="U25" s="6"/>
      <c r="V25" s="6"/>
      <c r="W25" s="6" t="str">
        <f t="shared" si="2"/>
        <v/>
      </c>
      <c r="X25" s="6" t="str">
        <f t="shared" si="3"/>
        <v/>
      </c>
      <c r="Y25" s="6" t="str">
        <f t="shared" si="4"/>
        <v/>
      </c>
      <c r="Z25" s="6" t="str">
        <f t="shared" si="5"/>
        <v/>
      </c>
      <c r="AA25" s="5" t="str">
        <f t="shared" si="6"/>
        <v/>
      </c>
    </row>
    <row r="26" spans="1:27" ht="14.5" x14ac:dyDescent="0.35">
      <c r="A26" s="5"/>
      <c r="B26" s="6"/>
      <c r="C26" s="6"/>
      <c r="D26" s="7"/>
      <c r="E26" s="6"/>
      <c r="F26" s="5" t="str">
        <f t="shared" si="0"/>
        <v/>
      </c>
      <c r="G26" s="5"/>
      <c r="H26" s="6"/>
      <c r="I26" s="6"/>
      <c r="J26" s="6"/>
      <c r="K26" s="7"/>
      <c r="L26" s="6"/>
      <c r="M26" s="8" t="str">
        <f t="shared" ca="1" si="1"/>
        <v/>
      </c>
      <c r="N26" s="6"/>
      <c r="O26" s="9"/>
      <c r="P26" s="10"/>
      <c r="Q26" s="6"/>
      <c r="R26" s="6"/>
      <c r="S26" s="6"/>
      <c r="T26" s="6"/>
      <c r="U26" s="6"/>
      <c r="V26" s="6"/>
      <c r="W26" s="6" t="str">
        <f t="shared" si="2"/>
        <v/>
      </c>
      <c r="X26" s="6" t="str">
        <f t="shared" si="3"/>
        <v/>
      </c>
      <c r="Y26" s="6" t="str">
        <f t="shared" si="4"/>
        <v/>
      </c>
      <c r="Z26" s="6" t="str">
        <f t="shared" si="5"/>
        <v/>
      </c>
      <c r="AA26" s="5" t="str">
        <f t="shared" si="6"/>
        <v/>
      </c>
    </row>
    <row r="27" spans="1:27" ht="14.5" x14ac:dyDescent="0.35">
      <c r="A27" s="5"/>
      <c r="B27" s="6"/>
      <c r="C27" s="6"/>
      <c r="D27" s="7"/>
      <c r="E27" s="6"/>
      <c r="F27" s="5" t="str">
        <f t="shared" si="0"/>
        <v/>
      </c>
      <c r="G27" s="5"/>
      <c r="H27" s="6"/>
      <c r="I27" s="6"/>
      <c r="J27" s="6"/>
      <c r="K27" s="7"/>
      <c r="L27" s="6"/>
      <c r="M27" s="8" t="str">
        <f t="shared" ca="1" si="1"/>
        <v/>
      </c>
      <c r="N27" s="6"/>
      <c r="O27" s="9"/>
      <c r="P27" s="10"/>
      <c r="Q27" s="6"/>
      <c r="R27" s="6"/>
      <c r="S27" s="6"/>
      <c r="T27" s="6"/>
      <c r="U27" s="6"/>
      <c r="V27" s="6"/>
      <c r="W27" s="6" t="str">
        <f t="shared" si="2"/>
        <v/>
      </c>
      <c r="X27" s="6" t="str">
        <f t="shared" si="3"/>
        <v/>
      </c>
      <c r="Y27" s="6" t="str">
        <f t="shared" si="4"/>
        <v/>
      </c>
      <c r="Z27" s="6" t="str">
        <f t="shared" si="5"/>
        <v/>
      </c>
      <c r="AA27" s="5" t="str">
        <f t="shared" si="6"/>
        <v/>
      </c>
    </row>
    <row r="28" spans="1:27" ht="14.5" x14ac:dyDescent="0.35">
      <c r="A28" s="5"/>
      <c r="B28" s="6"/>
      <c r="C28" s="6"/>
      <c r="D28" s="7"/>
      <c r="E28" s="6"/>
      <c r="F28" s="5" t="str">
        <f t="shared" si="0"/>
        <v/>
      </c>
      <c r="G28" s="5"/>
      <c r="H28" s="6"/>
      <c r="I28" s="6"/>
      <c r="J28" s="6"/>
      <c r="K28" s="7"/>
      <c r="L28" s="6"/>
      <c r="M28" s="8" t="str">
        <f t="shared" ca="1" si="1"/>
        <v/>
      </c>
      <c r="N28" s="6"/>
      <c r="O28" s="9"/>
      <c r="P28" s="10"/>
      <c r="Q28" s="6"/>
      <c r="R28" s="6"/>
      <c r="S28" s="6"/>
      <c r="T28" s="6"/>
      <c r="U28" s="6"/>
      <c r="V28" s="6"/>
      <c r="W28" s="6" t="str">
        <f t="shared" si="2"/>
        <v/>
      </c>
      <c r="X28" s="6" t="str">
        <f t="shared" si="3"/>
        <v/>
      </c>
      <c r="Y28" s="6" t="str">
        <f t="shared" si="4"/>
        <v/>
      </c>
      <c r="Z28" s="6" t="str">
        <f t="shared" si="5"/>
        <v/>
      </c>
      <c r="AA28" s="5" t="str">
        <f t="shared" si="6"/>
        <v/>
      </c>
    </row>
    <row r="29" spans="1:27" ht="14.5" x14ac:dyDescent="0.35">
      <c r="A29" s="5"/>
      <c r="B29" s="6"/>
      <c r="C29" s="6"/>
      <c r="D29" s="7"/>
      <c r="E29" s="6"/>
      <c r="F29" s="5" t="str">
        <f t="shared" si="0"/>
        <v/>
      </c>
      <c r="G29" s="5"/>
      <c r="H29" s="6"/>
      <c r="I29" s="6"/>
      <c r="J29" s="6"/>
      <c r="K29" s="7"/>
      <c r="L29" s="6"/>
      <c r="M29" s="8" t="str">
        <f t="shared" ca="1" si="1"/>
        <v/>
      </c>
      <c r="N29" s="6"/>
      <c r="O29" s="9"/>
      <c r="P29" s="10"/>
      <c r="Q29" s="6"/>
      <c r="R29" s="6"/>
      <c r="S29" s="6"/>
      <c r="T29" s="6"/>
      <c r="U29" s="6"/>
      <c r="V29" s="6"/>
      <c r="W29" s="6" t="str">
        <f t="shared" si="2"/>
        <v/>
      </c>
      <c r="X29" s="6" t="str">
        <f t="shared" si="3"/>
        <v/>
      </c>
      <c r="Y29" s="6" t="str">
        <f t="shared" si="4"/>
        <v/>
      </c>
      <c r="Z29" s="6" t="str">
        <f t="shared" si="5"/>
        <v/>
      </c>
      <c r="AA29" s="5" t="str">
        <f t="shared" si="6"/>
        <v/>
      </c>
    </row>
    <row r="30" spans="1:27" ht="14.5" x14ac:dyDescent="0.35">
      <c r="A30" s="5"/>
      <c r="B30" s="6"/>
      <c r="C30" s="6"/>
      <c r="D30" s="7"/>
      <c r="E30" s="6"/>
      <c r="F30" s="5" t="str">
        <f t="shared" si="0"/>
        <v/>
      </c>
      <c r="G30" s="5"/>
      <c r="H30" s="6"/>
      <c r="I30" s="6"/>
      <c r="J30" s="6"/>
      <c r="K30" s="7"/>
      <c r="L30" s="6"/>
      <c r="M30" s="8" t="str">
        <f t="shared" ca="1" si="1"/>
        <v/>
      </c>
      <c r="N30" s="6"/>
      <c r="O30" s="9"/>
      <c r="P30" s="10"/>
      <c r="Q30" s="6"/>
      <c r="R30" s="6"/>
      <c r="S30" s="6"/>
      <c r="T30" s="6"/>
      <c r="U30" s="6"/>
      <c r="V30" s="6"/>
      <c r="W30" s="6" t="str">
        <f t="shared" si="2"/>
        <v/>
      </c>
      <c r="X30" s="6" t="str">
        <f t="shared" si="3"/>
        <v/>
      </c>
      <c r="Y30" s="6" t="str">
        <f t="shared" si="4"/>
        <v/>
      </c>
      <c r="Z30" s="6" t="str">
        <f t="shared" si="5"/>
        <v/>
      </c>
      <c r="AA30" s="5" t="str">
        <f t="shared" si="6"/>
        <v/>
      </c>
    </row>
    <row r="31" spans="1:27" ht="14.5" x14ac:dyDescent="0.35">
      <c r="A31" s="5"/>
      <c r="B31" s="6"/>
      <c r="C31" s="6"/>
      <c r="D31" s="7"/>
      <c r="E31" s="6"/>
      <c r="F31" s="5" t="str">
        <f t="shared" si="0"/>
        <v/>
      </c>
      <c r="G31" s="5"/>
      <c r="H31" s="6"/>
      <c r="I31" s="6"/>
      <c r="J31" s="6"/>
      <c r="K31" s="7"/>
      <c r="L31" s="6"/>
      <c r="M31" s="8" t="str">
        <f t="shared" ca="1" si="1"/>
        <v/>
      </c>
      <c r="N31" s="6"/>
      <c r="O31" s="9"/>
      <c r="P31" s="10"/>
      <c r="Q31" s="6"/>
      <c r="R31" s="6"/>
      <c r="S31" s="6"/>
      <c r="T31" s="6"/>
      <c r="U31" s="6"/>
      <c r="V31" s="6"/>
      <c r="W31" s="6" t="str">
        <f t="shared" si="2"/>
        <v/>
      </c>
      <c r="X31" s="6" t="str">
        <f t="shared" si="3"/>
        <v/>
      </c>
      <c r="Y31" s="6" t="str">
        <f t="shared" si="4"/>
        <v/>
      </c>
      <c r="Z31" s="6" t="str">
        <f t="shared" si="5"/>
        <v/>
      </c>
      <c r="AA31" s="5" t="str">
        <f t="shared" si="6"/>
        <v/>
      </c>
    </row>
    <row r="32" spans="1:27" ht="14.5" x14ac:dyDescent="0.35">
      <c r="A32" s="5"/>
      <c r="B32" s="6"/>
      <c r="C32" s="6"/>
      <c r="D32" s="7"/>
      <c r="E32" s="6"/>
      <c r="F32" s="5" t="str">
        <f t="shared" si="0"/>
        <v/>
      </c>
      <c r="G32" s="5"/>
      <c r="H32" s="6"/>
      <c r="I32" s="6"/>
      <c r="J32" s="6"/>
      <c r="K32" s="7"/>
      <c r="L32" s="6"/>
      <c r="M32" s="8" t="str">
        <f t="shared" ca="1" si="1"/>
        <v/>
      </c>
      <c r="N32" s="6"/>
      <c r="O32" s="9"/>
      <c r="P32" s="10"/>
      <c r="Q32" s="6"/>
      <c r="R32" s="6"/>
      <c r="S32" s="6"/>
      <c r="T32" s="6"/>
      <c r="U32" s="6"/>
      <c r="V32" s="6"/>
      <c r="W32" s="6" t="str">
        <f t="shared" si="2"/>
        <v/>
      </c>
      <c r="X32" s="6" t="str">
        <f t="shared" si="3"/>
        <v/>
      </c>
      <c r="Y32" s="6" t="str">
        <f t="shared" si="4"/>
        <v/>
      </c>
      <c r="Z32" s="6" t="str">
        <f t="shared" si="5"/>
        <v/>
      </c>
      <c r="AA32" s="5" t="str">
        <f t="shared" si="6"/>
        <v/>
      </c>
    </row>
    <row r="33" spans="1:27" ht="14.5" x14ac:dyDescent="0.35">
      <c r="A33" s="5"/>
      <c r="B33" s="6"/>
      <c r="C33" s="6"/>
      <c r="D33" s="7"/>
      <c r="E33" s="6"/>
      <c r="F33" s="5" t="str">
        <f t="shared" si="0"/>
        <v/>
      </c>
      <c r="G33" s="5"/>
      <c r="H33" s="6"/>
      <c r="I33" s="6"/>
      <c r="J33" s="6"/>
      <c r="K33" s="7"/>
      <c r="L33" s="6"/>
      <c r="M33" s="8" t="str">
        <f t="shared" ca="1" si="1"/>
        <v/>
      </c>
      <c r="N33" s="6"/>
      <c r="O33" s="9"/>
      <c r="P33" s="10"/>
      <c r="Q33" s="6"/>
      <c r="R33" s="6"/>
      <c r="S33" s="6"/>
      <c r="T33" s="6"/>
      <c r="U33" s="6"/>
      <c r="V33" s="6"/>
      <c r="W33" s="6" t="str">
        <f t="shared" si="2"/>
        <v/>
      </c>
      <c r="X33" s="6" t="str">
        <f t="shared" si="3"/>
        <v/>
      </c>
      <c r="Y33" s="6" t="str">
        <f t="shared" si="4"/>
        <v/>
      </c>
      <c r="Z33" s="6" t="str">
        <f t="shared" si="5"/>
        <v/>
      </c>
      <c r="AA33" s="5" t="str">
        <f t="shared" si="6"/>
        <v/>
      </c>
    </row>
    <row r="34" spans="1:27" ht="14.5" x14ac:dyDescent="0.35">
      <c r="A34" s="5"/>
      <c r="B34" s="6"/>
      <c r="C34" s="6"/>
      <c r="D34" s="7"/>
      <c r="E34" s="6"/>
      <c r="F34" s="5" t="str">
        <f t="shared" si="0"/>
        <v/>
      </c>
      <c r="G34" s="5"/>
      <c r="H34" s="6"/>
      <c r="I34" s="6"/>
      <c r="J34" s="6"/>
      <c r="K34" s="7"/>
      <c r="L34" s="6"/>
      <c r="M34" s="8" t="str">
        <f t="shared" ca="1" si="1"/>
        <v/>
      </c>
      <c r="N34" s="6"/>
      <c r="O34" s="9"/>
      <c r="P34" s="10"/>
      <c r="Q34" s="6"/>
      <c r="R34" s="6"/>
      <c r="S34" s="6"/>
      <c r="T34" s="6"/>
      <c r="U34" s="6"/>
      <c r="V34" s="6"/>
      <c r="W34" s="6" t="str">
        <f t="shared" si="2"/>
        <v/>
      </c>
      <c r="X34" s="6" t="str">
        <f t="shared" si="3"/>
        <v/>
      </c>
      <c r="Y34" s="6" t="str">
        <f t="shared" si="4"/>
        <v/>
      </c>
      <c r="Z34" s="6" t="str">
        <f t="shared" si="5"/>
        <v/>
      </c>
      <c r="AA34" s="5" t="str">
        <f t="shared" si="6"/>
        <v/>
      </c>
    </row>
    <row r="35" spans="1:27" ht="14.5" x14ac:dyDescent="0.35">
      <c r="A35" s="5"/>
      <c r="B35" s="6"/>
      <c r="C35" s="6"/>
      <c r="D35" s="7"/>
      <c r="E35" s="6"/>
      <c r="F35" s="5" t="str">
        <f t="shared" si="0"/>
        <v/>
      </c>
      <c r="G35" s="5"/>
      <c r="H35" s="6"/>
      <c r="I35" s="6"/>
      <c r="J35" s="6"/>
      <c r="K35" s="7"/>
      <c r="L35" s="6"/>
      <c r="M35" s="8" t="str">
        <f t="shared" ca="1" si="1"/>
        <v/>
      </c>
      <c r="N35" s="6"/>
      <c r="O35" s="9"/>
      <c r="P35" s="10"/>
      <c r="Q35" s="6"/>
      <c r="R35" s="6"/>
      <c r="S35" s="6"/>
      <c r="T35" s="6"/>
      <c r="U35" s="6"/>
      <c r="V35" s="6"/>
      <c r="W35" s="6" t="str">
        <f t="shared" si="2"/>
        <v/>
      </c>
      <c r="X35" s="6" t="str">
        <f t="shared" si="3"/>
        <v/>
      </c>
      <c r="Y35" s="6" t="str">
        <f t="shared" si="4"/>
        <v/>
      </c>
      <c r="Z35" s="6" t="str">
        <f t="shared" si="5"/>
        <v/>
      </c>
      <c r="AA35" s="5" t="str">
        <f t="shared" si="6"/>
        <v/>
      </c>
    </row>
    <row r="36" spans="1:27" ht="14.5" x14ac:dyDescent="0.35">
      <c r="A36" s="5"/>
      <c r="B36" s="6"/>
      <c r="C36" s="6"/>
      <c r="D36" s="7"/>
      <c r="E36" s="6"/>
      <c r="F36" s="5" t="str">
        <f t="shared" si="0"/>
        <v/>
      </c>
      <c r="G36" s="5"/>
      <c r="H36" s="6"/>
      <c r="I36" s="6"/>
      <c r="J36" s="6"/>
      <c r="K36" s="7"/>
      <c r="L36" s="6"/>
      <c r="M36" s="8" t="str">
        <f t="shared" ca="1" si="1"/>
        <v/>
      </c>
      <c r="N36" s="6"/>
      <c r="O36" s="9"/>
      <c r="P36" s="10"/>
      <c r="Q36" s="6"/>
      <c r="R36" s="6"/>
      <c r="S36" s="6"/>
      <c r="T36" s="6"/>
      <c r="U36" s="6"/>
      <c r="V36" s="6"/>
      <c r="W36" s="6" t="str">
        <f t="shared" si="2"/>
        <v/>
      </c>
      <c r="X36" s="6" t="str">
        <f t="shared" si="3"/>
        <v/>
      </c>
      <c r="Y36" s="6" t="str">
        <f t="shared" si="4"/>
        <v/>
      </c>
      <c r="Z36" s="6" t="str">
        <f t="shared" si="5"/>
        <v/>
      </c>
      <c r="AA36" s="5" t="str">
        <f t="shared" si="6"/>
        <v/>
      </c>
    </row>
    <row r="37" spans="1:27" ht="14.5" x14ac:dyDescent="0.35">
      <c r="A37" s="5"/>
      <c r="B37" s="6"/>
      <c r="C37" s="6"/>
      <c r="D37" s="7"/>
      <c r="E37" s="6"/>
      <c r="F37" s="5" t="str">
        <f t="shared" si="0"/>
        <v/>
      </c>
      <c r="G37" s="5"/>
      <c r="H37" s="6"/>
      <c r="I37" s="6"/>
      <c r="J37" s="6"/>
      <c r="K37" s="7"/>
      <c r="L37" s="6"/>
      <c r="M37" s="8" t="str">
        <f t="shared" ca="1" si="1"/>
        <v/>
      </c>
      <c r="N37" s="6"/>
      <c r="O37" s="9"/>
      <c r="P37" s="10"/>
      <c r="Q37" s="6"/>
      <c r="R37" s="6"/>
      <c r="S37" s="6"/>
      <c r="T37" s="6"/>
      <c r="U37" s="6"/>
      <c r="V37" s="6"/>
      <c r="W37" s="6" t="str">
        <f t="shared" si="2"/>
        <v/>
      </c>
      <c r="X37" s="6" t="str">
        <f t="shared" si="3"/>
        <v/>
      </c>
      <c r="Y37" s="6" t="str">
        <f t="shared" si="4"/>
        <v/>
      </c>
      <c r="Z37" s="6" t="str">
        <f t="shared" si="5"/>
        <v/>
      </c>
      <c r="AA37" s="5" t="str">
        <f t="shared" si="6"/>
        <v/>
      </c>
    </row>
    <row r="38" spans="1:27" ht="14.5" x14ac:dyDescent="0.35">
      <c r="A38" s="5"/>
      <c r="B38" s="6"/>
      <c r="C38" s="6"/>
      <c r="D38" s="7"/>
      <c r="E38" s="6"/>
      <c r="F38" s="5" t="str">
        <f t="shared" si="0"/>
        <v/>
      </c>
      <c r="G38" s="5"/>
      <c r="H38" s="6"/>
      <c r="I38" s="6"/>
      <c r="J38" s="6"/>
      <c r="K38" s="7"/>
      <c r="L38" s="6"/>
      <c r="M38" s="8" t="str">
        <f t="shared" ca="1" si="1"/>
        <v/>
      </c>
      <c r="N38" s="6"/>
      <c r="O38" s="9"/>
      <c r="P38" s="10"/>
      <c r="Q38" s="6"/>
      <c r="R38" s="6"/>
      <c r="S38" s="6"/>
      <c r="T38" s="6"/>
      <c r="U38" s="6"/>
      <c r="V38" s="6"/>
      <c r="W38" s="6" t="str">
        <f t="shared" si="2"/>
        <v/>
      </c>
      <c r="X38" s="6" t="str">
        <f t="shared" si="3"/>
        <v/>
      </c>
      <c r="Y38" s="6" t="str">
        <f t="shared" si="4"/>
        <v/>
      </c>
      <c r="Z38" s="6" t="str">
        <f t="shared" si="5"/>
        <v/>
      </c>
      <c r="AA38" s="5" t="str">
        <f t="shared" si="6"/>
        <v/>
      </c>
    </row>
    <row r="39" spans="1:27" ht="14.5" x14ac:dyDescent="0.35">
      <c r="A39" s="5"/>
      <c r="B39" s="6"/>
      <c r="C39" s="6"/>
      <c r="D39" s="7"/>
      <c r="E39" s="6"/>
      <c r="F39" s="5" t="str">
        <f t="shared" si="0"/>
        <v/>
      </c>
      <c r="G39" s="5"/>
      <c r="H39" s="6"/>
      <c r="I39" s="6"/>
      <c r="J39" s="6"/>
      <c r="K39" s="7"/>
      <c r="L39" s="6"/>
      <c r="M39" s="8" t="str">
        <f t="shared" ca="1" si="1"/>
        <v/>
      </c>
      <c r="N39" s="6"/>
      <c r="O39" s="9"/>
      <c r="P39" s="10"/>
      <c r="Q39" s="6"/>
      <c r="R39" s="6"/>
      <c r="S39" s="6"/>
      <c r="T39" s="6"/>
      <c r="U39" s="6"/>
      <c r="V39" s="6"/>
      <c r="W39" s="6" t="str">
        <f t="shared" si="2"/>
        <v/>
      </c>
      <c r="X39" s="6" t="str">
        <f t="shared" si="3"/>
        <v/>
      </c>
      <c r="Y39" s="6" t="str">
        <f t="shared" si="4"/>
        <v/>
      </c>
      <c r="Z39" s="6" t="str">
        <f t="shared" si="5"/>
        <v/>
      </c>
      <c r="AA39" s="5" t="str">
        <f t="shared" si="6"/>
        <v/>
      </c>
    </row>
    <row r="40" spans="1:27" ht="14.5" x14ac:dyDescent="0.35">
      <c r="A40" s="5"/>
      <c r="B40" s="6"/>
      <c r="C40" s="6"/>
      <c r="D40" s="7"/>
      <c r="E40" s="6"/>
      <c r="F40" s="5" t="str">
        <f t="shared" si="0"/>
        <v/>
      </c>
      <c r="G40" s="5"/>
      <c r="H40" s="6"/>
      <c r="I40" s="6"/>
      <c r="J40" s="6"/>
      <c r="K40" s="7"/>
      <c r="L40" s="6"/>
      <c r="M40" s="8" t="str">
        <f t="shared" ca="1" si="1"/>
        <v/>
      </c>
      <c r="N40" s="6"/>
      <c r="O40" s="9"/>
      <c r="P40" s="10"/>
      <c r="Q40" s="6"/>
      <c r="R40" s="6"/>
      <c r="S40" s="6"/>
      <c r="T40" s="6"/>
      <c r="U40" s="6"/>
      <c r="V40" s="6"/>
      <c r="W40" s="6" t="str">
        <f t="shared" si="2"/>
        <v/>
      </c>
      <c r="X40" s="6" t="str">
        <f t="shared" si="3"/>
        <v/>
      </c>
      <c r="Y40" s="6" t="str">
        <f t="shared" si="4"/>
        <v/>
      </c>
      <c r="Z40" s="6" t="str">
        <f t="shared" si="5"/>
        <v/>
      </c>
      <c r="AA40" s="5" t="str">
        <f t="shared" si="6"/>
        <v/>
      </c>
    </row>
    <row r="41" spans="1:27" ht="14.5" x14ac:dyDescent="0.35">
      <c r="A41" s="5"/>
      <c r="B41" s="6"/>
      <c r="C41" s="6"/>
      <c r="D41" s="7"/>
      <c r="E41" s="6"/>
      <c r="F41" s="5" t="str">
        <f t="shared" si="0"/>
        <v/>
      </c>
      <c r="G41" s="5"/>
      <c r="H41" s="6"/>
      <c r="I41" s="6"/>
      <c r="J41" s="6"/>
      <c r="K41" s="7"/>
      <c r="L41" s="6"/>
      <c r="M41" s="8" t="str">
        <f t="shared" ca="1" si="1"/>
        <v/>
      </c>
      <c r="N41" s="6"/>
      <c r="O41" s="9"/>
      <c r="P41" s="10"/>
      <c r="Q41" s="6"/>
      <c r="R41" s="6"/>
      <c r="S41" s="6"/>
      <c r="T41" s="6"/>
      <c r="U41" s="6"/>
      <c r="V41" s="6"/>
      <c r="W41" s="6" t="str">
        <f t="shared" si="2"/>
        <v/>
      </c>
      <c r="X41" s="6" t="str">
        <f t="shared" si="3"/>
        <v/>
      </c>
      <c r="Y41" s="6" t="str">
        <f t="shared" si="4"/>
        <v/>
      </c>
      <c r="Z41" s="6" t="str">
        <f t="shared" si="5"/>
        <v/>
      </c>
      <c r="AA41" s="5" t="str">
        <f t="shared" si="6"/>
        <v/>
      </c>
    </row>
    <row r="42" spans="1:27" ht="14.5" x14ac:dyDescent="0.35">
      <c r="A42" s="5"/>
      <c r="B42" s="6"/>
      <c r="C42" s="6"/>
      <c r="D42" s="7"/>
      <c r="E42" s="6"/>
      <c r="F42" s="5" t="str">
        <f t="shared" si="0"/>
        <v/>
      </c>
      <c r="G42" s="5"/>
      <c r="H42" s="6"/>
      <c r="I42" s="6"/>
      <c r="J42" s="6"/>
      <c r="K42" s="7"/>
      <c r="L42" s="6"/>
      <c r="M42" s="8" t="str">
        <f t="shared" ca="1" si="1"/>
        <v/>
      </c>
      <c r="N42" s="6"/>
      <c r="O42" s="9"/>
      <c r="P42" s="10"/>
      <c r="Q42" s="6"/>
      <c r="R42" s="6"/>
      <c r="S42" s="6"/>
      <c r="T42" s="6"/>
      <c r="U42" s="6"/>
      <c r="V42" s="6"/>
      <c r="W42" s="6" t="str">
        <f t="shared" si="2"/>
        <v/>
      </c>
      <c r="X42" s="6" t="str">
        <f t="shared" si="3"/>
        <v/>
      </c>
      <c r="Y42" s="6" t="str">
        <f t="shared" si="4"/>
        <v/>
      </c>
      <c r="Z42" s="6" t="str">
        <f t="shared" si="5"/>
        <v/>
      </c>
      <c r="AA42" s="5" t="str">
        <f t="shared" si="6"/>
        <v/>
      </c>
    </row>
    <row r="43" spans="1:27" ht="14.5" x14ac:dyDescent="0.35">
      <c r="A43" s="5"/>
      <c r="B43" s="6"/>
      <c r="C43" s="6"/>
      <c r="D43" s="7"/>
      <c r="E43" s="6"/>
      <c r="F43" s="5" t="str">
        <f t="shared" si="0"/>
        <v/>
      </c>
      <c r="G43" s="5"/>
      <c r="H43" s="6"/>
      <c r="I43" s="6"/>
      <c r="J43" s="6"/>
      <c r="K43" s="7"/>
      <c r="L43" s="6"/>
      <c r="M43" s="8" t="str">
        <f t="shared" ca="1" si="1"/>
        <v/>
      </c>
      <c r="N43" s="6"/>
      <c r="O43" s="9"/>
      <c r="P43" s="10"/>
      <c r="Q43" s="6"/>
      <c r="R43" s="6"/>
      <c r="S43" s="6"/>
      <c r="T43" s="6"/>
      <c r="U43" s="6"/>
      <c r="V43" s="6"/>
      <c r="W43" s="6" t="str">
        <f t="shared" si="2"/>
        <v/>
      </c>
      <c r="X43" s="6" t="str">
        <f t="shared" si="3"/>
        <v/>
      </c>
      <c r="Y43" s="6" t="str">
        <f t="shared" si="4"/>
        <v/>
      </c>
      <c r="Z43" s="6" t="str">
        <f t="shared" si="5"/>
        <v/>
      </c>
      <c r="AA43" s="5" t="str">
        <f t="shared" si="6"/>
        <v/>
      </c>
    </row>
    <row r="44" spans="1:27" ht="14.5" x14ac:dyDescent="0.35">
      <c r="A44" s="5"/>
      <c r="B44" s="6"/>
      <c r="C44" s="6"/>
      <c r="D44" s="7"/>
      <c r="E44" s="6"/>
      <c r="F44" s="5" t="str">
        <f t="shared" si="0"/>
        <v/>
      </c>
      <c r="G44" s="5"/>
      <c r="H44" s="6"/>
      <c r="I44" s="6"/>
      <c r="J44" s="6"/>
      <c r="K44" s="7"/>
      <c r="L44" s="6"/>
      <c r="M44" s="8" t="str">
        <f t="shared" ca="1" si="1"/>
        <v/>
      </c>
      <c r="N44" s="6"/>
      <c r="O44" s="9"/>
      <c r="P44" s="10"/>
      <c r="Q44" s="6"/>
      <c r="R44" s="6"/>
      <c r="S44" s="6"/>
      <c r="T44" s="6"/>
      <c r="U44" s="6"/>
      <c r="V44" s="6"/>
      <c r="W44" s="6" t="str">
        <f t="shared" si="2"/>
        <v/>
      </c>
      <c r="X44" s="6" t="str">
        <f t="shared" si="3"/>
        <v/>
      </c>
      <c r="Y44" s="6" t="str">
        <f t="shared" si="4"/>
        <v/>
      </c>
      <c r="Z44" s="6" t="str">
        <f t="shared" si="5"/>
        <v/>
      </c>
      <c r="AA44" s="5" t="str">
        <f t="shared" si="6"/>
        <v/>
      </c>
    </row>
    <row r="45" spans="1:27" ht="14.5" x14ac:dyDescent="0.35">
      <c r="A45" s="5"/>
      <c r="B45" s="6"/>
      <c r="C45" s="6"/>
      <c r="D45" s="7"/>
      <c r="E45" s="6"/>
      <c r="F45" s="5" t="str">
        <f t="shared" si="0"/>
        <v/>
      </c>
      <c r="G45" s="5"/>
      <c r="H45" s="6"/>
      <c r="I45" s="6"/>
      <c r="J45" s="6"/>
      <c r="K45" s="7"/>
      <c r="L45" s="6"/>
      <c r="M45" s="8" t="str">
        <f t="shared" ca="1" si="1"/>
        <v/>
      </c>
      <c r="N45" s="6"/>
      <c r="O45" s="9"/>
      <c r="P45" s="10"/>
      <c r="Q45" s="6"/>
      <c r="R45" s="6"/>
      <c r="S45" s="6"/>
      <c r="T45" s="6"/>
      <c r="U45" s="6"/>
      <c r="V45" s="6"/>
      <c r="W45" s="6" t="str">
        <f t="shared" si="2"/>
        <v/>
      </c>
      <c r="X45" s="6" t="str">
        <f t="shared" si="3"/>
        <v/>
      </c>
      <c r="Y45" s="6" t="str">
        <f t="shared" si="4"/>
        <v/>
      </c>
      <c r="Z45" s="6" t="str">
        <f t="shared" si="5"/>
        <v/>
      </c>
      <c r="AA45" s="5" t="str">
        <f t="shared" si="6"/>
        <v/>
      </c>
    </row>
    <row r="46" spans="1:27" ht="14.5" x14ac:dyDescent="0.35">
      <c r="A46" s="5"/>
      <c r="B46" s="6"/>
      <c r="C46" s="6"/>
      <c r="D46" s="7"/>
      <c r="E46" s="6"/>
      <c r="F46" s="5" t="str">
        <f t="shared" si="0"/>
        <v/>
      </c>
      <c r="G46" s="5"/>
      <c r="H46" s="6"/>
      <c r="I46" s="6"/>
      <c r="J46" s="6"/>
      <c r="K46" s="7"/>
      <c r="L46" s="6"/>
      <c r="M46" s="8" t="str">
        <f t="shared" ca="1" si="1"/>
        <v/>
      </c>
      <c r="N46" s="6"/>
      <c r="O46" s="9"/>
      <c r="P46" s="10"/>
      <c r="Q46" s="6"/>
      <c r="R46" s="6"/>
      <c r="S46" s="6"/>
      <c r="T46" s="6"/>
      <c r="U46" s="6"/>
      <c r="V46" s="6"/>
      <c r="W46" s="6" t="str">
        <f t="shared" si="2"/>
        <v/>
      </c>
      <c r="X46" s="6" t="str">
        <f t="shared" si="3"/>
        <v/>
      </c>
      <c r="Y46" s="6" t="str">
        <f t="shared" si="4"/>
        <v/>
      </c>
      <c r="Z46" s="6" t="str">
        <f t="shared" si="5"/>
        <v/>
      </c>
      <c r="AA46" s="5" t="str">
        <f t="shared" si="6"/>
        <v/>
      </c>
    </row>
    <row r="47" spans="1:27" ht="14.5" x14ac:dyDescent="0.35">
      <c r="A47" s="5"/>
      <c r="B47" s="6"/>
      <c r="C47" s="6"/>
      <c r="D47" s="7"/>
      <c r="E47" s="6"/>
      <c r="F47" s="5" t="str">
        <f t="shared" si="0"/>
        <v/>
      </c>
      <c r="G47" s="5"/>
      <c r="H47" s="6"/>
      <c r="I47" s="6"/>
      <c r="J47" s="6"/>
      <c r="K47" s="7"/>
      <c r="L47" s="6"/>
      <c r="M47" s="8" t="str">
        <f t="shared" ca="1" si="1"/>
        <v/>
      </c>
      <c r="N47" s="6"/>
      <c r="O47" s="9"/>
      <c r="P47" s="10"/>
      <c r="Q47" s="6"/>
      <c r="R47" s="6"/>
      <c r="S47" s="6"/>
      <c r="T47" s="6"/>
      <c r="U47" s="6"/>
      <c r="V47" s="6"/>
      <c r="W47" s="6" t="str">
        <f t="shared" si="2"/>
        <v/>
      </c>
      <c r="X47" s="6" t="str">
        <f t="shared" si="3"/>
        <v/>
      </c>
      <c r="Y47" s="6" t="str">
        <f t="shared" si="4"/>
        <v/>
      </c>
      <c r="Z47" s="6" t="str">
        <f t="shared" si="5"/>
        <v/>
      </c>
      <c r="AA47" s="5" t="str">
        <f t="shared" si="6"/>
        <v/>
      </c>
    </row>
    <row r="48" spans="1:27" ht="14.5" x14ac:dyDescent="0.35">
      <c r="A48" s="5"/>
      <c r="B48" s="6"/>
      <c r="C48" s="6"/>
      <c r="D48" s="7"/>
      <c r="E48" s="6"/>
      <c r="F48" s="5" t="str">
        <f t="shared" si="0"/>
        <v/>
      </c>
      <c r="G48" s="5"/>
      <c r="H48" s="6"/>
      <c r="I48" s="6"/>
      <c r="J48" s="6"/>
      <c r="K48" s="7"/>
      <c r="L48" s="6"/>
      <c r="M48" s="8" t="str">
        <f t="shared" ca="1" si="1"/>
        <v/>
      </c>
      <c r="N48" s="6"/>
      <c r="O48" s="9"/>
      <c r="P48" s="10"/>
      <c r="Q48" s="6"/>
      <c r="R48" s="6"/>
      <c r="S48" s="6"/>
      <c r="T48" s="6"/>
      <c r="U48" s="6"/>
      <c r="V48" s="6"/>
      <c r="W48" s="6" t="str">
        <f t="shared" si="2"/>
        <v/>
      </c>
      <c r="X48" s="6" t="str">
        <f t="shared" si="3"/>
        <v/>
      </c>
      <c r="Y48" s="6" t="str">
        <f t="shared" si="4"/>
        <v/>
      </c>
      <c r="Z48" s="6" t="str">
        <f t="shared" si="5"/>
        <v/>
      </c>
      <c r="AA48" s="5" t="str">
        <f t="shared" si="6"/>
        <v/>
      </c>
    </row>
    <row r="49" spans="1:27" ht="14.5" x14ac:dyDescent="0.35">
      <c r="A49" s="5"/>
      <c r="B49" s="6"/>
      <c r="C49" s="6"/>
      <c r="D49" s="7"/>
      <c r="E49" s="6"/>
      <c r="F49" s="5" t="str">
        <f t="shared" si="0"/>
        <v/>
      </c>
      <c r="G49" s="5"/>
      <c r="H49" s="6"/>
      <c r="I49" s="6"/>
      <c r="J49" s="6"/>
      <c r="K49" s="7"/>
      <c r="L49" s="6"/>
      <c r="M49" s="8" t="str">
        <f t="shared" ca="1" si="1"/>
        <v/>
      </c>
      <c r="N49" s="6"/>
      <c r="O49" s="9"/>
      <c r="P49" s="10"/>
      <c r="Q49" s="6"/>
      <c r="R49" s="6"/>
      <c r="S49" s="6"/>
      <c r="T49" s="6"/>
      <c r="U49" s="6"/>
      <c r="V49" s="6"/>
      <c r="W49" s="6" t="str">
        <f t="shared" si="2"/>
        <v/>
      </c>
      <c r="X49" s="6" t="str">
        <f t="shared" si="3"/>
        <v/>
      </c>
      <c r="Y49" s="6" t="str">
        <f t="shared" si="4"/>
        <v/>
      </c>
      <c r="Z49" s="6" t="str">
        <f t="shared" si="5"/>
        <v/>
      </c>
      <c r="AA49" s="5" t="str">
        <f t="shared" si="6"/>
        <v/>
      </c>
    </row>
    <row r="50" spans="1:27" ht="14.5" x14ac:dyDescent="0.35">
      <c r="A50" s="5"/>
      <c r="B50" s="6"/>
      <c r="C50" s="6"/>
      <c r="D50" s="7"/>
      <c r="E50" s="6"/>
      <c r="F50" s="5" t="str">
        <f t="shared" si="0"/>
        <v/>
      </c>
      <c r="G50" s="5"/>
      <c r="H50" s="6"/>
      <c r="I50" s="6"/>
      <c r="J50" s="6"/>
      <c r="K50" s="7"/>
      <c r="L50" s="6"/>
      <c r="M50" s="8" t="str">
        <f t="shared" ca="1" si="1"/>
        <v/>
      </c>
      <c r="N50" s="6"/>
      <c r="O50" s="9"/>
      <c r="P50" s="10"/>
      <c r="Q50" s="6"/>
      <c r="R50" s="6"/>
      <c r="S50" s="6"/>
      <c r="T50" s="6"/>
      <c r="U50" s="6"/>
      <c r="V50" s="6"/>
      <c r="W50" s="6" t="str">
        <f t="shared" si="2"/>
        <v/>
      </c>
      <c r="X50" s="6" t="str">
        <f t="shared" si="3"/>
        <v/>
      </c>
      <c r="Y50" s="6" t="str">
        <f t="shared" si="4"/>
        <v/>
      </c>
      <c r="Z50" s="6" t="str">
        <f t="shared" si="5"/>
        <v/>
      </c>
      <c r="AA50" s="5" t="str">
        <f t="shared" si="6"/>
        <v/>
      </c>
    </row>
    <row r="51" spans="1:27" ht="14.5" x14ac:dyDescent="0.35">
      <c r="A51" s="5"/>
      <c r="B51" s="6"/>
      <c r="C51" s="6"/>
      <c r="D51" s="7"/>
      <c r="E51" s="6"/>
      <c r="F51" s="5" t="str">
        <f t="shared" si="0"/>
        <v/>
      </c>
      <c r="G51" s="5"/>
      <c r="H51" s="6"/>
      <c r="I51" s="6"/>
      <c r="J51" s="6"/>
      <c r="K51" s="7"/>
      <c r="L51" s="6"/>
      <c r="M51" s="8" t="str">
        <f t="shared" ca="1" si="1"/>
        <v/>
      </c>
      <c r="N51" s="6"/>
      <c r="O51" s="9"/>
      <c r="P51" s="10"/>
      <c r="Q51" s="6"/>
      <c r="R51" s="6"/>
      <c r="S51" s="6"/>
      <c r="T51" s="6"/>
      <c r="U51" s="6"/>
      <c r="V51" s="6"/>
      <c r="W51" s="6" t="str">
        <f t="shared" si="2"/>
        <v/>
      </c>
      <c r="X51" s="6" t="str">
        <f t="shared" si="3"/>
        <v/>
      </c>
      <c r="Y51" s="6" t="str">
        <f t="shared" si="4"/>
        <v/>
      </c>
      <c r="Z51" s="6" t="str">
        <f t="shared" si="5"/>
        <v/>
      </c>
      <c r="AA51" s="5" t="str">
        <f t="shared" si="6"/>
        <v/>
      </c>
    </row>
    <row r="52" spans="1:27" ht="14.5" x14ac:dyDescent="0.35">
      <c r="A52" s="5"/>
      <c r="B52" s="6"/>
      <c r="C52" s="6"/>
      <c r="D52" s="7"/>
      <c r="E52" s="6"/>
      <c r="F52" s="5" t="str">
        <f t="shared" si="0"/>
        <v/>
      </c>
      <c r="G52" s="5"/>
      <c r="H52" s="6"/>
      <c r="I52" s="6"/>
      <c r="J52" s="6"/>
      <c r="K52" s="7"/>
      <c r="L52" s="6"/>
      <c r="M52" s="8" t="str">
        <f t="shared" ca="1" si="1"/>
        <v/>
      </c>
      <c r="N52" s="6"/>
      <c r="O52" s="9"/>
      <c r="P52" s="10"/>
      <c r="Q52" s="6"/>
      <c r="R52" s="6"/>
      <c r="S52" s="6"/>
      <c r="T52" s="6"/>
      <c r="U52" s="6"/>
      <c r="V52" s="6"/>
      <c r="W52" s="6" t="str">
        <f t="shared" si="2"/>
        <v/>
      </c>
      <c r="X52" s="6" t="str">
        <f t="shared" si="3"/>
        <v/>
      </c>
      <c r="Y52" s="6" t="str">
        <f t="shared" si="4"/>
        <v/>
      </c>
      <c r="Z52" s="6" t="str">
        <f t="shared" si="5"/>
        <v/>
      </c>
      <c r="AA52" s="5" t="str">
        <f t="shared" si="6"/>
        <v/>
      </c>
    </row>
    <row r="53" spans="1:27" ht="14.5" x14ac:dyDescent="0.35">
      <c r="A53" s="5"/>
      <c r="B53" s="6"/>
      <c r="C53" s="6"/>
      <c r="D53" s="7"/>
      <c r="E53" s="6"/>
      <c r="F53" s="5" t="str">
        <f t="shared" si="0"/>
        <v/>
      </c>
      <c r="G53" s="5"/>
      <c r="H53" s="6"/>
      <c r="I53" s="6"/>
      <c r="J53" s="6"/>
      <c r="K53" s="7"/>
      <c r="L53" s="6"/>
      <c r="M53" s="8" t="str">
        <f t="shared" ca="1" si="1"/>
        <v/>
      </c>
      <c r="N53" s="6"/>
      <c r="O53" s="9"/>
      <c r="P53" s="10"/>
      <c r="Q53" s="6"/>
      <c r="R53" s="6"/>
      <c r="S53" s="6"/>
      <c r="T53" s="6"/>
      <c r="U53" s="6"/>
      <c r="V53" s="6"/>
      <c r="W53" s="6" t="str">
        <f t="shared" si="2"/>
        <v/>
      </c>
      <c r="X53" s="6" t="str">
        <f t="shared" si="3"/>
        <v/>
      </c>
      <c r="Y53" s="6" t="str">
        <f t="shared" si="4"/>
        <v/>
      </c>
      <c r="Z53" s="6" t="str">
        <f t="shared" si="5"/>
        <v/>
      </c>
      <c r="AA53" s="5" t="str">
        <f t="shared" si="6"/>
        <v/>
      </c>
    </row>
    <row r="54" spans="1:27" ht="14.5" x14ac:dyDescent="0.35">
      <c r="A54" s="5"/>
      <c r="B54" s="6"/>
      <c r="C54" s="6"/>
      <c r="D54" s="7"/>
      <c r="E54" s="6"/>
      <c r="F54" s="5" t="str">
        <f t="shared" si="0"/>
        <v/>
      </c>
      <c r="G54" s="5"/>
      <c r="H54" s="6"/>
      <c r="I54" s="6"/>
      <c r="J54" s="6"/>
      <c r="K54" s="7"/>
      <c r="L54" s="6"/>
      <c r="M54" s="8" t="str">
        <f t="shared" ca="1" si="1"/>
        <v/>
      </c>
      <c r="N54" s="6"/>
      <c r="O54" s="9"/>
      <c r="P54" s="10"/>
      <c r="Q54" s="6"/>
      <c r="R54" s="6"/>
      <c r="S54" s="6"/>
      <c r="T54" s="6"/>
      <c r="U54" s="6"/>
      <c r="V54" s="6"/>
      <c r="W54" s="6" t="str">
        <f t="shared" si="2"/>
        <v/>
      </c>
      <c r="X54" s="6" t="str">
        <f t="shared" si="3"/>
        <v/>
      </c>
      <c r="Y54" s="6" t="str">
        <f t="shared" si="4"/>
        <v/>
      </c>
      <c r="Z54" s="6" t="str">
        <f t="shared" si="5"/>
        <v/>
      </c>
      <c r="AA54" s="5" t="str">
        <f t="shared" si="6"/>
        <v/>
      </c>
    </row>
    <row r="55" spans="1:27" ht="14.5" x14ac:dyDescent="0.35">
      <c r="A55" s="5"/>
      <c r="B55" s="6"/>
      <c r="C55" s="6"/>
      <c r="D55" s="7"/>
      <c r="E55" s="6"/>
      <c r="F55" s="5" t="str">
        <f t="shared" si="0"/>
        <v/>
      </c>
      <c r="G55" s="5"/>
      <c r="H55" s="6"/>
      <c r="I55" s="6"/>
      <c r="J55" s="6"/>
      <c r="K55" s="7"/>
      <c r="L55" s="6"/>
      <c r="M55" s="8" t="str">
        <f t="shared" ca="1" si="1"/>
        <v/>
      </c>
      <c r="N55" s="6"/>
      <c r="O55" s="9"/>
      <c r="P55" s="10"/>
      <c r="Q55" s="6"/>
      <c r="R55" s="6"/>
      <c r="S55" s="6"/>
      <c r="T55" s="6"/>
      <c r="U55" s="6"/>
      <c r="V55" s="6"/>
      <c r="W55" s="6" t="str">
        <f t="shared" si="2"/>
        <v/>
      </c>
      <c r="X55" s="6" t="str">
        <f t="shared" si="3"/>
        <v/>
      </c>
      <c r="Y55" s="6" t="str">
        <f t="shared" si="4"/>
        <v/>
      </c>
      <c r="Z55" s="6" t="str">
        <f t="shared" si="5"/>
        <v/>
      </c>
      <c r="AA55" s="5" t="str">
        <f t="shared" si="6"/>
        <v/>
      </c>
    </row>
    <row r="56" spans="1:27" ht="14.5" x14ac:dyDescent="0.35">
      <c r="A56" s="5"/>
      <c r="B56" s="6"/>
      <c r="C56" s="6"/>
      <c r="D56" s="7"/>
      <c r="E56" s="6"/>
      <c r="F56" s="5" t="str">
        <f t="shared" si="0"/>
        <v/>
      </c>
      <c r="G56" s="5"/>
      <c r="H56" s="6"/>
      <c r="I56" s="6"/>
      <c r="J56" s="6"/>
      <c r="K56" s="7"/>
      <c r="L56" s="6"/>
      <c r="M56" s="8" t="str">
        <f t="shared" ca="1" si="1"/>
        <v/>
      </c>
      <c r="N56" s="6"/>
      <c r="O56" s="9"/>
      <c r="P56" s="10"/>
      <c r="Q56" s="6"/>
      <c r="R56" s="6"/>
      <c r="S56" s="6"/>
      <c r="T56" s="6"/>
      <c r="U56" s="6"/>
      <c r="V56" s="6"/>
      <c r="W56" s="6" t="str">
        <f t="shared" si="2"/>
        <v/>
      </c>
      <c r="X56" s="6" t="str">
        <f t="shared" si="3"/>
        <v/>
      </c>
      <c r="Y56" s="6" t="str">
        <f t="shared" si="4"/>
        <v/>
      </c>
      <c r="Z56" s="6" t="str">
        <f t="shared" si="5"/>
        <v/>
      </c>
      <c r="AA56" s="5" t="str">
        <f t="shared" si="6"/>
        <v/>
      </c>
    </row>
    <row r="57" spans="1:27" ht="14.5" x14ac:dyDescent="0.35">
      <c r="A57" s="5"/>
      <c r="B57" s="6"/>
      <c r="C57" s="6"/>
      <c r="D57" s="7"/>
      <c r="E57" s="6"/>
      <c r="F57" s="5" t="str">
        <f t="shared" si="0"/>
        <v/>
      </c>
      <c r="G57" s="5"/>
      <c r="H57" s="6"/>
      <c r="I57" s="6"/>
      <c r="J57" s="6"/>
      <c r="K57" s="7"/>
      <c r="L57" s="6"/>
      <c r="M57" s="8" t="str">
        <f t="shared" ca="1" si="1"/>
        <v/>
      </c>
      <c r="N57" s="6"/>
      <c r="O57" s="9"/>
      <c r="P57" s="10"/>
      <c r="Q57" s="6"/>
      <c r="R57" s="6"/>
      <c r="S57" s="6"/>
      <c r="T57" s="6"/>
      <c r="U57" s="6"/>
      <c r="V57" s="6"/>
      <c r="W57" s="6" t="str">
        <f t="shared" si="2"/>
        <v/>
      </c>
      <c r="X57" s="6" t="str">
        <f t="shared" si="3"/>
        <v/>
      </c>
      <c r="Y57" s="6" t="str">
        <f t="shared" si="4"/>
        <v/>
      </c>
      <c r="Z57" s="6" t="str">
        <f t="shared" si="5"/>
        <v/>
      </c>
      <c r="AA57" s="5" t="str">
        <f t="shared" si="6"/>
        <v/>
      </c>
    </row>
    <row r="58" spans="1:27" ht="14.5" x14ac:dyDescent="0.35">
      <c r="A58" s="5"/>
      <c r="B58" s="6"/>
      <c r="C58" s="6"/>
      <c r="D58" s="7"/>
      <c r="E58" s="6"/>
      <c r="F58" s="5" t="str">
        <f t="shared" si="0"/>
        <v/>
      </c>
      <c r="G58" s="5"/>
      <c r="H58" s="6"/>
      <c r="I58" s="6"/>
      <c r="J58" s="6"/>
      <c r="K58" s="7"/>
      <c r="L58" s="6"/>
      <c r="M58" s="8" t="str">
        <f t="shared" ca="1" si="1"/>
        <v/>
      </c>
      <c r="N58" s="6"/>
      <c r="O58" s="9"/>
      <c r="P58" s="10"/>
      <c r="Q58" s="6"/>
      <c r="R58" s="6"/>
      <c r="S58" s="6"/>
      <c r="T58" s="6"/>
      <c r="U58" s="6"/>
      <c r="V58" s="6"/>
      <c r="W58" s="6" t="str">
        <f t="shared" si="2"/>
        <v/>
      </c>
      <c r="X58" s="6" t="str">
        <f t="shared" si="3"/>
        <v/>
      </c>
      <c r="Y58" s="6" t="str">
        <f t="shared" si="4"/>
        <v/>
      </c>
      <c r="Z58" s="6" t="str">
        <f t="shared" si="5"/>
        <v/>
      </c>
      <c r="AA58" s="5" t="str">
        <f t="shared" si="6"/>
        <v/>
      </c>
    </row>
    <row r="59" spans="1:27" ht="14.5" x14ac:dyDescent="0.35">
      <c r="A59" s="5"/>
      <c r="B59" s="6"/>
      <c r="C59" s="6"/>
      <c r="D59" s="7"/>
      <c r="E59" s="6"/>
      <c r="F59" s="5" t="str">
        <f t="shared" si="0"/>
        <v/>
      </c>
      <c r="G59" s="5"/>
      <c r="H59" s="6"/>
      <c r="I59" s="6"/>
      <c r="J59" s="6"/>
      <c r="K59" s="7"/>
      <c r="L59" s="6"/>
      <c r="M59" s="8" t="str">
        <f t="shared" ca="1" si="1"/>
        <v/>
      </c>
      <c r="N59" s="6"/>
      <c r="O59" s="9"/>
      <c r="P59" s="10"/>
      <c r="Q59" s="6"/>
      <c r="R59" s="6"/>
      <c r="S59" s="6"/>
      <c r="T59" s="6"/>
      <c r="U59" s="6"/>
      <c r="V59" s="6"/>
      <c r="W59" s="6" t="str">
        <f t="shared" si="2"/>
        <v/>
      </c>
      <c r="X59" s="6" t="str">
        <f t="shared" si="3"/>
        <v/>
      </c>
      <c r="Y59" s="6" t="str">
        <f t="shared" si="4"/>
        <v/>
      </c>
      <c r="Z59" s="6" t="str">
        <f t="shared" si="5"/>
        <v/>
      </c>
      <c r="AA59" s="5" t="str">
        <f t="shared" si="6"/>
        <v/>
      </c>
    </row>
    <row r="60" spans="1:27" ht="14.5" x14ac:dyDescent="0.35">
      <c r="A60" s="5"/>
      <c r="B60" s="6"/>
      <c r="C60" s="6"/>
      <c r="D60" s="7"/>
      <c r="E60" s="6"/>
      <c r="F60" s="5" t="str">
        <f t="shared" si="0"/>
        <v/>
      </c>
      <c r="G60" s="5"/>
      <c r="H60" s="6"/>
      <c r="I60" s="6"/>
      <c r="J60" s="6"/>
      <c r="K60" s="7"/>
      <c r="L60" s="6"/>
      <c r="M60" s="8" t="str">
        <f t="shared" ca="1" si="1"/>
        <v/>
      </c>
      <c r="N60" s="6"/>
      <c r="O60" s="9"/>
      <c r="P60" s="10"/>
      <c r="Q60" s="6"/>
      <c r="R60" s="6"/>
      <c r="S60" s="6"/>
      <c r="T60" s="6"/>
      <c r="U60" s="6"/>
      <c r="V60" s="6"/>
      <c r="W60" s="6" t="str">
        <f t="shared" si="2"/>
        <v/>
      </c>
      <c r="X60" s="6" t="str">
        <f t="shared" si="3"/>
        <v/>
      </c>
      <c r="Y60" s="6" t="str">
        <f t="shared" si="4"/>
        <v/>
      </c>
      <c r="Z60" s="6" t="str">
        <f t="shared" si="5"/>
        <v/>
      </c>
      <c r="AA60" s="5" t="str">
        <f t="shared" si="6"/>
        <v/>
      </c>
    </row>
    <row r="61" spans="1:27" ht="14.5" x14ac:dyDescent="0.35">
      <c r="A61" s="5"/>
      <c r="B61" s="6"/>
      <c r="C61" s="6"/>
      <c r="D61" s="7"/>
      <c r="E61" s="6"/>
      <c r="F61" s="5" t="str">
        <f t="shared" si="0"/>
        <v/>
      </c>
      <c r="G61" s="5"/>
      <c r="H61" s="6"/>
      <c r="I61" s="6"/>
      <c r="J61" s="6"/>
      <c r="K61" s="7"/>
      <c r="L61" s="6"/>
      <c r="M61" s="8" t="str">
        <f t="shared" ca="1" si="1"/>
        <v/>
      </c>
      <c r="N61" s="6"/>
      <c r="O61" s="9"/>
      <c r="P61" s="10"/>
      <c r="Q61" s="6"/>
      <c r="R61" s="6"/>
      <c r="S61" s="6"/>
      <c r="T61" s="6"/>
      <c r="U61" s="6"/>
      <c r="V61" s="6"/>
      <c r="W61" s="6" t="str">
        <f t="shared" si="2"/>
        <v/>
      </c>
      <c r="X61" s="6" t="str">
        <f t="shared" si="3"/>
        <v/>
      </c>
      <c r="Y61" s="6" t="str">
        <f t="shared" si="4"/>
        <v/>
      </c>
      <c r="Z61" s="6" t="str">
        <f t="shared" si="5"/>
        <v/>
      </c>
      <c r="AA61" s="5" t="str">
        <f t="shared" si="6"/>
        <v/>
      </c>
    </row>
    <row r="62" spans="1:27" ht="14.5" x14ac:dyDescent="0.35">
      <c r="A62" s="5"/>
      <c r="B62" s="6"/>
      <c r="C62" s="6"/>
      <c r="D62" s="7"/>
      <c r="E62" s="6"/>
      <c r="F62" s="5" t="str">
        <f t="shared" si="0"/>
        <v/>
      </c>
      <c r="G62" s="5"/>
      <c r="H62" s="6"/>
      <c r="I62" s="6"/>
      <c r="J62" s="6"/>
      <c r="K62" s="7"/>
      <c r="L62" s="6"/>
      <c r="M62" s="8" t="str">
        <f t="shared" ca="1" si="1"/>
        <v/>
      </c>
      <c r="N62" s="6"/>
      <c r="O62" s="9"/>
      <c r="P62" s="10"/>
      <c r="Q62" s="6"/>
      <c r="R62" s="6"/>
      <c r="S62" s="6"/>
      <c r="T62" s="6"/>
      <c r="U62" s="6"/>
      <c r="V62" s="6"/>
      <c r="W62" s="6" t="str">
        <f t="shared" si="2"/>
        <v/>
      </c>
      <c r="X62" s="6" t="str">
        <f t="shared" si="3"/>
        <v/>
      </c>
      <c r="Y62" s="6" t="str">
        <f t="shared" si="4"/>
        <v/>
      </c>
      <c r="Z62" s="6" t="str">
        <f t="shared" si="5"/>
        <v/>
      </c>
      <c r="AA62" s="5" t="str">
        <f t="shared" si="6"/>
        <v/>
      </c>
    </row>
    <row r="63" spans="1:27" ht="14.5" x14ac:dyDescent="0.35">
      <c r="A63" s="5"/>
      <c r="B63" s="6"/>
      <c r="C63" s="6"/>
      <c r="D63" s="7"/>
      <c r="E63" s="6"/>
      <c r="F63" s="5" t="str">
        <f t="shared" si="0"/>
        <v/>
      </c>
      <c r="G63" s="5"/>
      <c r="H63" s="6"/>
      <c r="I63" s="6"/>
      <c r="J63" s="6"/>
      <c r="K63" s="7"/>
      <c r="L63" s="6"/>
      <c r="M63" s="8" t="str">
        <f t="shared" ca="1" si="1"/>
        <v/>
      </c>
      <c r="N63" s="6"/>
      <c r="O63" s="9"/>
      <c r="P63" s="10"/>
      <c r="Q63" s="6"/>
      <c r="R63" s="6"/>
      <c r="S63" s="6"/>
      <c r="T63" s="6"/>
      <c r="U63" s="6"/>
      <c r="V63" s="6"/>
      <c r="W63" s="6" t="str">
        <f t="shared" si="2"/>
        <v/>
      </c>
      <c r="X63" s="6" t="str">
        <f t="shared" si="3"/>
        <v/>
      </c>
      <c r="Y63" s="6" t="str">
        <f t="shared" si="4"/>
        <v/>
      </c>
      <c r="Z63" s="6" t="str">
        <f t="shared" si="5"/>
        <v/>
      </c>
      <c r="AA63" s="5" t="str">
        <f t="shared" si="6"/>
        <v/>
      </c>
    </row>
    <row r="64" spans="1:27" ht="14.5" x14ac:dyDescent="0.35">
      <c r="A64" s="5"/>
      <c r="B64" s="6"/>
      <c r="C64" s="6"/>
      <c r="D64" s="7"/>
      <c r="E64" s="6"/>
      <c r="F64" s="5" t="str">
        <f t="shared" si="0"/>
        <v/>
      </c>
      <c r="G64" s="5"/>
      <c r="H64" s="6"/>
      <c r="I64" s="6"/>
      <c r="J64" s="6"/>
      <c r="K64" s="7"/>
      <c r="L64" s="6"/>
      <c r="M64" s="8" t="str">
        <f t="shared" ca="1" si="1"/>
        <v/>
      </c>
      <c r="N64" s="6"/>
      <c r="O64" s="9"/>
      <c r="P64" s="10"/>
      <c r="Q64" s="6"/>
      <c r="R64" s="6"/>
      <c r="S64" s="6"/>
      <c r="T64" s="6"/>
      <c r="U64" s="6"/>
      <c r="V64" s="6"/>
      <c r="W64" s="6" t="str">
        <f t="shared" si="2"/>
        <v/>
      </c>
      <c r="X64" s="6" t="str">
        <f t="shared" si="3"/>
        <v/>
      </c>
      <c r="Y64" s="6" t="str">
        <f t="shared" si="4"/>
        <v/>
      </c>
      <c r="Z64" s="6" t="str">
        <f t="shared" si="5"/>
        <v/>
      </c>
      <c r="AA64" s="5" t="str">
        <f t="shared" si="6"/>
        <v/>
      </c>
    </row>
    <row r="65" spans="1:27" ht="14.5" x14ac:dyDescent="0.35">
      <c r="A65" s="5"/>
      <c r="B65" s="6"/>
      <c r="C65" s="6"/>
      <c r="D65" s="7"/>
      <c r="E65" s="6"/>
      <c r="F65" s="5" t="str">
        <f t="shared" si="0"/>
        <v/>
      </c>
      <c r="G65" s="5"/>
      <c r="H65" s="6"/>
      <c r="I65" s="6"/>
      <c r="J65" s="6"/>
      <c r="K65" s="7"/>
      <c r="L65" s="6"/>
      <c r="M65" s="8" t="str">
        <f t="shared" ca="1" si="1"/>
        <v/>
      </c>
      <c r="N65" s="6"/>
      <c r="O65" s="9"/>
      <c r="P65" s="10"/>
      <c r="Q65" s="6"/>
      <c r="R65" s="6"/>
      <c r="S65" s="6"/>
      <c r="T65" s="6"/>
      <c r="U65" s="6"/>
      <c r="V65" s="6"/>
      <c r="W65" s="6" t="str">
        <f t="shared" si="2"/>
        <v/>
      </c>
      <c r="X65" s="6" t="str">
        <f t="shared" si="3"/>
        <v/>
      </c>
      <c r="Y65" s="6" t="str">
        <f t="shared" si="4"/>
        <v/>
      </c>
      <c r="Z65" s="6" t="str">
        <f t="shared" si="5"/>
        <v/>
      </c>
      <c r="AA65" s="5" t="str">
        <f t="shared" si="6"/>
        <v/>
      </c>
    </row>
    <row r="66" spans="1:27" ht="14.5" x14ac:dyDescent="0.35">
      <c r="A66" s="5"/>
      <c r="B66" s="6"/>
      <c r="C66" s="6"/>
      <c r="D66" s="7"/>
      <c r="E66" s="6"/>
      <c r="F66" s="5" t="str">
        <f t="shared" ref="F66:F129" si="7">IF(COUNTIF($A$2:$A$501,A66&amp;".*")=0,"",COUNTIF($A$2:$A$501,A66&amp;".*"))</f>
        <v/>
      </c>
      <c r="G66" s="5"/>
      <c r="H66" s="6"/>
      <c r="I66" s="6"/>
      <c r="J66" s="6"/>
      <c r="K66" s="7"/>
      <c r="L66" s="6"/>
      <c r="M66" s="8" t="str">
        <f t="shared" ref="M66:M129" ca="1" si="8">IF(K66="","",INT(K66)-TODAY())</f>
        <v/>
      </c>
      <c r="N66" s="6"/>
      <c r="O66" s="9"/>
      <c r="P66" s="10"/>
      <c r="Q66" s="6"/>
      <c r="R66" s="6"/>
      <c r="S66" s="6"/>
      <c r="T66" s="6"/>
      <c r="U66" s="6"/>
      <c r="V66" s="6"/>
      <c r="W66" s="6" t="str">
        <f t="shared" ref="W66:W129" si="9">IF(K66="","",K66+Q66/1000000)</f>
        <v/>
      </c>
      <c r="X66" s="6" t="str">
        <f t="shared" ref="X66:X129" si="10">IF(V66="","",IF(K66="",9999999+Q66/1000000,K66+Q66/1000000))</f>
        <v/>
      </c>
      <c r="Y66" s="6" t="str">
        <f t="shared" ref="Y66:Y129" si="11">IF(V66="","",SUMPRODUCT(($V$2:$V$501=V66)*($X$2:$X$501&lt;=X66)))</f>
        <v/>
      </c>
      <c r="Z66" s="6" t="str">
        <f t="shared" ref="Z66:Z129" si="12">IF(V66="","",V66&amp;"|"&amp;Y66)</f>
        <v/>
      </c>
      <c r="AA66" s="5" t="str">
        <f t="shared" ref="AA66:AA129" si="13">IF(O66="","",TEXT(INT(ROUND(O66*60,0)/60),"0")&amp;"h "&amp;TEXT(MOD(ROUND(O66*60,0),60),"00")&amp;"m")</f>
        <v/>
      </c>
    </row>
    <row r="67" spans="1:27" ht="14.5" x14ac:dyDescent="0.35">
      <c r="A67" s="5"/>
      <c r="B67" s="6"/>
      <c r="C67" s="6"/>
      <c r="D67" s="7"/>
      <c r="E67" s="6"/>
      <c r="F67" s="5" t="str">
        <f t="shared" si="7"/>
        <v/>
      </c>
      <c r="G67" s="5"/>
      <c r="H67" s="6"/>
      <c r="I67" s="6"/>
      <c r="J67" s="6"/>
      <c r="K67" s="7"/>
      <c r="L67" s="6"/>
      <c r="M67" s="8" t="str">
        <f t="shared" ca="1" si="8"/>
        <v/>
      </c>
      <c r="N67" s="6"/>
      <c r="O67" s="9"/>
      <c r="P67" s="10"/>
      <c r="Q67" s="6"/>
      <c r="R67" s="6"/>
      <c r="S67" s="6"/>
      <c r="T67" s="6"/>
      <c r="U67" s="6"/>
      <c r="V67" s="6"/>
      <c r="W67" s="6" t="str">
        <f t="shared" si="9"/>
        <v/>
      </c>
      <c r="X67" s="6" t="str">
        <f t="shared" si="10"/>
        <v/>
      </c>
      <c r="Y67" s="6" t="str">
        <f t="shared" si="11"/>
        <v/>
      </c>
      <c r="Z67" s="6" t="str">
        <f t="shared" si="12"/>
        <v/>
      </c>
      <c r="AA67" s="5" t="str">
        <f t="shared" si="13"/>
        <v/>
      </c>
    </row>
    <row r="68" spans="1:27" ht="14.5" x14ac:dyDescent="0.35">
      <c r="A68" s="5"/>
      <c r="B68" s="6"/>
      <c r="C68" s="6"/>
      <c r="D68" s="7"/>
      <c r="E68" s="6"/>
      <c r="F68" s="5" t="str">
        <f t="shared" si="7"/>
        <v/>
      </c>
      <c r="G68" s="5"/>
      <c r="H68" s="6"/>
      <c r="I68" s="6"/>
      <c r="J68" s="6"/>
      <c r="K68" s="7"/>
      <c r="L68" s="6"/>
      <c r="M68" s="8" t="str">
        <f t="shared" ca="1" si="8"/>
        <v/>
      </c>
      <c r="N68" s="6"/>
      <c r="O68" s="9"/>
      <c r="P68" s="10"/>
      <c r="Q68" s="6"/>
      <c r="R68" s="6"/>
      <c r="S68" s="6"/>
      <c r="T68" s="6"/>
      <c r="U68" s="6"/>
      <c r="V68" s="6"/>
      <c r="W68" s="6" t="str">
        <f t="shared" si="9"/>
        <v/>
      </c>
      <c r="X68" s="6" t="str">
        <f t="shared" si="10"/>
        <v/>
      </c>
      <c r="Y68" s="6" t="str">
        <f t="shared" si="11"/>
        <v/>
      </c>
      <c r="Z68" s="6" t="str">
        <f t="shared" si="12"/>
        <v/>
      </c>
      <c r="AA68" s="5" t="str">
        <f t="shared" si="13"/>
        <v/>
      </c>
    </row>
    <row r="69" spans="1:27" ht="14.5" x14ac:dyDescent="0.35">
      <c r="A69" s="5"/>
      <c r="B69" s="6"/>
      <c r="C69" s="6"/>
      <c r="D69" s="7"/>
      <c r="E69" s="6"/>
      <c r="F69" s="5" t="str">
        <f t="shared" si="7"/>
        <v/>
      </c>
      <c r="G69" s="5"/>
      <c r="H69" s="6"/>
      <c r="I69" s="6"/>
      <c r="J69" s="6"/>
      <c r="K69" s="7"/>
      <c r="L69" s="6"/>
      <c r="M69" s="8" t="str">
        <f t="shared" ca="1" si="8"/>
        <v/>
      </c>
      <c r="N69" s="6"/>
      <c r="O69" s="9"/>
      <c r="P69" s="10"/>
      <c r="Q69" s="6"/>
      <c r="R69" s="6"/>
      <c r="S69" s="6"/>
      <c r="T69" s="6"/>
      <c r="U69" s="6"/>
      <c r="V69" s="6"/>
      <c r="W69" s="6" t="str">
        <f t="shared" si="9"/>
        <v/>
      </c>
      <c r="X69" s="6" t="str">
        <f t="shared" si="10"/>
        <v/>
      </c>
      <c r="Y69" s="6" t="str">
        <f t="shared" si="11"/>
        <v/>
      </c>
      <c r="Z69" s="6" t="str">
        <f t="shared" si="12"/>
        <v/>
      </c>
      <c r="AA69" s="5" t="str">
        <f t="shared" si="13"/>
        <v/>
      </c>
    </row>
    <row r="70" spans="1:27" ht="14.5" x14ac:dyDescent="0.35">
      <c r="A70" s="5"/>
      <c r="B70" s="6"/>
      <c r="C70" s="6"/>
      <c r="D70" s="7"/>
      <c r="E70" s="6"/>
      <c r="F70" s="5" t="str">
        <f t="shared" si="7"/>
        <v/>
      </c>
      <c r="G70" s="5"/>
      <c r="H70" s="6"/>
      <c r="I70" s="6"/>
      <c r="J70" s="6"/>
      <c r="K70" s="7"/>
      <c r="L70" s="6"/>
      <c r="M70" s="8" t="str">
        <f t="shared" ca="1" si="8"/>
        <v/>
      </c>
      <c r="N70" s="6"/>
      <c r="O70" s="9"/>
      <c r="P70" s="10"/>
      <c r="Q70" s="6"/>
      <c r="R70" s="6"/>
      <c r="S70" s="6"/>
      <c r="T70" s="6"/>
      <c r="U70" s="6"/>
      <c r="V70" s="6"/>
      <c r="W70" s="6" t="str">
        <f t="shared" si="9"/>
        <v/>
      </c>
      <c r="X70" s="6" t="str">
        <f t="shared" si="10"/>
        <v/>
      </c>
      <c r="Y70" s="6" t="str">
        <f t="shared" si="11"/>
        <v/>
      </c>
      <c r="Z70" s="6" t="str">
        <f t="shared" si="12"/>
        <v/>
      </c>
      <c r="AA70" s="5" t="str">
        <f t="shared" si="13"/>
        <v/>
      </c>
    </row>
    <row r="71" spans="1:27" ht="14.5" x14ac:dyDescent="0.35">
      <c r="A71" s="5"/>
      <c r="B71" s="6"/>
      <c r="C71" s="6"/>
      <c r="D71" s="7"/>
      <c r="E71" s="6"/>
      <c r="F71" s="5" t="str">
        <f t="shared" si="7"/>
        <v/>
      </c>
      <c r="G71" s="5"/>
      <c r="H71" s="6"/>
      <c r="I71" s="6"/>
      <c r="J71" s="6"/>
      <c r="K71" s="7"/>
      <c r="L71" s="6"/>
      <c r="M71" s="8" t="str">
        <f t="shared" ca="1" si="8"/>
        <v/>
      </c>
      <c r="N71" s="6"/>
      <c r="O71" s="9"/>
      <c r="P71" s="10"/>
      <c r="Q71" s="6"/>
      <c r="R71" s="6"/>
      <c r="S71" s="6"/>
      <c r="T71" s="6"/>
      <c r="U71" s="6"/>
      <c r="V71" s="6"/>
      <c r="W71" s="6" t="str">
        <f t="shared" si="9"/>
        <v/>
      </c>
      <c r="X71" s="6" t="str">
        <f t="shared" si="10"/>
        <v/>
      </c>
      <c r="Y71" s="6" t="str">
        <f t="shared" si="11"/>
        <v/>
      </c>
      <c r="Z71" s="6" t="str">
        <f t="shared" si="12"/>
        <v/>
      </c>
      <c r="AA71" s="5" t="str">
        <f t="shared" si="13"/>
        <v/>
      </c>
    </row>
    <row r="72" spans="1:27" ht="14.5" x14ac:dyDescent="0.35">
      <c r="A72" s="5"/>
      <c r="B72" s="6"/>
      <c r="C72" s="6"/>
      <c r="D72" s="7"/>
      <c r="E72" s="6"/>
      <c r="F72" s="5" t="str">
        <f t="shared" si="7"/>
        <v/>
      </c>
      <c r="G72" s="5"/>
      <c r="H72" s="6"/>
      <c r="I72" s="6"/>
      <c r="J72" s="6"/>
      <c r="K72" s="7"/>
      <c r="L72" s="6"/>
      <c r="M72" s="8" t="str">
        <f t="shared" ca="1" si="8"/>
        <v/>
      </c>
      <c r="N72" s="6"/>
      <c r="O72" s="9"/>
      <c r="P72" s="10"/>
      <c r="Q72" s="6"/>
      <c r="R72" s="6"/>
      <c r="S72" s="6"/>
      <c r="T72" s="6"/>
      <c r="U72" s="6"/>
      <c r="V72" s="6"/>
      <c r="W72" s="6" t="str">
        <f t="shared" si="9"/>
        <v/>
      </c>
      <c r="X72" s="6" t="str">
        <f t="shared" si="10"/>
        <v/>
      </c>
      <c r="Y72" s="6" t="str">
        <f t="shared" si="11"/>
        <v/>
      </c>
      <c r="Z72" s="6" t="str">
        <f t="shared" si="12"/>
        <v/>
      </c>
      <c r="AA72" s="5" t="str">
        <f t="shared" si="13"/>
        <v/>
      </c>
    </row>
    <row r="73" spans="1:27" ht="14.5" x14ac:dyDescent="0.35">
      <c r="A73" s="5"/>
      <c r="B73" s="6"/>
      <c r="C73" s="6"/>
      <c r="D73" s="7"/>
      <c r="E73" s="6"/>
      <c r="F73" s="5" t="str">
        <f t="shared" si="7"/>
        <v/>
      </c>
      <c r="G73" s="5"/>
      <c r="H73" s="6"/>
      <c r="I73" s="6"/>
      <c r="J73" s="6"/>
      <c r="K73" s="7"/>
      <c r="L73" s="6"/>
      <c r="M73" s="8" t="str">
        <f t="shared" ca="1" si="8"/>
        <v/>
      </c>
      <c r="N73" s="6"/>
      <c r="O73" s="9"/>
      <c r="P73" s="10"/>
      <c r="Q73" s="6"/>
      <c r="R73" s="6"/>
      <c r="S73" s="6"/>
      <c r="T73" s="6"/>
      <c r="U73" s="6"/>
      <c r="V73" s="6"/>
      <c r="W73" s="6" t="str">
        <f t="shared" si="9"/>
        <v/>
      </c>
      <c r="X73" s="6" t="str">
        <f t="shared" si="10"/>
        <v/>
      </c>
      <c r="Y73" s="6" t="str">
        <f t="shared" si="11"/>
        <v/>
      </c>
      <c r="Z73" s="6" t="str">
        <f t="shared" si="12"/>
        <v/>
      </c>
      <c r="AA73" s="5" t="str">
        <f t="shared" si="13"/>
        <v/>
      </c>
    </row>
    <row r="74" spans="1:27" ht="14.5" x14ac:dyDescent="0.35">
      <c r="A74" s="5"/>
      <c r="B74" s="6"/>
      <c r="C74" s="6"/>
      <c r="D74" s="7"/>
      <c r="E74" s="6"/>
      <c r="F74" s="5" t="str">
        <f t="shared" si="7"/>
        <v/>
      </c>
      <c r="G74" s="5"/>
      <c r="H74" s="6"/>
      <c r="I74" s="6"/>
      <c r="J74" s="6"/>
      <c r="K74" s="7"/>
      <c r="L74" s="6"/>
      <c r="M74" s="8" t="str">
        <f t="shared" ca="1" si="8"/>
        <v/>
      </c>
      <c r="N74" s="6"/>
      <c r="O74" s="9"/>
      <c r="P74" s="10"/>
      <c r="Q74" s="6"/>
      <c r="R74" s="6"/>
      <c r="S74" s="6"/>
      <c r="T74" s="6"/>
      <c r="U74" s="6"/>
      <c r="V74" s="6"/>
      <c r="W74" s="6" t="str">
        <f t="shared" si="9"/>
        <v/>
      </c>
      <c r="X74" s="6" t="str">
        <f t="shared" si="10"/>
        <v/>
      </c>
      <c r="Y74" s="6" t="str">
        <f t="shared" si="11"/>
        <v/>
      </c>
      <c r="Z74" s="6" t="str">
        <f t="shared" si="12"/>
        <v/>
      </c>
      <c r="AA74" s="5" t="str">
        <f t="shared" si="13"/>
        <v/>
      </c>
    </row>
    <row r="75" spans="1:27" ht="14.5" x14ac:dyDescent="0.35">
      <c r="A75" s="5"/>
      <c r="B75" s="6"/>
      <c r="C75" s="6"/>
      <c r="D75" s="7"/>
      <c r="E75" s="6"/>
      <c r="F75" s="5" t="str">
        <f t="shared" si="7"/>
        <v/>
      </c>
      <c r="G75" s="5"/>
      <c r="H75" s="6"/>
      <c r="I75" s="6"/>
      <c r="J75" s="6"/>
      <c r="K75" s="7"/>
      <c r="L75" s="6"/>
      <c r="M75" s="8" t="str">
        <f t="shared" ca="1" si="8"/>
        <v/>
      </c>
      <c r="N75" s="6"/>
      <c r="O75" s="9"/>
      <c r="P75" s="10"/>
      <c r="Q75" s="6"/>
      <c r="R75" s="6"/>
      <c r="S75" s="6"/>
      <c r="T75" s="6"/>
      <c r="U75" s="6"/>
      <c r="V75" s="6"/>
      <c r="W75" s="6" t="str">
        <f t="shared" si="9"/>
        <v/>
      </c>
      <c r="X75" s="6" t="str">
        <f t="shared" si="10"/>
        <v/>
      </c>
      <c r="Y75" s="6" t="str">
        <f t="shared" si="11"/>
        <v/>
      </c>
      <c r="Z75" s="6" t="str">
        <f t="shared" si="12"/>
        <v/>
      </c>
      <c r="AA75" s="5" t="str">
        <f t="shared" si="13"/>
        <v/>
      </c>
    </row>
    <row r="76" spans="1:27" ht="14.5" x14ac:dyDescent="0.35">
      <c r="A76" s="5"/>
      <c r="B76" s="6"/>
      <c r="C76" s="6"/>
      <c r="D76" s="7"/>
      <c r="E76" s="6"/>
      <c r="F76" s="5" t="str">
        <f t="shared" si="7"/>
        <v/>
      </c>
      <c r="G76" s="5"/>
      <c r="H76" s="6"/>
      <c r="I76" s="6"/>
      <c r="J76" s="6"/>
      <c r="K76" s="7"/>
      <c r="L76" s="6"/>
      <c r="M76" s="8" t="str">
        <f t="shared" ca="1" si="8"/>
        <v/>
      </c>
      <c r="N76" s="6"/>
      <c r="O76" s="9"/>
      <c r="P76" s="10"/>
      <c r="Q76" s="6"/>
      <c r="R76" s="6"/>
      <c r="S76" s="6"/>
      <c r="T76" s="6"/>
      <c r="U76" s="6"/>
      <c r="V76" s="6"/>
      <c r="W76" s="6" t="str">
        <f t="shared" si="9"/>
        <v/>
      </c>
      <c r="X76" s="6" t="str">
        <f t="shared" si="10"/>
        <v/>
      </c>
      <c r="Y76" s="6" t="str">
        <f t="shared" si="11"/>
        <v/>
      </c>
      <c r="Z76" s="6" t="str">
        <f t="shared" si="12"/>
        <v/>
      </c>
      <c r="AA76" s="5" t="str">
        <f t="shared" si="13"/>
        <v/>
      </c>
    </row>
    <row r="77" spans="1:27" ht="14.5" x14ac:dyDescent="0.35">
      <c r="A77" s="5"/>
      <c r="B77" s="6"/>
      <c r="C77" s="6"/>
      <c r="D77" s="7"/>
      <c r="E77" s="6"/>
      <c r="F77" s="5" t="str">
        <f t="shared" si="7"/>
        <v/>
      </c>
      <c r="G77" s="5"/>
      <c r="H77" s="6"/>
      <c r="I77" s="6"/>
      <c r="J77" s="6"/>
      <c r="K77" s="7"/>
      <c r="L77" s="6"/>
      <c r="M77" s="8" t="str">
        <f t="shared" ca="1" si="8"/>
        <v/>
      </c>
      <c r="N77" s="6"/>
      <c r="O77" s="9"/>
      <c r="P77" s="10"/>
      <c r="Q77" s="6"/>
      <c r="R77" s="6"/>
      <c r="S77" s="6"/>
      <c r="T77" s="6"/>
      <c r="U77" s="6"/>
      <c r="V77" s="6"/>
      <c r="W77" s="6" t="str">
        <f t="shared" si="9"/>
        <v/>
      </c>
      <c r="X77" s="6" t="str">
        <f t="shared" si="10"/>
        <v/>
      </c>
      <c r="Y77" s="6" t="str">
        <f t="shared" si="11"/>
        <v/>
      </c>
      <c r="Z77" s="6" t="str">
        <f t="shared" si="12"/>
        <v/>
      </c>
      <c r="AA77" s="5" t="str">
        <f t="shared" si="13"/>
        <v/>
      </c>
    </row>
    <row r="78" spans="1:27" ht="14.5" x14ac:dyDescent="0.35">
      <c r="A78" s="5"/>
      <c r="B78" s="6"/>
      <c r="C78" s="6"/>
      <c r="D78" s="7"/>
      <c r="E78" s="6"/>
      <c r="F78" s="5" t="str">
        <f t="shared" si="7"/>
        <v/>
      </c>
      <c r="G78" s="5"/>
      <c r="H78" s="6"/>
      <c r="I78" s="6"/>
      <c r="J78" s="6"/>
      <c r="K78" s="7"/>
      <c r="L78" s="6"/>
      <c r="M78" s="8" t="str">
        <f t="shared" ca="1" si="8"/>
        <v/>
      </c>
      <c r="N78" s="6"/>
      <c r="O78" s="9"/>
      <c r="P78" s="10"/>
      <c r="Q78" s="6"/>
      <c r="R78" s="6"/>
      <c r="S78" s="6"/>
      <c r="T78" s="6"/>
      <c r="U78" s="6"/>
      <c r="V78" s="6"/>
      <c r="W78" s="6" t="str">
        <f t="shared" si="9"/>
        <v/>
      </c>
      <c r="X78" s="6" t="str">
        <f t="shared" si="10"/>
        <v/>
      </c>
      <c r="Y78" s="6" t="str">
        <f t="shared" si="11"/>
        <v/>
      </c>
      <c r="Z78" s="6" t="str">
        <f t="shared" si="12"/>
        <v/>
      </c>
      <c r="AA78" s="5" t="str">
        <f t="shared" si="13"/>
        <v/>
      </c>
    </row>
    <row r="79" spans="1:27" ht="14.5" x14ac:dyDescent="0.35">
      <c r="A79" s="5"/>
      <c r="B79" s="6"/>
      <c r="C79" s="6"/>
      <c r="D79" s="7"/>
      <c r="E79" s="6"/>
      <c r="F79" s="5" t="str">
        <f t="shared" si="7"/>
        <v/>
      </c>
      <c r="G79" s="5"/>
      <c r="H79" s="6"/>
      <c r="I79" s="6"/>
      <c r="J79" s="6"/>
      <c r="K79" s="7"/>
      <c r="L79" s="6"/>
      <c r="M79" s="8" t="str">
        <f t="shared" ca="1" si="8"/>
        <v/>
      </c>
      <c r="N79" s="6"/>
      <c r="O79" s="9"/>
      <c r="P79" s="10"/>
      <c r="Q79" s="6"/>
      <c r="R79" s="6"/>
      <c r="S79" s="6"/>
      <c r="T79" s="6"/>
      <c r="U79" s="6"/>
      <c r="V79" s="6"/>
      <c r="W79" s="6" t="str">
        <f t="shared" si="9"/>
        <v/>
      </c>
      <c r="X79" s="6" t="str">
        <f t="shared" si="10"/>
        <v/>
      </c>
      <c r="Y79" s="6" t="str">
        <f t="shared" si="11"/>
        <v/>
      </c>
      <c r="Z79" s="6" t="str">
        <f t="shared" si="12"/>
        <v/>
      </c>
      <c r="AA79" s="5" t="str">
        <f t="shared" si="13"/>
        <v/>
      </c>
    </row>
    <row r="80" spans="1:27" ht="14.5" x14ac:dyDescent="0.35">
      <c r="A80" s="5"/>
      <c r="B80" s="6"/>
      <c r="C80" s="6"/>
      <c r="D80" s="7"/>
      <c r="E80" s="6"/>
      <c r="F80" s="5" t="str">
        <f t="shared" si="7"/>
        <v/>
      </c>
      <c r="G80" s="5"/>
      <c r="H80" s="6"/>
      <c r="I80" s="6"/>
      <c r="J80" s="6"/>
      <c r="K80" s="7"/>
      <c r="L80" s="6"/>
      <c r="M80" s="8" t="str">
        <f t="shared" ca="1" si="8"/>
        <v/>
      </c>
      <c r="N80" s="6"/>
      <c r="O80" s="9"/>
      <c r="P80" s="10"/>
      <c r="Q80" s="6"/>
      <c r="R80" s="6"/>
      <c r="S80" s="6"/>
      <c r="T80" s="6"/>
      <c r="U80" s="6"/>
      <c r="V80" s="6"/>
      <c r="W80" s="6" t="str">
        <f t="shared" si="9"/>
        <v/>
      </c>
      <c r="X80" s="6" t="str">
        <f t="shared" si="10"/>
        <v/>
      </c>
      <c r="Y80" s="6" t="str">
        <f t="shared" si="11"/>
        <v/>
      </c>
      <c r="Z80" s="6" t="str">
        <f t="shared" si="12"/>
        <v/>
      </c>
      <c r="AA80" s="5" t="str">
        <f t="shared" si="13"/>
        <v/>
      </c>
    </row>
    <row r="81" spans="1:27" ht="14.5" x14ac:dyDescent="0.35">
      <c r="A81" s="5"/>
      <c r="B81" s="6"/>
      <c r="C81" s="6"/>
      <c r="D81" s="7"/>
      <c r="E81" s="6"/>
      <c r="F81" s="5" t="str">
        <f t="shared" si="7"/>
        <v/>
      </c>
      <c r="G81" s="5"/>
      <c r="H81" s="6"/>
      <c r="I81" s="6"/>
      <c r="J81" s="6"/>
      <c r="K81" s="7"/>
      <c r="L81" s="6"/>
      <c r="M81" s="8" t="str">
        <f t="shared" ca="1" si="8"/>
        <v/>
      </c>
      <c r="N81" s="6"/>
      <c r="O81" s="9"/>
      <c r="P81" s="10"/>
      <c r="Q81" s="6"/>
      <c r="R81" s="6"/>
      <c r="S81" s="6"/>
      <c r="T81" s="6"/>
      <c r="U81" s="6"/>
      <c r="V81" s="6"/>
      <c r="W81" s="6" t="str">
        <f t="shared" si="9"/>
        <v/>
      </c>
      <c r="X81" s="6" t="str">
        <f t="shared" si="10"/>
        <v/>
      </c>
      <c r="Y81" s="6" t="str">
        <f t="shared" si="11"/>
        <v/>
      </c>
      <c r="Z81" s="6" t="str">
        <f t="shared" si="12"/>
        <v/>
      </c>
      <c r="AA81" s="5" t="str">
        <f t="shared" si="13"/>
        <v/>
      </c>
    </row>
    <row r="82" spans="1:27" ht="14.5" x14ac:dyDescent="0.35">
      <c r="A82" s="5"/>
      <c r="B82" s="6"/>
      <c r="C82" s="6"/>
      <c r="D82" s="7"/>
      <c r="E82" s="6"/>
      <c r="F82" s="5" t="str">
        <f t="shared" si="7"/>
        <v/>
      </c>
      <c r="G82" s="5"/>
      <c r="H82" s="6"/>
      <c r="I82" s="6"/>
      <c r="J82" s="6"/>
      <c r="K82" s="7"/>
      <c r="L82" s="6"/>
      <c r="M82" s="8" t="str">
        <f t="shared" ca="1" si="8"/>
        <v/>
      </c>
      <c r="N82" s="6"/>
      <c r="O82" s="9"/>
      <c r="P82" s="10"/>
      <c r="Q82" s="6"/>
      <c r="R82" s="6"/>
      <c r="S82" s="6"/>
      <c r="T82" s="6"/>
      <c r="U82" s="6"/>
      <c r="V82" s="6"/>
      <c r="W82" s="6" t="str">
        <f t="shared" si="9"/>
        <v/>
      </c>
      <c r="X82" s="6" t="str">
        <f t="shared" si="10"/>
        <v/>
      </c>
      <c r="Y82" s="6" t="str">
        <f t="shared" si="11"/>
        <v/>
      </c>
      <c r="Z82" s="6" t="str">
        <f t="shared" si="12"/>
        <v/>
      </c>
      <c r="AA82" s="5" t="str">
        <f t="shared" si="13"/>
        <v/>
      </c>
    </row>
    <row r="83" spans="1:27" ht="14.5" x14ac:dyDescent="0.35">
      <c r="A83" s="5"/>
      <c r="B83" s="6"/>
      <c r="C83" s="6"/>
      <c r="D83" s="7"/>
      <c r="E83" s="6"/>
      <c r="F83" s="5" t="str">
        <f t="shared" si="7"/>
        <v/>
      </c>
      <c r="G83" s="5"/>
      <c r="H83" s="6"/>
      <c r="I83" s="6"/>
      <c r="J83" s="6"/>
      <c r="K83" s="7"/>
      <c r="L83" s="6"/>
      <c r="M83" s="8" t="str">
        <f t="shared" ca="1" si="8"/>
        <v/>
      </c>
      <c r="N83" s="6"/>
      <c r="O83" s="9"/>
      <c r="P83" s="10"/>
      <c r="Q83" s="6"/>
      <c r="R83" s="6"/>
      <c r="S83" s="6"/>
      <c r="T83" s="6"/>
      <c r="U83" s="6"/>
      <c r="V83" s="6"/>
      <c r="W83" s="6" t="str">
        <f t="shared" si="9"/>
        <v/>
      </c>
      <c r="X83" s="6" t="str">
        <f t="shared" si="10"/>
        <v/>
      </c>
      <c r="Y83" s="6" t="str">
        <f t="shared" si="11"/>
        <v/>
      </c>
      <c r="Z83" s="6" t="str">
        <f t="shared" si="12"/>
        <v/>
      </c>
      <c r="AA83" s="5" t="str">
        <f t="shared" si="13"/>
        <v/>
      </c>
    </row>
    <row r="84" spans="1:27" ht="14.5" x14ac:dyDescent="0.35">
      <c r="A84" s="5"/>
      <c r="B84" s="6"/>
      <c r="C84" s="6"/>
      <c r="D84" s="7"/>
      <c r="E84" s="6"/>
      <c r="F84" s="5" t="str">
        <f t="shared" si="7"/>
        <v/>
      </c>
      <c r="G84" s="5"/>
      <c r="H84" s="6"/>
      <c r="I84" s="6"/>
      <c r="J84" s="6"/>
      <c r="K84" s="7"/>
      <c r="L84" s="6"/>
      <c r="M84" s="8" t="str">
        <f t="shared" ca="1" si="8"/>
        <v/>
      </c>
      <c r="N84" s="6"/>
      <c r="O84" s="9"/>
      <c r="P84" s="10"/>
      <c r="Q84" s="6"/>
      <c r="R84" s="6"/>
      <c r="S84" s="6"/>
      <c r="T84" s="6"/>
      <c r="U84" s="6"/>
      <c r="V84" s="6"/>
      <c r="W84" s="6" t="str">
        <f t="shared" si="9"/>
        <v/>
      </c>
      <c r="X84" s="6" t="str">
        <f t="shared" si="10"/>
        <v/>
      </c>
      <c r="Y84" s="6" t="str">
        <f t="shared" si="11"/>
        <v/>
      </c>
      <c r="Z84" s="6" t="str">
        <f t="shared" si="12"/>
        <v/>
      </c>
      <c r="AA84" s="5" t="str">
        <f t="shared" si="13"/>
        <v/>
      </c>
    </row>
    <row r="85" spans="1:27" ht="14.5" x14ac:dyDescent="0.35">
      <c r="A85" s="5"/>
      <c r="B85" s="6"/>
      <c r="C85" s="6"/>
      <c r="D85" s="7"/>
      <c r="E85" s="6"/>
      <c r="F85" s="5" t="str">
        <f t="shared" si="7"/>
        <v/>
      </c>
      <c r="G85" s="5"/>
      <c r="H85" s="6"/>
      <c r="I85" s="6"/>
      <c r="J85" s="6"/>
      <c r="K85" s="7"/>
      <c r="L85" s="6"/>
      <c r="M85" s="8" t="str">
        <f t="shared" ca="1" si="8"/>
        <v/>
      </c>
      <c r="N85" s="6"/>
      <c r="O85" s="9"/>
      <c r="P85" s="10"/>
      <c r="Q85" s="6"/>
      <c r="R85" s="6"/>
      <c r="S85" s="6"/>
      <c r="T85" s="6"/>
      <c r="U85" s="6"/>
      <c r="V85" s="6"/>
      <c r="W85" s="6" t="str">
        <f t="shared" si="9"/>
        <v/>
      </c>
      <c r="X85" s="6" t="str">
        <f t="shared" si="10"/>
        <v/>
      </c>
      <c r="Y85" s="6" t="str">
        <f t="shared" si="11"/>
        <v/>
      </c>
      <c r="Z85" s="6" t="str">
        <f t="shared" si="12"/>
        <v/>
      </c>
      <c r="AA85" s="5" t="str">
        <f t="shared" si="13"/>
        <v/>
      </c>
    </row>
    <row r="86" spans="1:27" ht="14.5" x14ac:dyDescent="0.35">
      <c r="A86" s="5"/>
      <c r="B86" s="6"/>
      <c r="C86" s="6"/>
      <c r="D86" s="7"/>
      <c r="E86" s="6"/>
      <c r="F86" s="5" t="str">
        <f t="shared" si="7"/>
        <v/>
      </c>
      <c r="G86" s="5"/>
      <c r="H86" s="6"/>
      <c r="I86" s="6"/>
      <c r="J86" s="6"/>
      <c r="K86" s="7"/>
      <c r="L86" s="6"/>
      <c r="M86" s="8" t="str">
        <f t="shared" ca="1" si="8"/>
        <v/>
      </c>
      <c r="N86" s="6"/>
      <c r="O86" s="9"/>
      <c r="P86" s="10"/>
      <c r="Q86" s="6"/>
      <c r="R86" s="6"/>
      <c r="S86" s="6"/>
      <c r="T86" s="6"/>
      <c r="U86" s="6"/>
      <c r="V86" s="6"/>
      <c r="W86" s="6" t="str">
        <f t="shared" si="9"/>
        <v/>
      </c>
      <c r="X86" s="6" t="str">
        <f t="shared" si="10"/>
        <v/>
      </c>
      <c r="Y86" s="6" t="str">
        <f t="shared" si="11"/>
        <v/>
      </c>
      <c r="Z86" s="6" t="str">
        <f t="shared" si="12"/>
        <v/>
      </c>
      <c r="AA86" s="5" t="str">
        <f t="shared" si="13"/>
        <v/>
      </c>
    </row>
    <row r="87" spans="1:27" ht="14.5" x14ac:dyDescent="0.35">
      <c r="A87" s="5"/>
      <c r="B87" s="6"/>
      <c r="C87" s="6"/>
      <c r="D87" s="7"/>
      <c r="E87" s="6"/>
      <c r="F87" s="5" t="str">
        <f t="shared" si="7"/>
        <v/>
      </c>
      <c r="G87" s="5"/>
      <c r="H87" s="6"/>
      <c r="I87" s="6"/>
      <c r="J87" s="6"/>
      <c r="K87" s="7"/>
      <c r="L87" s="6"/>
      <c r="M87" s="8" t="str">
        <f t="shared" ca="1" si="8"/>
        <v/>
      </c>
      <c r="N87" s="6"/>
      <c r="O87" s="9"/>
      <c r="P87" s="10"/>
      <c r="Q87" s="6"/>
      <c r="R87" s="6"/>
      <c r="S87" s="6"/>
      <c r="T87" s="6"/>
      <c r="U87" s="6"/>
      <c r="V87" s="6"/>
      <c r="W87" s="6" t="str">
        <f t="shared" si="9"/>
        <v/>
      </c>
      <c r="X87" s="6" t="str">
        <f t="shared" si="10"/>
        <v/>
      </c>
      <c r="Y87" s="6" t="str">
        <f t="shared" si="11"/>
        <v/>
      </c>
      <c r="Z87" s="6" t="str">
        <f t="shared" si="12"/>
        <v/>
      </c>
      <c r="AA87" s="5" t="str">
        <f t="shared" si="13"/>
        <v/>
      </c>
    </row>
    <row r="88" spans="1:27" ht="14.5" x14ac:dyDescent="0.35">
      <c r="A88" s="5"/>
      <c r="B88" s="6"/>
      <c r="C88" s="6"/>
      <c r="D88" s="7"/>
      <c r="E88" s="6"/>
      <c r="F88" s="5" t="str">
        <f t="shared" si="7"/>
        <v/>
      </c>
      <c r="G88" s="5"/>
      <c r="H88" s="6"/>
      <c r="I88" s="6"/>
      <c r="J88" s="6"/>
      <c r="K88" s="7"/>
      <c r="L88" s="6"/>
      <c r="M88" s="8" t="str">
        <f t="shared" ca="1" si="8"/>
        <v/>
      </c>
      <c r="N88" s="6"/>
      <c r="O88" s="9"/>
      <c r="P88" s="10"/>
      <c r="Q88" s="6"/>
      <c r="R88" s="6"/>
      <c r="S88" s="6"/>
      <c r="T88" s="6"/>
      <c r="U88" s="6"/>
      <c r="V88" s="6"/>
      <c r="W88" s="6" t="str">
        <f t="shared" si="9"/>
        <v/>
      </c>
      <c r="X88" s="6" t="str">
        <f t="shared" si="10"/>
        <v/>
      </c>
      <c r="Y88" s="6" t="str">
        <f t="shared" si="11"/>
        <v/>
      </c>
      <c r="Z88" s="6" t="str">
        <f t="shared" si="12"/>
        <v/>
      </c>
      <c r="AA88" s="5" t="str">
        <f t="shared" si="13"/>
        <v/>
      </c>
    </row>
    <row r="89" spans="1:27" ht="14.5" x14ac:dyDescent="0.35">
      <c r="A89" s="5"/>
      <c r="B89" s="6"/>
      <c r="C89" s="6"/>
      <c r="D89" s="7"/>
      <c r="E89" s="6"/>
      <c r="F89" s="5" t="str">
        <f t="shared" si="7"/>
        <v/>
      </c>
      <c r="G89" s="5"/>
      <c r="H89" s="6"/>
      <c r="I89" s="6"/>
      <c r="J89" s="6"/>
      <c r="K89" s="7"/>
      <c r="L89" s="6"/>
      <c r="M89" s="8" t="str">
        <f t="shared" ca="1" si="8"/>
        <v/>
      </c>
      <c r="N89" s="6"/>
      <c r="O89" s="9"/>
      <c r="P89" s="10"/>
      <c r="Q89" s="6"/>
      <c r="R89" s="6"/>
      <c r="S89" s="6"/>
      <c r="T89" s="6"/>
      <c r="U89" s="6"/>
      <c r="V89" s="6"/>
      <c r="W89" s="6" t="str">
        <f t="shared" si="9"/>
        <v/>
      </c>
      <c r="X89" s="6" t="str">
        <f t="shared" si="10"/>
        <v/>
      </c>
      <c r="Y89" s="6" t="str">
        <f t="shared" si="11"/>
        <v/>
      </c>
      <c r="Z89" s="6" t="str">
        <f t="shared" si="12"/>
        <v/>
      </c>
      <c r="AA89" s="5" t="str">
        <f t="shared" si="13"/>
        <v/>
      </c>
    </row>
    <row r="90" spans="1:27" ht="14.5" x14ac:dyDescent="0.35">
      <c r="A90" s="5"/>
      <c r="B90" s="6"/>
      <c r="C90" s="6"/>
      <c r="D90" s="7"/>
      <c r="E90" s="6"/>
      <c r="F90" s="5" t="str">
        <f t="shared" si="7"/>
        <v/>
      </c>
      <c r="G90" s="5"/>
      <c r="H90" s="6"/>
      <c r="I90" s="6"/>
      <c r="J90" s="6"/>
      <c r="K90" s="7"/>
      <c r="L90" s="6"/>
      <c r="M90" s="8" t="str">
        <f t="shared" ca="1" si="8"/>
        <v/>
      </c>
      <c r="N90" s="6"/>
      <c r="O90" s="9"/>
      <c r="P90" s="10"/>
      <c r="Q90" s="6"/>
      <c r="R90" s="6"/>
      <c r="S90" s="6"/>
      <c r="T90" s="6"/>
      <c r="U90" s="6"/>
      <c r="V90" s="6"/>
      <c r="W90" s="6" t="str">
        <f t="shared" si="9"/>
        <v/>
      </c>
      <c r="X90" s="6" t="str">
        <f t="shared" si="10"/>
        <v/>
      </c>
      <c r="Y90" s="6" t="str">
        <f t="shared" si="11"/>
        <v/>
      </c>
      <c r="Z90" s="6" t="str">
        <f t="shared" si="12"/>
        <v/>
      </c>
      <c r="AA90" s="5" t="str">
        <f t="shared" si="13"/>
        <v/>
      </c>
    </row>
    <row r="91" spans="1:27" ht="14.5" x14ac:dyDescent="0.35">
      <c r="A91" s="5"/>
      <c r="B91" s="6"/>
      <c r="C91" s="6"/>
      <c r="D91" s="7"/>
      <c r="E91" s="6"/>
      <c r="F91" s="5" t="str">
        <f t="shared" si="7"/>
        <v/>
      </c>
      <c r="G91" s="5"/>
      <c r="H91" s="6"/>
      <c r="I91" s="6"/>
      <c r="J91" s="6"/>
      <c r="K91" s="7"/>
      <c r="L91" s="6"/>
      <c r="M91" s="8" t="str">
        <f t="shared" ca="1" si="8"/>
        <v/>
      </c>
      <c r="N91" s="6"/>
      <c r="O91" s="9"/>
      <c r="P91" s="10"/>
      <c r="Q91" s="6"/>
      <c r="R91" s="6"/>
      <c r="S91" s="6"/>
      <c r="T91" s="6"/>
      <c r="U91" s="6"/>
      <c r="V91" s="6"/>
      <c r="W91" s="6" t="str">
        <f t="shared" si="9"/>
        <v/>
      </c>
      <c r="X91" s="6" t="str">
        <f t="shared" si="10"/>
        <v/>
      </c>
      <c r="Y91" s="6" t="str">
        <f t="shared" si="11"/>
        <v/>
      </c>
      <c r="Z91" s="6" t="str">
        <f t="shared" si="12"/>
        <v/>
      </c>
      <c r="AA91" s="5" t="str">
        <f t="shared" si="13"/>
        <v/>
      </c>
    </row>
    <row r="92" spans="1:27" ht="14.5" x14ac:dyDescent="0.35">
      <c r="A92" s="5"/>
      <c r="B92" s="6"/>
      <c r="C92" s="6"/>
      <c r="D92" s="7"/>
      <c r="E92" s="6"/>
      <c r="F92" s="5" t="str">
        <f t="shared" si="7"/>
        <v/>
      </c>
      <c r="G92" s="5"/>
      <c r="H92" s="6"/>
      <c r="I92" s="6"/>
      <c r="J92" s="6"/>
      <c r="K92" s="7"/>
      <c r="L92" s="6"/>
      <c r="M92" s="8" t="str">
        <f t="shared" ca="1" si="8"/>
        <v/>
      </c>
      <c r="N92" s="6"/>
      <c r="O92" s="9"/>
      <c r="P92" s="10"/>
      <c r="Q92" s="6"/>
      <c r="R92" s="6"/>
      <c r="S92" s="6"/>
      <c r="T92" s="6"/>
      <c r="U92" s="6"/>
      <c r="V92" s="6"/>
      <c r="W92" s="6" t="str">
        <f t="shared" si="9"/>
        <v/>
      </c>
      <c r="X92" s="6" t="str">
        <f t="shared" si="10"/>
        <v/>
      </c>
      <c r="Y92" s="6" t="str">
        <f t="shared" si="11"/>
        <v/>
      </c>
      <c r="Z92" s="6" t="str">
        <f t="shared" si="12"/>
        <v/>
      </c>
      <c r="AA92" s="5" t="str">
        <f t="shared" si="13"/>
        <v/>
      </c>
    </row>
    <row r="93" spans="1:27" ht="14.5" x14ac:dyDescent="0.35">
      <c r="A93" s="5"/>
      <c r="B93" s="6"/>
      <c r="C93" s="6"/>
      <c r="D93" s="7"/>
      <c r="E93" s="6"/>
      <c r="F93" s="5" t="str">
        <f t="shared" si="7"/>
        <v/>
      </c>
      <c r="G93" s="5"/>
      <c r="H93" s="6"/>
      <c r="I93" s="6"/>
      <c r="J93" s="6"/>
      <c r="K93" s="7"/>
      <c r="L93" s="6"/>
      <c r="M93" s="8" t="str">
        <f t="shared" ca="1" si="8"/>
        <v/>
      </c>
      <c r="N93" s="6"/>
      <c r="O93" s="9"/>
      <c r="P93" s="10"/>
      <c r="Q93" s="6"/>
      <c r="R93" s="6"/>
      <c r="S93" s="6"/>
      <c r="T93" s="6"/>
      <c r="U93" s="6"/>
      <c r="V93" s="6"/>
      <c r="W93" s="6" t="str">
        <f t="shared" si="9"/>
        <v/>
      </c>
      <c r="X93" s="6" t="str">
        <f t="shared" si="10"/>
        <v/>
      </c>
      <c r="Y93" s="6" t="str">
        <f t="shared" si="11"/>
        <v/>
      </c>
      <c r="Z93" s="6" t="str">
        <f t="shared" si="12"/>
        <v/>
      </c>
      <c r="AA93" s="5" t="str">
        <f t="shared" si="13"/>
        <v/>
      </c>
    </row>
    <row r="94" spans="1:27" ht="14.5" x14ac:dyDescent="0.35">
      <c r="A94" s="5"/>
      <c r="B94" s="6"/>
      <c r="C94" s="6"/>
      <c r="D94" s="7"/>
      <c r="E94" s="6"/>
      <c r="F94" s="5" t="str">
        <f t="shared" si="7"/>
        <v/>
      </c>
      <c r="G94" s="5"/>
      <c r="H94" s="6"/>
      <c r="I94" s="6"/>
      <c r="J94" s="6"/>
      <c r="K94" s="7"/>
      <c r="L94" s="6"/>
      <c r="M94" s="8" t="str">
        <f t="shared" ca="1" si="8"/>
        <v/>
      </c>
      <c r="N94" s="6"/>
      <c r="O94" s="9"/>
      <c r="P94" s="10"/>
      <c r="Q94" s="6"/>
      <c r="R94" s="6"/>
      <c r="S94" s="6"/>
      <c r="T94" s="6"/>
      <c r="U94" s="6"/>
      <c r="V94" s="6"/>
      <c r="W94" s="6" t="str">
        <f t="shared" si="9"/>
        <v/>
      </c>
      <c r="X94" s="6" t="str">
        <f t="shared" si="10"/>
        <v/>
      </c>
      <c r="Y94" s="6" t="str">
        <f t="shared" si="11"/>
        <v/>
      </c>
      <c r="Z94" s="6" t="str">
        <f t="shared" si="12"/>
        <v/>
      </c>
      <c r="AA94" s="5" t="str">
        <f t="shared" si="13"/>
        <v/>
      </c>
    </row>
    <row r="95" spans="1:27" ht="14.5" x14ac:dyDescent="0.35">
      <c r="A95" s="5"/>
      <c r="B95" s="6"/>
      <c r="C95" s="6"/>
      <c r="D95" s="7"/>
      <c r="E95" s="6"/>
      <c r="F95" s="5" t="str">
        <f t="shared" si="7"/>
        <v/>
      </c>
      <c r="G95" s="5"/>
      <c r="H95" s="6"/>
      <c r="I95" s="6"/>
      <c r="J95" s="6"/>
      <c r="K95" s="7"/>
      <c r="L95" s="6"/>
      <c r="M95" s="8" t="str">
        <f t="shared" ca="1" si="8"/>
        <v/>
      </c>
      <c r="N95" s="6"/>
      <c r="O95" s="9"/>
      <c r="P95" s="10"/>
      <c r="Q95" s="6"/>
      <c r="R95" s="6"/>
      <c r="S95" s="6"/>
      <c r="T95" s="6"/>
      <c r="U95" s="6"/>
      <c r="V95" s="6"/>
      <c r="W95" s="6" t="str">
        <f t="shared" si="9"/>
        <v/>
      </c>
      <c r="X95" s="6" t="str">
        <f t="shared" si="10"/>
        <v/>
      </c>
      <c r="Y95" s="6" t="str">
        <f t="shared" si="11"/>
        <v/>
      </c>
      <c r="Z95" s="6" t="str">
        <f t="shared" si="12"/>
        <v/>
      </c>
      <c r="AA95" s="5" t="str">
        <f t="shared" si="13"/>
        <v/>
      </c>
    </row>
    <row r="96" spans="1:27" ht="14.5" x14ac:dyDescent="0.35">
      <c r="A96" s="5"/>
      <c r="B96" s="6"/>
      <c r="C96" s="6"/>
      <c r="D96" s="7"/>
      <c r="E96" s="6"/>
      <c r="F96" s="5" t="str">
        <f t="shared" si="7"/>
        <v/>
      </c>
      <c r="G96" s="5"/>
      <c r="H96" s="6"/>
      <c r="I96" s="6"/>
      <c r="J96" s="6"/>
      <c r="K96" s="7"/>
      <c r="L96" s="6"/>
      <c r="M96" s="8" t="str">
        <f t="shared" ca="1" si="8"/>
        <v/>
      </c>
      <c r="N96" s="6"/>
      <c r="O96" s="9"/>
      <c r="P96" s="10"/>
      <c r="Q96" s="6"/>
      <c r="R96" s="6"/>
      <c r="S96" s="6"/>
      <c r="T96" s="6"/>
      <c r="U96" s="6"/>
      <c r="V96" s="6"/>
      <c r="W96" s="6" t="str">
        <f t="shared" si="9"/>
        <v/>
      </c>
      <c r="X96" s="6" t="str">
        <f t="shared" si="10"/>
        <v/>
      </c>
      <c r="Y96" s="6" t="str">
        <f t="shared" si="11"/>
        <v/>
      </c>
      <c r="Z96" s="6" t="str">
        <f t="shared" si="12"/>
        <v/>
      </c>
      <c r="AA96" s="5" t="str">
        <f t="shared" si="13"/>
        <v/>
      </c>
    </row>
    <row r="97" spans="1:27" ht="14.5" x14ac:dyDescent="0.35">
      <c r="A97" s="5"/>
      <c r="B97" s="6"/>
      <c r="C97" s="6"/>
      <c r="D97" s="7"/>
      <c r="E97" s="6"/>
      <c r="F97" s="5" t="str">
        <f t="shared" si="7"/>
        <v/>
      </c>
      <c r="G97" s="5"/>
      <c r="H97" s="6"/>
      <c r="I97" s="6"/>
      <c r="J97" s="6"/>
      <c r="K97" s="7"/>
      <c r="L97" s="6"/>
      <c r="M97" s="8" t="str">
        <f t="shared" ca="1" si="8"/>
        <v/>
      </c>
      <c r="N97" s="6"/>
      <c r="O97" s="9"/>
      <c r="P97" s="10"/>
      <c r="Q97" s="6"/>
      <c r="R97" s="6"/>
      <c r="S97" s="6"/>
      <c r="T97" s="6"/>
      <c r="U97" s="6"/>
      <c r="V97" s="6"/>
      <c r="W97" s="6" t="str">
        <f t="shared" si="9"/>
        <v/>
      </c>
      <c r="X97" s="6" t="str">
        <f t="shared" si="10"/>
        <v/>
      </c>
      <c r="Y97" s="6" t="str">
        <f t="shared" si="11"/>
        <v/>
      </c>
      <c r="Z97" s="6" t="str">
        <f t="shared" si="12"/>
        <v/>
      </c>
      <c r="AA97" s="5" t="str">
        <f t="shared" si="13"/>
        <v/>
      </c>
    </row>
    <row r="98" spans="1:27" ht="14.5" x14ac:dyDescent="0.35">
      <c r="A98" s="5"/>
      <c r="B98" s="6"/>
      <c r="C98" s="6"/>
      <c r="D98" s="7"/>
      <c r="E98" s="6"/>
      <c r="F98" s="5" t="str">
        <f t="shared" si="7"/>
        <v/>
      </c>
      <c r="G98" s="5"/>
      <c r="H98" s="6"/>
      <c r="I98" s="6"/>
      <c r="J98" s="6"/>
      <c r="K98" s="7"/>
      <c r="L98" s="6"/>
      <c r="M98" s="8" t="str">
        <f t="shared" ca="1" si="8"/>
        <v/>
      </c>
      <c r="N98" s="6"/>
      <c r="O98" s="9"/>
      <c r="P98" s="10"/>
      <c r="Q98" s="6"/>
      <c r="R98" s="6"/>
      <c r="S98" s="6"/>
      <c r="T98" s="6"/>
      <c r="U98" s="6"/>
      <c r="V98" s="6"/>
      <c r="W98" s="6" t="str">
        <f t="shared" si="9"/>
        <v/>
      </c>
      <c r="X98" s="6" t="str">
        <f t="shared" si="10"/>
        <v/>
      </c>
      <c r="Y98" s="6" t="str">
        <f t="shared" si="11"/>
        <v/>
      </c>
      <c r="Z98" s="6" t="str">
        <f t="shared" si="12"/>
        <v/>
      </c>
      <c r="AA98" s="5" t="str">
        <f t="shared" si="13"/>
        <v/>
      </c>
    </row>
    <row r="99" spans="1:27" ht="14.5" x14ac:dyDescent="0.35">
      <c r="A99" s="5"/>
      <c r="B99" s="6"/>
      <c r="C99" s="6"/>
      <c r="D99" s="7"/>
      <c r="E99" s="6"/>
      <c r="F99" s="5" t="str">
        <f t="shared" si="7"/>
        <v/>
      </c>
      <c r="G99" s="5"/>
      <c r="H99" s="6"/>
      <c r="I99" s="6"/>
      <c r="J99" s="6"/>
      <c r="K99" s="7"/>
      <c r="L99" s="6"/>
      <c r="M99" s="8" t="str">
        <f t="shared" ca="1" si="8"/>
        <v/>
      </c>
      <c r="N99" s="6"/>
      <c r="O99" s="9"/>
      <c r="P99" s="10"/>
      <c r="Q99" s="6"/>
      <c r="R99" s="6"/>
      <c r="S99" s="6"/>
      <c r="T99" s="6"/>
      <c r="U99" s="6"/>
      <c r="V99" s="6"/>
      <c r="W99" s="6" t="str">
        <f t="shared" si="9"/>
        <v/>
      </c>
      <c r="X99" s="6" t="str">
        <f t="shared" si="10"/>
        <v/>
      </c>
      <c r="Y99" s="6" t="str">
        <f t="shared" si="11"/>
        <v/>
      </c>
      <c r="Z99" s="6" t="str">
        <f t="shared" si="12"/>
        <v/>
      </c>
      <c r="AA99" s="5" t="str">
        <f t="shared" si="13"/>
        <v/>
      </c>
    </row>
    <row r="100" spans="1:27" ht="14.5" x14ac:dyDescent="0.35">
      <c r="A100" s="5"/>
      <c r="B100" s="6"/>
      <c r="C100" s="6"/>
      <c r="D100" s="7"/>
      <c r="E100" s="6"/>
      <c r="F100" s="5" t="str">
        <f t="shared" si="7"/>
        <v/>
      </c>
      <c r="G100" s="5"/>
      <c r="H100" s="6"/>
      <c r="I100" s="6"/>
      <c r="J100" s="6"/>
      <c r="K100" s="7"/>
      <c r="L100" s="6"/>
      <c r="M100" s="8" t="str">
        <f t="shared" ca="1" si="8"/>
        <v/>
      </c>
      <c r="N100" s="6"/>
      <c r="O100" s="9"/>
      <c r="P100" s="10"/>
      <c r="Q100" s="6"/>
      <c r="R100" s="6"/>
      <c r="S100" s="6"/>
      <c r="T100" s="6"/>
      <c r="U100" s="6"/>
      <c r="V100" s="6"/>
      <c r="W100" s="6" t="str">
        <f t="shared" si="9"/>
        <v/>
      </c>
      <c r="X100" s="6" t="str">
        <f t="shared" si="10"/>
        <v/>
      </c>
      <c r="Y100" s="6" t="str">
        <f t="shared" si="11"/>
        <v/>
      </c>
      <c r="Z100" s="6" t="str">
        <f t="shared" si="12"/>
        <v/>
      </c>
      <c r="AA100" s="5" t="str">
        <f t="shared" si="13"/>
        <v/>
      </c>
    </row>
    <row r="101" spans="1:27" ht="14.5" x14ac:dyDescent="0.35">
      <c r="A101" s="5"/>
      <c r="B101" s="6"/>
      <c r="C101" s="6"/>
      <c r="D101" s="7"/>
      <c r="E101" s="6"/>
      <c r="F101" s="5" t="str">
        <f t="shared" si="7"/>
        <v/>
      </c>
      <c r="G101" s="5"/>
      <c r="H101" s="6"/>
      <c r="I101" s="6"/>
      <c r="J101" s="6"/>
      <c r="K101" s="7"/>
      <c r="L101" s="6"/>
      <c r="M101" s="8" t="str">
        <f t="shared" ca="1" si="8"/>
        <v/>
      </c>
      <c r="N101" s="6"/>
      <c r="O101" s="9"/>
      <c r="P101" s="10"/>
      <c r="Q101" s="6"/>
      <c r="R101" s="6"/>
      <c r="S101" s="6"/>
      <c r="T101" s="6"/>
      <c r="U101" s="6"/>
      <c r="V101" s="6"/>
      <c r="W101" s="6" t="str">
        <f t="shared" si="9"/>
        <v/>
      </c>
      <c r="X101" s="6" t="str">
        <f t="shared" si="10"/>
        <v/>
      </c>
      <c r="Y101" s="6" t="str">
        <f t="shared" si="11"/>
        <v/>
      </c>
      <c r="Z101" s="6" t="str">
        <f t="shared" si="12"/>
        <v/>
      </c>
      <c r="AA101" s="5" t="str">
        <f t="shared" si="13"/>
        <v/>
      </c>
    </row>
    <row r="102" spans="1:27" ht="14.5" x14ac:dyDescent="0.35">
      <c r="A102" s="5"/>
      <c r="B102" s="6"/>
      <c r="C102" s="6"/>
      <c r="D102" s="7"/>
      <c r="E102" s="6"/>
      <c r="F102" s="5" t="str">
        <f t="shared" si="7"/>
        <v/>
      </c>
      <c r="G102" s="5"/>
      <c r="H102" s="6"/>
      <c r="I102" s="6"/>
      <c r="J102" s="6"/>
      <c r="K102" s="7"/>
      <c r="L102" s="6"/>
      <c r="M102" s="8" t="str">
        <f t="shared" ca="1" si="8"/>
        <v/>
      </c>
      <c r="N102" s="6"/>
      <c r="O102" s="9"/>
      <c r="P102" s="10"/>
      <c r="Q102" s="6"/>
      <c r="R102" s="6"/>
      <c r="S102" s="6"/>
      <c r="T102" s="6"/>
      <c r="U102" s="6"/>
      <c r="V102" s="6"/>
      <c r="W102" s="6" t="str">
        <f t="shared" si="9"/>
        <v/>
      </c>
      <c r="X102" s="6" t="str">
        <f t="shared" si="10"/>
        <v/>
      </c>
      <c r="Y102" s="6" t="str">
        <f t="shared" si="11"/>
        <v/>
      </c>
      <c r="Z102" s="6" t="str">
        <f t="shared" si="12"/>
        <v/>
      </c>
      <c r="AA102" s="5" t="str">
        <f t="shared" si="13"/>
        <v/>
      </c>
    </row>
    <row r="103" spans="1:27" ht="14.5" x14ac:dyDescent="0.35">
      <c r="A103" s="5"/>
      <c r="B103" s="6"/>
      <c r="C103" s="6"/>
      <c r="D103" s="7"/>
      <c r="E103" s="6"/>
      <c r="F103" s="5" t="str">
        <f t="shared" si="7"/>
        <v/>
      </c>
      <c r="G103" s="5"/>
      <c r="H103" s="6"/>
      <c r="I103" s="6"/>
      <c r="J103" s="6"/>
      <c r="K103" s="7"/>
      <c r="L103" s="6"/>
      <c r="M103" s="8" t="str">
        <f t="shared" ca="1" si="8"/>
        <v/>
      </c>
      <c r="N103" s="6"/>
      <c r="O103" s="9"/>
      <c r="P103" s="10"/>
      <c r="Q103" s="6"/>
      <c r="R103" s="6"/>
      <c r="S103" s="6"/>
      <c r="T103" s="6"/>
      <c r="U103" s="6"/>
      <c r="V103" s="6"/>
      <c r="W103" s="6" t="str">
        <f t="shared" si="9"/>
        <v/>
      </c>
      <c r="X103" s="6" t="str">
        <f t="shared" si="10"/>
        <v/>
      </c>
      <c r="Y103" s="6" t="str">
        <f t="shared" si="11"/>
        <v/>
      </c>
      <c r="Z103" s="6" t="str">
        <f t="shared" si="12"/>
        <v/>
      </c>
      <c r="AA103" s="5" t="str">
        <f t="shared" si="13"/>
        <v/>
      </c>
    </row>
    <row r="104" spans="1:27" ht="14.5" x14ac:dyDescent="0.35">
      <c r="A104" s="5"/>
      <c r="B104" s="6"/>
      <c r="C104" s="6"/>
      <c r="D104" s="7"/>
      <c r="E104" s="6"/>
      <c r="F104" s="5" t="str">
        <f t="shared" si="7"/>
        <v/>
      </c>
      <c r="G104" s="5"/>
      <c r="H104" s="6"/>
      <c r="I104" s="6"/>
      <c r="J104" s="6"/>
      <c r="K104" s="7"/>
      <c r="L104" s="6"/>
      <c r="M104" s="8" t="str">
        <f t="shared" ca="1" si="8"/>
        <v/>
      </c>
      <c r="N104" s="6"/>
      <c r="O104" s="9"/>
      <c r="P104" s="10"/>
      <c r="Q104" s="6"/>
      <c r="R104" s="6"/>
      <c r="S104" s="6"/>
      <c r="T104" s="6"/>
      <c r="U104" s="6"/>
      <c r="V104" s="6"/>
      <c r="W104" s="6" t="str">
        <f t="shared" si="9"/>
        <v/>
      </c>
      <c r="X104" s="6" t="str">
        <f t="shared" si="10"/>
        <v/>
      </c>
      <c r="Y104" s="6" t="str">
        <f t="shared" si="11"/>
        <v/>
      </c>
      <c r="Z104" s="6" t="str">
        <f t="shared" si="12"/>
        <v/>
      </c>
      <c r="AA104" s="5" t="str">
        <f t="shared" si="13"/>
        <v/>
      </c>
    </row>
    <row r="105" spans="1:27" ht="14.5" x14ac:dyDescent="0.35">
      <c r="A105" s="5"/>
      <c r="B105" s="6"/>
      <c r="C105" s="6"/>
      <c r="D105" s="7"/>
      <c r="E105" s="6"/>
      <c r="F105" s="5" t="str">
        <f t="shared" si="7"/>
        <v/>
      </c>
      <c r="G105" s="5"/>
      <c r="H105" s="6"/>
      <c r="I105" s="6"/>
      <c r="J105" s="6"/>
      <c r="K105" s="7"/>
      <c r="L105" s="6"/>
      <c r="M105" s="8" t="str">
        <f t="shared" ca="1" si="8"/>
        <v/>
      </c>
      <c r="N105" s="6"/>
      <c r="O105" s="9"/>
      <c r="P105" s="10"/>
      <c r="Q105" s="6"/>
      <c r="R105" s="6"/>
      <c r="S105" s="6"/>
      <c r="T105" s="6"/>
      <c r="U105" s="6"/>
      <c r="V105" s="6"/>
      <c r="W105" s="6" t="str">
        <f t="shared" si="9"/>
        <v/>
      </c>
      <c r="X105" s="6" t="str">
        <f t="shared" si="10"/>
        <v/>
      </c>
      <c r="Y105" s="6" t="str">
        <f t="shared" si="11"/>
        <v/>
      </c>
      <c r="Z105" s="6" t="str">
        <f t="shared" si="12"/>
        <v/>
      </c>
      <c r="AA105" s="5" t="str">
        <f t="shared" si="13"/>
        <v/>
      </c>
    </row>
    <row r="106" spans="1:27" ht="14.5" x14ac:dyDescent="0.35">
      <c r="A106" s="5"/>
      <c r="B106" s="6"/>
      <c r="C106" s="6"/>
      <c r="D106" s="7"/>
      <c r="E106" s="6"/>
      <c r="F106" s="5" t="str">
        <f t="shared" si="7"/>
        <v/>
      </c>
      <c r="G106" s="5"/>
      <c r="H106" s="6"/>
      <c r="I106" s="6"/>
      <c r="J106" s="6"/>
      <c r="K106" s="7"/>
      <c r="L106" s="6"/>
      <c r="M106" s="8" t="str">
        <f t="shared" ca="1" si="8"/>
        <v/>
      </c>
      <c r="N106" s="6"/>
      <c r="O106" s="9"/>
      <c r="P106" s="10"/>
      <c r="Q106" s="6"/>
      <c r="R106" s="6"/>
      <c r="S106" s="6"/>
      <c r="T106" s="6"/>
      <c r="U106" s="6"/>
      <c r="V106" s="6"/>
      <c r="W106" s="6" t="str">
        <f t="shared" si="9"/>
        <v/>
      </c>
      <c r="X106" s="6" t="str">
        <f t="shared" si="10"/>
        <v/>
      </c>
      <c r="Y106" s="6" t="str">
        <f t="shared" si="11"/>
        <v/>
      </c>
      <c r="Z106" s="6" t="str">
        <f t="shared" si="12"/>
        <v/>
      </c>
      <c r="AA106" s="5" t="str">
        <f t="shared" si="13"/>
        <v/>
      </c>
    </row>
    <row r="107" spans="1:27" ht="14.5" x14ac:dyDescent="0.35">
      <c r="A107" s="5"/>
      <c r="B107" s="6"/>
      <c r="C107" s="6"/>
      <c r="D107" s="7"/>
      <c r="E107" s="6"/>
      <c r="F107" s="5" t="str">
        <f t="shared" si="7"/>
        <v/>
      </c>
      <c r="G107" s="5"/>
      <c r="H107" s="6"/>
      <c r="I107" s="6"/>
      <c r="J107" s="6"/>
      <c r="K107" s="7"/>
      <c r="L107" s="6"/>
      <c r="M107" s="8" t="str">
        <f t="shared" ca="1" si="8"/>
        <v/>
      </c>
      <c r="N107" s="6"/>
      <c r="O107" s="9"/>
      <c r="P107" s="10"/>
      <c r="Q107" s="6"/>
      <c r="R107" s="6"/>
      <c r="S107" s="6"/>
      <c r="T107" s="6"/>
      <c r="U107" s="6"/>
      <c r="V107" s="6"/>
      <c r="W107" s="6" t="str">
        <f t="shared" si="9"/>
        <v/>
      </c>
      <c r="X107" s="6" t="str">
        <f t="shared" si="10"/>
        <v/>
      </c>
      <c r="Y107" s="6" t="str">
        <f t="shared" si="11"/>
        <v/>
      </c>
      <c r="Z107" s="6" t="str">
        <f t="shared" si="12"/>
        <v/>
      </c>
      <c r="AA107" s="5" t="str">
        <f t="shared" si="13"/>
        <v/>
      </c>
    </row>
    <row r="108" spans="1:27" ht="14.5" x14ac:dyDescent="0.35">
      <c r="A108" s="5"/>
      <c r="B108" s="6"/>
      <c r="C108" s="6"/>
      <c r="D108" s="7"/>
      <c r="E108" s="6"/>
      <c r="F108" s="5" t="str">
        <f t="shared" si="7"/>
        <v/>
      </c>
      <c r="G108" s="5"/>
      <c r="H108" s="6"/>
      <c r="I108" s="6"/>
      <c r="J108" s="6"/>
      <c r="K108" s="7"/>
      <c r="L108" s="6"/>
      <c r="M108" s="8" t="str">
        <f t="shared" ca="1" si="8"/>
        <v/>
      </c>
      <c r="N108" s="6"/>
      <c r="O108" s="9"/>
      <c r="P108" s="10"/>
      <c r="Q108" s="6"/>
      <c r="R108" s="6"/>
      <c r="S108" s="6"/>
      <c r="T108" s="6"/>
      <c r="U108" s="6"/>
      <c r="V108" s="6"/>
      <c r="W108" s="6" t="str">
        <f t="shared" si="9"/>
        <v/>
      </c>
      <c r="X108" s="6" t="str">
        <f t="shared" si="10"/>
        <v/>
      </c>
      <c r="Y108" s="6" t="str">
        <f t="shared" si="11"/>
        <v/>
      </c>
      <c r="Z108" s="6" t="str">
        <f t="shared" si="12"/>
        <v/>
      </c>
      <c r="AA108" s="5" t="str">
        <f t="shared" si="13"/>
        <v/>
      </c>
    </row>
    <row r="109" spans="1:27" ht="14.5" x14ac:dyDescent="0.35">
      <c r="A109" s="5"/>
      <c r="B109" s="6"/>
      <c r="C109" s="6"/>
      <c r="D109" s="7"/>
      <c r="E109" s="6"/>
      <c r="F109" s="5" t="str">
        <f t="shared" si="7"/>
        <v/>
      </c>
      <c r="G109" s="5"/>
      <c r="H109" s="6"/>
      <c r="I109" s="6"/>
      <c r="J109" s="6"/>
      <c r="K109" s="7"/>
      <c r="L109" s="6"/>
      <c r="M109" s="8" t="str">
        <f t="shared" ca="1" si="8"/>
        <v/>
      </c>
      <c r="N109" s="6"/>
      <c r="O109" s="9"/>
      <c r="P109" s="10"/>
      <c r="Q109" s="6"/>
      <c r="R109" s="6"/>
      <c r="S109" s="6"/>
      <c r="T109" s="6"/>
      <c r="U109" s="6"/>
      <c r="V109" s="6"/>
      <c r="W109" s="6" t="str">
        <f t="shared" si="9"/>
        <v/>
      </c>
      <c r="X109" s="6" t="str">
        <f t="shared" si="10"/>
        <v/>
      </c>
      <c r="Y109" s="6" t="str">
        <f t="shared" si="11"/>
        <v/>
      </c>
      <c r="Z109" s="6" t="str">
        <f t="shared" si="12"/>
        <v/>
      </c>
      <c r="AA109" s="5" t="str">
        <f t="shared" si="13"/>
        <v/>
      </c>
    </row>
    <row r="110" spans="1:27" ht="14.5" x14ac:dyDescent="0.35">
      <c r="A110" s="5"/>
      <c r="B110" s="6"/>
      <c r="C110" s="6"/>
      <c r="D110" s="7"/>
      <c r="E110" s="6"/>
      <c r="F110" s="5" t="str">
        <f t="shared" si="7"/>
        <v/>
      </c>
      <c r="G110" s="5"/>
      <c r="H110" s="6"/>
      <c r="I110" s="6"/>
      <c r="J110" s="6"/>
      <c r="K110" s="7"/>
      <c r="L110" s="6"/>
      <c r="M110" s="8" t="str">
        <f t="shared" ca="1" si="8"/>
        <v/>
      </c>
      <c r="N110" s="6"/>
      <c r="O110" s="9"/>
      <c r="P110" s="10"/>
      <c r="Q110" s="6"/>
      <c r="R110" s="6"/>
      <c r="S110" s="6"/>
      <c r="T110" s="6"/>
      <c r="U110" s="6"/>
      <c r="V110" s="6"/>
      <c r="W110" s="6" t="str">
        <f t="shared" si="9"/>
        <v/>
      </c>
      <c r="X110" s="6" t="str">
        <f t="shared" si="10"/>
        <v/>
      </c>
      <c r="Y110" s="6" t="str">
        <f t="shared" si="11"/>
        <v/>
      </c>
      <c r="Z110" s="6" t="str">
        <f t="shared" si="12"/>
        <v/>
      </c>
      <c r="AA110" s="5" t="str">
        <f t="shared" si="13"/>
        <v/>
      </c>
    </row>
    <row r="111" spans="1:27" ht="14.5" x14ac:dyDescent="0.35">
      <c r="A111" s="5"/>
      <c r="B111" s="6"/>
      <c r="C111" s="6"/>
      <c r="D111" s="7"/>
      <c r="E111" s="6"/>
      <c r="F111" s="5" t="str">
        <f t="shared" si="7"/>
        <v/>
      </c>
      <c r="G111" s="5"/>
      <c r="H111" s="6"/>
      <c r="I111" s="6"/>
      <c r="J111" s="6"/>
      <c r="K111" s="7"/>
      <c r="L111" s="6"/>
      <c r="M111" s="8" t="str">
        <f t="shared" ca="1" si="8"/>
        <v/>
      </c>
      <c r="N111" s="6"/>
      <c r="O111" s="9"/>
      <c r="P111" s="10"/>
      <c r="Q111" s="6"/>
      <c r="R111" s="6"/>
      <c r="S111" s="6"/>
      <c r="T111" s="6"/>
      <c r="U111" s="6"/>
      <c r="V111" s="6"/>
      <c r="W111" s="6" t="str">
        <f t="shared" si="9"/>
        <v/>
      </c>
      <c r="X111" s="6" t="str">
        <f t="shared" si="10"/>
        <v/>
      </c>
      <c r="Y111" s="6" t="str">
        <f t="shared" si="11"/>
        <v/>
      </c>
      <c r="Z111" s="6" t="str">
        <f t="shared" si="12"/>
        <v/>
      </c>
      <c r="AA111" s="5" t="str">
        <f t="shared" si="13"/>
        <v/>
      </c>
    </row>
    <row r="112" spans="1:27" ht="14.5" x14ac:dyDescent="0.35">
      <c r="A112" s="5"/>
      <c r="B112" s="6"/>
      <c r="C112" s="6"/>
      <c r="D112" s="7"/>
      <c r="E112" s="6"/>
      <c r="F112" s="5" t="str">
        <f t="shared" si="7"/>
        <v/>
      </c>
      <c r="G112" s="5"/>
      <c r="H112" s="6"/>
      <c r="I112" s="6"/>
      <c r="J112" s="6"/>
      <c r="K112" s="7"/>
      <c r="L112" s="6"/>
      <c r="M112" s="8" t="str">
        <f t="shared" ca="1" si="8"/>
        <v/>
      </c>
      <c r="N112" s="6"/>
      <c r="O112" s="9"/>
      <c r="P112" s="10"/>
      <c r="Q112" s="6"/>
      <c r="R112" s="6"/>
      <c r="S112" s="6"/>
      <c r="T112" s="6"/>
      <c r="U112" s="6"/>
      <c r="V112" s="6"/>
      <c r="W112" s="6" t="str">
        <f t="shared" si="9"/>
        <v/>
      </c>
      <c r="X112" s="6" t="str">
        <f t="shared" si="10"/>
        <v/>
      </c>
      <c r="Y112" s="6" t="str">
        <f t="shared" si="11"/>
        <v/>
      </c>
      <c r="Z112" s="6" t="str">
        <f t="shared" si="12"/>
        <v/>
      </c>
      <c r="AA112" s="5" t="str">
        <f t="shared" si="13"/>
        <v/>
      </c>
    </row>
    <row r="113" spans="1:27" ht="14.5" x14ac:dyDescent="0.35">
      <c r="A113" s="5"/>
      <c r="B113" s="6"/>
      <c r="C113" s="6"/>
      <c r="D113" s="7"/>
      <c r="E113" s="6"/>
      <c r="F113" s="5" t="str">
        <f t="shared" si="7"/>
        <v/>
      </c>
      <c r="G113" s="5"/>
      <c r="H113" s="6"/>
      <c r="I113" s="6"/>
      <c r="J113" s="6"/>
      <c r="K113" s="7"/>
      <c r="L113" s="6"/>
      <c r="M113" s="8" t="str">
        <f t="shared" ca="1" si="8"/>
        <v/>
      </c>
      <c r="N113" s="6"/>
      <c r="O113" s="9"/>
      <c r="P113" s="10"/>
      <c r="Q113" s="6"/>
      <c r="R113" s="6"/>
      <c r="S113" s="6"/>
      <c r="T113" s="6"/>
      <c r="U113" s="6"/>
      <c r="V113" s="6"/>
      <c r="W113" s="6" t="str">
        <f t="shared" si="9"/>
        <v/>
      </c>
      <c r="X113" s="6" t="str">
        <f t="shared" si="10"/>
        <v/>
      </c>
      <c r="Y113" s="6" t="str">
        <f t="shared" si="11"/>
        <v/>
      </c>
      <c r="Z113" s="6" t="str">
        <f t="shared" si="12"/>
        <v/>
      </c>
      <c r="AA113" s="5" t="str">
        <f t="shared" si="13"/>
        <v/>
      </c>
    </row>
    <row r="114" spans="1:27" ht="14.5" x14ac:dyDescent="0.35">
      <c r="A114" s="5"/>
      <c r="B114" s="6"/>
      <c r="C114" s="6"/>
      <c r="D114" s="7"/>
      <c r="E114" s="6"/>
      <c r="F114" s="5" t="str">
        <f t="shared" si="7"/>
        <v/>
      </c>
      <c r="G114" s="5"/>
      <c r="H114" s="6"/>
      <c r="I114" s="6"/>
      <c r="J114" s="6"/>
      <c r="K114" s="7"/>
      <c r="L114" s="6"/>
      <c r="M114" s="8" t="str">
        <f t="shared" ca="1" si="8"/>
        <v/>
      </c>
      <c r="N114" s="6"/>
      <c r="O114" s="9"/>
      <c r="P114" s="10"/>
      <c r="Q114" s="6"/>
      <c r="R114" s="6"/>
      <c r="S114" s="6"/>
      <c r="T114" s="6"/>
      <c r="U114" s="6"/>
      <c r="V114" s="6"/>
      <c r="W114" s="6" t="str">
        <f t="shared" si="9"/>
        <v/>
      </c>
      <c r="X114" s="6" t="str">
        <f t="shared" si="10"/>
        <v/>
      </c>
      <c r="Y114" s="6" t="str">
        <f t="shared" si="11"/>
        <v/>
      </c>
      <c r="Z114" s="6" t="str">
        <f t="shared" si="12"/>
        <v/>
      </c>
      <c r="AA114" s="5" t="str">
        <f t="shared" si="13"/>
        <v/>
      </c>
    </row>
    <row r="115" spans="1:27" ht="14.5" x14ac:dyDescent="0.35">
      <c r="A115" s="5"/>
      <c r="B115" s="6"/>
      <c r="C115" s="6"/>
      <c r="D115" s="7"/>
      <c r="E115" s="6"/>
      <c r="F115" s="5" t="str">
        <f t="shared" si="7"/>
        <v/>
      </c>
      <c r="G115" s="5"/>
      <c r="H115" s="6"/>
      <c r="I115" s="6"/>
      <c r="J115" s="6"/>
      <c r="K115" s="7"/>
      <c r="L115" s="6"/>
      <c r="M115" s="8" t="str">
        <f t="shared" ca="1" si="8"/>
        <v/>
      </c>
      <c r="N115" s="6"/>
      <c r="O115" s="9"/>
      <c r="P115" s="10"/>
      <c r="Q115" s="6"/>
      <c r="R115" s="6"/>
      <c r="S115" s="6"/>
      <c r="T115" s="6"/>
      <c r="U115" s="6"/>
      <c r="V115" s="6"/>
      <c r="W115" s="6" t="str">
        <f t="shared" si="9"/>
        <v/>
      </c>
      <c r="X115" s="6" t="str">
        <f t="shared" si="10"/>
        <v/>
      </c>
      <c r="Y115" s="6" t="str">
        <f t="shared" si="11"/>
        <v/>
      </c>
      <c r="Z115" s="6" t="str">
        <f t="shared" si="12"/>
        <v/>
      </c>
      <c r="AA115" s="5" t="str">
        <f t="shared" si="13"/>
        <v/>
      </c>
    </row>
    <row r="116" spans="1:27" ht="14.5" x14ac:dyDescent="0.35">
      <c r="A116" s="5"/>
      <c r="B116" s="6"/>
      <c r="C116" s="6"/>
      <c r="D116" s="7"/>
      <c r="E116" s="6"/>
      <c r="F116" s="5" t="str">
        <f t="shared" si="7"/>
        <v/>
      </c>
      <c r="G116" s="5"/>
      <c r="H116" s="6"/>
      <c r="I116" s="6"/>
      <c r="J116" s="6"/>
      <c r="K116" s="7"/>
      <c r="L116" s="6"/>
      <c r="M116" s="8" t="str">
        <f t="shared" ca="1" si="8"/>
        <v/>
      </c>
      <c r="N116" s="6"/>
      <c r="O116" s="9"/>
      <c r="P116" s="10"/>
      <c r="Q116" s="6"/>
      <c r="R116" s="6"/>
      <c r="S116" s="6"/>
      <c r="T116" s="6"/>
      <c r="U116" s="6"/>
      <c r="V116" s="6"/>
      <c r="W116" s="6" t="str">
        <f t="shared" si="9"/>
        <v/>
      </c>
      <c r="X116" s="6" t="str">
        <f t="shared" si="10"/>
        <v/>
      </c>
      <c r="Y116" s="6" t="str">
        <f t="shared" si="11"/>
        <v/>
      </c>
      <c r="Z116" s="6" t="str">
        <f t="shared" si="12"/>
        <v/>
      </c>
      <c r="AA116" s="5" t="str">
        <f t="shared" si="13"/>
        <v/>
      </c>
    </row>
    <row r="117" spans="1:27" ht="14.5" x14ac:dyDescent="0.35">
      <c r="A117" s="5"/>
      <c r="B117" s="6"/>
      <c r="C117" s="6"/>
      <c r="D117" s="7"/>
      <c r="E117" s="6"/>
      <c r="F117" s="5" t="str">
        <f t="shared" si="7"/>
        <v/>
      </c>
      <c r="G117" s="5"/>
      <c r="H117" s="6"/>
      <c r="I117" s="6"/>
      <c r="J117" s="6"/>
      <c r="K117" s="7"/>
      <c r="L117" s="6"/>
      <c r="M117" s="8" t="str">
        <f t="shared" ca="1" si="8"/>
        <v/>
      </c>
      <c r="N117" s="6"/>
      <c r="O117" s="9"/>
      <c r="P117" s="10"/>
      <c r="Q117" s="6"/>
      <c r="R117" s="6"/>
      <c r="S117" s="6"/>
      <c r="T117" s="6"/>
      <c r="U117" s="6"/>
      <c r="V117" s="6"/>
      <c r="W117" s="6" t="str">
        <f t="shared" si="9"/>
        <v/>
      </c>
      <c r="X117" s="6" t="str">
        <f t="shared" si="10"/>
        <v/>
      </c>
      <c r="Y117" s="6" t="str">
        <f t="shared" si="11"/>
        <v/>
      </c>
      <c r="Z117" s="6" t="str">
        <f t="shared" si="12"/>
        <v/>
      </c>
      <c r="AA117" s="5" t="str">
        <f t="shared" si="13"/>
        <v/>
      </c>
    </row>
    <row r="118" spans="1:27" ht="14.5" x14ac:dyDescent="0.35">
      <c r="A118" s="5"/>
      <c r="B118" s="6"/>
      <c r="C118" s="6"/>
      <c r="D118" s="7"/>
      <c r="E118" s="6"/>
      <c r="F118" s="5" t="str">
        <f t="shared" si="7"/>
        <v/>
      </c>
      <c r="G118" s="5"/>
      <c r="H118" s="6"/>
      <c r="I118" s="6"/>
      <c r="J118" s="6"/>
      <c r="K118" s="7"/>
      <c r="L118" s="6"/>
      <c r="M118" s="8" t="str">
        <f t="shared" ca="1" si="8"/>
        <v/>
      </c>
      <c r="N118" s="6"/>
      <c r="O118" s="9"/>
      <c r="P118" s="10"/>
      <c r="Q118" s="6"/>
      <c r="R118" s="6"/>
      <c r="S118" s="6"/>
      <c r="T118" s="6"/>
      <c r="U118" s="6"/>
      <c r="V118" s="6"/>
      <c r="W118" s="6" t="str">
        <f t="shared" si="9"/>
        <v/>
      </c>
      <c r="X118" s="6" t="str">
        <f t="shared" si="10"/>
        <v/>
      </c>
      <c r="Y118" s="6" t="str">
        <f t="shared" si="11"/>
        <v/>
      </c>
      <c r="Z118" s="6" t="str">
        <f t="shared" si="12"/>
        <v/>
      </c>
      <c r="AA118" s="5" t="str">
        <f t="shared" si="13"/>
        <v/>
      </c>
    </row>
    <row r="119" spans="1:27" ht="14.5" x14ac:dyDescent="0.35">
      <c r="A119" s="5"/>
      <c r="B119" s="6"/>
      <c r="C119" s="6"/>
      <c r="D119" s="7"/>
      <c r="E119" s="6"/>
      <c r="F119" s="5" t="str">
        <f t="shared" si="7"/>
        <v/>
      </c>
      <c r="G119" s="5"/>
      <c r="H119" s="6"/>
      <c r="I119" s="6"/>
      <c r="J119" s="6"/>
      <c r="K119" s="7"/>
      <c r="L119" s="6"/>
      <c r="M119" s="8" t="str">
        <f t="shared" ca="1" si="8"/>
        <v/>
      </c>
      <c r="N119" s="6"/>
      <c r="O119" s="9"/>
      <c r="P119" s="10"/>
      <c r="Q119" s="6"/>
      <c r="R119" s="6"/>
      <c r="S119" s="6"/>
      <c r="T119" s="6"/>
      <c r="U119" s="6"/>
      <c r="V119" s="6"/>
      <c r="W119" s="6" t="str">
        <f t="shared" si="9"/>
        <v/>
      </c>
      <c r="X119" s="6" t="str">
        <f t="shared" si="10"/>
        <v/>
      </c>
      <c r="Y119" s="6" t="str">
        <f t="shared" si="11"/>
        <v/>
      </c>
      <c r="Z119" s="6" t="str">
        <f t="shared" si="12"/>
        <v/>
      </c>
      <c r="AA119" s="5" t="str">
        <f t="shared" si="13"/>
        <v/>
      </c>
    </row>
    <row r="120" spans="1:27" ht="14.5" x14ac:dyDescent="0.35">
      <c r="A120" s="5"/>
      <c r="B120" s="6"/>
      <c r="C120" s="6"/>
      <c r="D120" s="7"/>
      <c r="E120" s="6"/>
      <c r="F120" s="5" t="str">
        <f t="shared" si="7"/>
        <v/>
      </c>
      <c r="G120" s="5"/>
      <c r="H120" s="6"/>
      <c r="I120" s="6"/>
      <c r="J120" s="6"/>
      <c r="K120" s="7"/>
      <c r="L120" s="6"/>
      <c r="M120" s="8" t="str">
        <f t="shared" ca="1" si="8"/>
        <v/>
      </c>
      <c r="N120" s="6"/>
      <c r="O120" s="9"/>
      <c r="P120" s="10"/>
      <c r="Q120" s="6"/>
      <c r="R120" s="6"/>
      <c r="S120" s="6"/>
      <c r="T120" s="6"/>
      <c r="U120" s="6"/>
      <c r="V120" s="6"/>
      <c r="W120" s="6" t="str">
        <f t="shared" si="9"/>
        <v/>
      </c>
      <c r="X120" s="6" t="str">
        <f t="shared" si="10"/>
        <v/>
      </c>
      <c r="Y120" s="6" t="str">
        <f t="shared" si="11"/>
        <v/>
      </c>
      <c r="Z120" s="6" t="str">
        <f t="shared" si="12"/>
        <v/>
      </c>
      <c r="AA120" s="5" t="str">
        <f t="shared" si="13"/>
        <v/>
      </c>
    </row>
    <row r="121" spans="1:27" ht="14.5" x14ac:dyDescent="0.35">
      <c r="A121" s="5"/>
      <c r="B121" s="6"/>
      <c r="C121" s="6"/>
      <c r="D121" s="7"/>
      <c r="E121" s="6"/>
      <c r="F121" s="5" t="str">
        <f t="shared" si="7"/>
        <v/>
      </c>
      <c r="G121" s="5"/>
      <c r="H121" s="6"/>
      <c r="I121" s="6"/>
      <c r="J121" s="6"/>
      <c r="K121" s="7"/>
      <c r="L121" s="6"/>
      <c r="M121" s="8" t="str">
        <f t="shared" ca="1" si="8"/>
        <v/>
      </c>
      <c r="N121" s="6"/>
      <c r="O121" s="9"/>
      <c r="P121" s="10"/>
      <c r="Q121" s="6"/>
      <c r="R121" s="6"/>
      <c r="S121" s="6"/>
      <c r="T121" s="6"/>
      <c r="U121" s="6"/>
      <c r="V121" s="6"/>
      <c r="W121" s="6" t="str">
        <f t="shared" si="9"/>
        <v/>
      </c>
      <c r="X121" s="6" t="str">
        <f t="shared" si="10"/>
        <v/>
      </c>
      <c r="Y121" s="6" t="str">
        <f t="shared" si="11"/>
        <v/>
      </c>
      <c r="Z121" s="6" t="str">
        <f t="shared" si="12"/>
        <v/>
      </c>
      <c r="AA121" s="5" t="str">
        <f t="shared" si="13"/>
        <v/>
      </c>
    </row>
    <row r="122" spans="1:27" ht="14.5" x14ac:dyDescent="0.35">
      <c r="A122" s="5"/>
      <c r="B122" s="6"/>
      <c r="C122" s="6"/>
      <c r="D122" s="7"/>
      <c r="E122" s="6"/>
      <c r="F122" s="5" t="str">
        <f t="shared" si="7"/>
        <v/>
      </c>
      <c r="G122" s="5"/>
      <c r="H122" s="6"/>
      <c r="I122" s="6"/>
      <c r="J122" s="6"/>
      <c r="K122" s="7"/>
      <c r="L122" s="6"/>
      <c r="M122" s="8" t="str">
        <f t="shared" ca="1" si="8"/>
        <v/>
      </c>
      <c r="N122" s="6"/>
      <c r="O122" s="9"/>
      <c r="P122" s="10"/>
      <c r="Q122" s="6"/>
      <c r="R122" s="6"/>
      <c r="S122" s="6"/>
      <c r="T122" s="6"/>
      <c r="U122" s="6"/>
      <c r="V122" s="6"/>
      <c r="W122" s="6" t="str">
        <f t="shared" si="9"/>
        <v/>
      </c>
      <c r="X122" s="6" t="str">
        <f t="shared" si="10"/>
        <v/>
      </c>
      <c r="Y122" s="6" t="str">
        <f t="shared" si="11"/>
        <v/>
      </c>
      <c r="Z122" s="6" t="str">
        <f t="shared" si="12"/>
        <v/>
      </c>
      <c r="AA122" s="5" t="str">
        <f t="shared" si="13"/>
        <v/>
      </c>
    </row>
    <row r="123" spans="1:27" ht="14.5" x14ac:dyDescent="0.35">
      <c r="A123" s="5"/>
      <c r="B123" s="6"/>
      <c r="C123" s="6"/>
      <c r="D123" s="7"/>
      <c r="E123" s="6"/>
      <c r="F123" s="5" t="str">
        <f t="shared" si="7"/>
        <v/>
      </c>
      <c r="G123" s="5"/>
      <c r="H123" s="6"/>
      <c r="I123" s="6"/>
      <c r="J123" s="6"/>
      <c r="K123" s="7"/>
      <c r="L123" s="6"/>
      <c r="M123" s="8" t="str">
        <f t="shared" ca="1" si="8"/>
        <v/>
      </c>
      <c r="N123" s="6"/>
      <c r="O123" s="9"/>
      <c r="P123" s="10"/>
      <c r="Q123" s="6"/>
      <c r="R123" s="6"/>
      <c r="S123" s="6"/>
      <c r="T123" s="6"/>
      <c r="U123" s="6"/>
      <c r="V123" s="6"/>
      <c r="W123" s="6" t="str">
        <f t="shared" si="9"/>
        <v/>
      </c>
      <c r="X123" s="6" t="str">
        <f t="shared" si="10"/>
        <v/>
      </c>
      <c r="Y123" s="6" t="str">
        <f t="shared" si="11"/>
        <v/>
      </c>
      <c r="Z123" s="6" t="str">
        <f t="shared" si="12"/>
        <v/>
      </c>
      <c r="AA123" s="5" t="str">
        <f t="shared" si="13"/>
        <v/>
      </c>
    </row>
    <row r="124" spans="1:27" ht="14.5" x14ac:dyDescent="0.35">
      <c r="A124" s="5"/>
      <c r="B124" s="6"/>
      <c r="C124" s="6"/>
      <c r="D124" s="7"/>
      <c r="E124" s="6"/>
      <c r="F124" s="5" t="str">
        <f t="shared" si="7"/>
        <v/>
      </c>
      <c r="G124" s="5"/>
      <c r="H124" s="6"/>
      <c r="I124" s="6"/>
      <c r="J124" s="6"/>
      <c r="K124" s="7"/>
      <c r="L124" s="6"/>
      <c r="M124" s="8" t="str">
        <f t="shared" ca="1" si="8"/>
        <v/>
      </c>
      <c r="N124" s="6"/>
      <c r="O124" s="9"/>
      <c r="P124" s="10"/>
      <c r="Q124" s="6"/>
      <c r="R124" s="6"/>
      <c r="S124" s="6"/>
      <c r="T124" s="6"/>
      <c r="U124" s="6"/>
      <c r="V124" s="6"/>
      <c r="W124" s="6" t="str">
        <f t="shared" si="9"/>
        <v/>
      </c>
      <c r="X124" s="6" t="str">
        <f t="shared" si="10"/>
        <v/>
      </c>
      <c r="Y124" s="6" t="str">
        <f t="shared" si="11"/>
        <v/>
      </c>
      <c r="Z124" s="6" t="str">
        <f t="shared" si="12"/>
        <v/>
      </c>
      <c r="AA124" s="5" t="str">
        <f t="shared" si="13"/>
        <v/>
      </c>
    </row>
    <row r="125" spans="1:27" ht="14.5" x14ac:dyDescent="0.35">
      <c r="A125" s="5"/>
      <c r="B125" s="6"/>
      <c r="C125" s="6"/>
      <c r="D125" s="7"/>
      <c r="E125" s="6"/>
      <c r="F125" s="5" t="str">
        <f t="shared" si="7"/>
        <v/>
      </c>
      <c r="G125" s="5"/>
      <c r="H125" s="6"/>
      <c r="I125" s="6"/>
      <c r="J125" s="6"/>
      <c r="K125" s="7"/>
      <c r="L125" s="6"/>
      <c r="M125" s="8" t="str">
        <f t="shared" ca="1" si="8"/>
        <v/>
      </c>
      <c r="N125" s="6"/>
      <c r="O125" s="9"/>
      <c r="P125" s="10"/>
      <c r="Q125" s="6"/>
      <c r="R125" s="6"/>
      <c r="S125" s="6"/>
      <c r="T125" s="6"/>
      <c r="U125" s="6"/>
      <c r="V125" s="6"/>
      <c r="W125" s="6" t="str">
        <f t="shared" si="9"/>
        <v/>
      </c>
      <c r="X125" s="6" t="str">
        <f t="shared" si="10"/>
        <v/>
      </c>
      <c r="Y125" s="6" t="str">
        <f t="shared" si="11"/>
        <v/>
      </c>
      <c r="Z125" s="6" t="str">
        <f t="shared" si="12"/>
        <v/>
      </c>
      <c r="AA125" s="5" t="str">
        <f t="shared" si="13"/>
        <v/>
      </c>
    </row>
    <row r="126" spans="1:27" ht="14.5" x14ac:dyDescent="0.35">
      <c r="A126" s="5"/>
      <c r="B126" s="6"/>
      <c r="C126" s="6"/>
      <c r="D126" s="7"/>
      <c r="E126" s="6"/>
      <c r="F126" s="5" t="str">
        <f t="shared" si="7"/>
        <v/>
      </c>
      <c r="G126" s="5"/>
      <c r="H126" s="6"/>
      <c r="I126" s="6"/>
      <c r="J126" s="6"/>
      <c r="K126" s="7"/>
      <c r="L126" s="6"/>
      <c r="M126" s="8" t="str">
        <f t="shared" ca="1" si="8"/>
        <v/>
      </c>
      <c r="N126" s="6"/>
      <c r="O126" s="9"/>
      <c r="P126" s="10"/>
      <c r="Q126" s="6"/>
      <c r="R126" s="6"/>
      <c r="S126" s="6"/>
      <c r="T126" s="6"/>
      <c r="U126" s="6"/>
      <c r="V126" s="6"/>
      <c r="W126" s="6" t="str">
        <f t="shared" si="9"/>
        <v/>
      </c>
      <c r="X126" s="6" t="str">
        <f t="shared" si="10"/>
        <v/>
      </c>
      <c r="Y126" s="6" t="str">
        <f t="shared" si="11"/>
        <v/>
      </c>
      <c r="Z126" s="6" t="str">
        <f t="shared" si="12"/>
        <v/>
      </c>
      <c r="AA126" s="5" t="str">
        <f t="shared" si="13"/>
        <v/>
      </c>
    </row>
    <row r="127" spans="1:27" ht="14.5" x14ac:dyDescent="0.35">
      <c r="A127" s="5"/>
      <c r="B127" s="6"/>
      <c r="C127" s="6"/>
      <c r="D127" s="7"/>
      <c r="E127" s="6"/>
      <c r="F127" s="5" t="str">
        <f t="shared" si="7"/>
        <v/>
      </c>
      <c r="G127" s="5"/>
      <c r="H127" s="6"/>
      <c r="I127" s="6"/>
      <c r="J127" s="6"/>
      <c r="K127" s="7"/>
      <c r="L127" s="6"/>
      <c r="M127" s="8" t="str">
        <f t="shared" ca="1" si="8"/>
        <v/>
      </c>
      <c r="N127" s="6"/>
      <c r="O127" s="9"/>
      <c r="P127" s="10"/>
      <c r="Q127" s="6"/>
      <c r="R127" s="6"/>
      <c r="S127" s="6"/>
      <c r="T127" s="6"/>
      <c r="U127" s="6"/>
      <c r="V127" s="6"/>
      <c r="W127" s="6" t="str">
        <f t="shared" si="9"/>
        <v/>
      </c>
      <c r="X127" s="6" t="str">
        <f t="shared" si="10"/>
        <v/>
      </c>
      <c r="Y127" s="6" t="str">
        <f t="shared" si="11"/>
        <v/>
      </c>
      <c r="Z127" s="6" t="str">
        <f t="shared" si="12"/>
        <v/>
      </c>
      <c r="AA127" s="5" t="str">
        <f t="shared" si="13"/>
        <v/>
      </c>
    </row>
    <row r="128" spans="1:27" ht="14.5" x14ac:dyDescent="0.35">
      <c r="A128" s="5"/>
      <c r="B128" s="6"/>
      <c r="C128" s="6"/>
      <c r="D128" s="7"/>
      <c r="E128" s="6"/>
      <c r="F128" s="5" t="str">
        <f t="shared" si="7"/>
        <v/>
      </c>
      <c r="G128" s="5"/>
      <c r="H128" s="6"/>
      <c r="I128" s="6"/>
      <c r="J128" s="6"/>
      <c r="K128" s="7"/>
      <c r="L128" s="6"/>
      <c r="M128" s="8" t="str">
        <f t="shared" ca="1" si="8"/>
        <v/>
      </c>
      <c r="N128" s="6"/>
      <c r="O128" s="9"/>
      <c r="P128" s="10"/>
      <c r="Q128" s="6"/>
      <c r="R128" s="6"/>
      <c r="S128" s="6"/>
      <c r="T128" s="6"/>
      <c r="U128" s="6"/>
      <c r="V128" s="6"/>
      <c r="W128" s="6" t="str">
        <f t="shared" si="9"/>
        <v/>
      </c>
      <c r="X128" s="6" t="str">
        <f t="shared" si="10"/>
        <v/>
      </c>
      <c r="Y128" s="6" t="str">
        <f t="shared" si="11"/>
        <v/>
      </c>
      <c r="Z128" s="6" t="str">
        <f t="shared" si="12"/>
        <v/>
      </c>
      <c r="AA128" s="5" t="str">
        <f t="shared" si="13"/>
        <v/>
      </c>
    </row>
    <row r="129" spans="1:27" ht="14.5" x14ac:dyDescent="0.35">
      <c r="A129" s="5"/>
      <c r="B129" s="6"/>
      <c r="C129" s="6"/>
      <c r="D129" s="7"/>
      <c r="E129" s="6"/>
      <c r="F129" s="5" t="str">
        <f t="shared" si="7"/>
        <v/>
      </c>
      <c r="G129" s="5"/>
      <c r="H129" s="6"/>
      <c r="I129" s="6"/>
      <c r="J129" s="6"/>
      <c r="K129" s="7"/>
      <c r="L129" s="6"/>
      <c r="M129" s="8" t="str">
        <f t="shared" ca="1" si="8"/>
        <v/>
      </c>
      <c r="N129" s="6"/>
      <c r="O129" s="9"/>
      <c r="P129" s="10"/>
      <c r="Q129" s="6"/>
      <c r="R129" s="6"/>
      <c r="S129" s="6"/>
      <c r="T129" s="6"/>
      <c r="U129" s="6"/>
      <c r="V129" s="6"/>
      <c r="W129" s="6" t="str">
        <f t="shared" si="9"/>
        <v/>
      </c>
      <c r="X129" s="6" t="str">
        <f t="shared" si="10"/>
        <v/>
      </c>
      <c r="Y129" s="6" t="str">
        <f t="shared" si="11"/>
        <v/>
      </c>
      <c r="Z129" s="6" t="str">
        <f t="shared" si="12"/>
        <v/>
      </c>
      <c r="AA129" s="5" t="str">
        <f t="shared" si="13"/>
        <v/>
      </c>
    </row>
    <row r="130" spans="1:27" ht="14.5" x14ac:dyDescent="0.35">
      <c r="A130" s="5"/>
      <c r="B130" s="6"/>
      <c r="C130" s="6"/>
      <c r="D130" s="7"/>
      <c r="E130" s="6"/>
      <c r="F130" s="5" t="str">
        <f t="shared" ref="F130:F193" si="14">IF(COUNTIF($A$2:$A$501,A130&amp;".*")=0,"",COUNTIF($A$2:$A$501,A130&amp;".*"))</f>
        <v/>
      </c>
      <c r="G130" s="5"/>
      <c r="H130" s="6"/>
      <c r="I130" s="6"/>
      <c r="J130" s="6"/>
      <c r="K130" s="7"/>
      <c r="L130" s="6"/>
      <c r="M130" s="8" t="str">
        <f t="shared" ref="M130:M193" ca="1" si="15">IF(K130="","",INT(K130)-TODAY())</f>
        <v/>
      </c>
      <c r="N130" s="6"/>
      <c r="O130" s="9"/>
      <c r="P130" s="10"/>
      <c r="Q130" s="6"/>
      <c r="R130" s="6"/>
      <c r="S130" s="6"/>
      <c r="T130" s="6"/>
      <c r="U130" s="6"/>
      <c r="V130" s="6"/>
      <c r="W130" s="6" t="str">
        <f t="shared" ref="W130:W193" si="16">IF(K130="","",K130+Q130/1000000)</f>
        <v/>
      </c>
      <c r="X130" s="6" t="str">
        <f t="shared" ref="X130:X193" si="17">IF(V130="","",IF(K130="",9999999+Q130/1000000,K130+Q130/1000000))</f>
        <v/>
      </c>
      <c r="Y130" s="6" t="str">
        <f t="shared" ref="Y130:Y193" si="18">IF(V130="","",SUMPRODUCT(($V$2:$V$501=V130)*($X$2:$X$501&lt;=X130)))</f>
        <v/>
      </c>
      <c r="Z130" s="6" t="str">
        <f t="shared" ref="Z130:Z193" si="19">IF(V130="","",V130&amp;"|"&amp;Y130)</f>
        <v/>
      </c>
      <c r="AA130" s="5" t="str">
        <f t="shared" ref="AA130:AA193" si="20">IF(O130="","",TEXT(INT(ROUND(O130*60,0)/60),"0")&amp;"h "&amp;TEXT(MOD(ROUND(O130*60,0),60),"00")&amp;"m")</f>
        <v/>
      </c>
    </row>
    <row r="131" spans="1:27" ht="14.5" x14ac:dyDescent="0.35">
      <c r="A131" s="5"/>
      <c r="B131" s="6"/>
      <c r="C131" s="6"/>
      <c r="D131" s="7"/>
      <c r="E131" s="6"/>
      <c r="F131" s="5" t="str">
        <f t="shared" si="14"/>
        <v/>
      </c>
      <c r="G131" s="5"/>
      <c r="H131" s="6"/>
      <c r="I131" s="6"/>
      <c r="J131" s="6"/>
      <c r="K131" s="7"/>
      <c r="L131" s="6"/>
      <c r="M131" s="8" t="str">
        <f t="shared" ca="1" si="15"/>
        <v/>
      </c>
      <c r="N131" s="6"/>
      <c r="O131" s="9"/>
      <c r="P131" s="10"/>
      <c r="Q131" s="6"/>
      <c r="R131" s="6"/>
      <c r="S131" s="6"/>
      <c r="T131" s="6"/>
      <c r="U131" s="6"/>
      <c r="V131" s="6"/>
      <c r="W131" s="6" t="str">
        <f t="shared" si="16"/>
        <v/>
      </c>
      <c r="X131" s="6" t="str">
        <f t="shared" si="17"/>
        <v/>
      </c>
      <c r="Y131" s="6" t="str">
        <f t="shared" si="18"/>
        <v/>
      </c>
      <c r="Z131" s="6" t="str">
        <f t="shared" si="19"/>
        <v/>
      </c>
      <c r="AA131" s="5" t="str">
        <f t="shared" si="20"/>
        <v/>
      </c>
    </row>
    <row r="132" spans="1:27" ht="14.5" x14ac:dyDescent="0.35">
      <c r="A132" s="5"/>
      <c r="B132" s="6"/>
      <c r="C132" s="6"/>
      <c r="D132" s="7"/>
      <c r="E132" s="6"/>
      <c r="F132" s="5" t="str">
        <f t="shared" si="14"/>
        <v/>
      </c>
      <c r="G132" s="5"/>
      <c r="H132" s="6"/>
      <c r="I132" s="6"/>
      <c r="J132" s="6"/>
      <c r="K132" s="7"/>
      <c r="L132" s="6"/>
      <c r="M132" s="8" t="str">
        <f t="shared" ca="1" si="15"/>
        <v/>
      </c>
      <c r="N132" s="6"/>
      <c r="O132" s="9"/>
      <c r="P132" s="10"/>
      <c r="Q132" s="6"/>
      <c r="R132" s="6"/>
      <c r="S132" s="6"/>
      <c r="T132" s="6"/>
      <c r="U132" s="6"/>
      <c r="V132" s="6"/>
      <c r="W132" s="6" t="str">
        <f t="shared" si="16"/>
        <v/>
      </c>
      <c r="X132" s="6" t="str">
        <f t="shared" si="17"/>
        <v/>
      </c>
      <c r="Y132" s="6" t="str">
        <f t="shared" si="18"/>
        <v/>
      </c>
      <c r="Z132" s="6" t="str">
        <f t="shared" si="19"/>
        <v/>
      </c>
      <c r="AA132" s="5" t="str">
        <f t="shared" si="20"/>
        <v/>
      </c>
    </row>
    <row r="133" spans="1:27" ht="14.5" x14ac:dyDescent="0.35">
      <c r="A133" s="5"/>
      <c r="B133" s="6"/>
      <c r="C133" s="6"/>
      <c r="D133" s="7"/>
      <c r="E133" s="6"/>
      <c r="F133" s="5" t="str">
        <f t="shared" si="14"/>
        <v/>
      </c>
      <c r="G133" s="5"/>
      <c r="H133" s="6"/>
      <c r="I133" s="6"/>
      <c r="J133" s="6"/>
      <c r="K133" s="7"/>
      <c r="L133" s="6"/>
      <c r="M133" s="8" t="str">
        <f t="shared" ca="1" si="15"/>
        <v/>
      </c>
      <c r="N133" s="6"/>
      <c r="O133" s="9"/>
      <c r="P133" s="10"/>
      <c r="Q133" s="6"/>
      <c r="R133" s="6"/>
      <c r="S133" s="6"/>
      <c r="T133" s="6"/>
      <c r="U133" s="6"/>
      <c r="V133" s="6"/>
      <c r="W133" s="6" t="str">
        <f t="shared" si="16"/>
        <v/>
      </c>
      <c r="X133" s="6" t="str">
        <f t="shared" si="17"/>
        <v/>
      </c>
      <c r="Y133" s="6" t="str">
        <f t="shared" si="18"/>
        <v/>
      </c>
      <c r="Z133" s="6" t="str">
        <f t="shared" si="19"/>
        <v/>
      </c>
      <c r="AA133" s="5" t="str">
        <f t="shared" si="20"/>
        <v/>
      </c>
    </row>
    <row r="134" spans="1:27" ht="14.5" x14ac:dyDescent="0.35">
      <c r="A134" s="5"/>
      <c r="B134" s="6"/>
      <c r="C134" s="6"/>
      <c r="D134" s="7"/>
      <c r="E134" s="6"/>
      <c r="F134" s="5" t="str">
        <f t="shared" si="14"/>
        <v/>
      </c>
      <c r="G134" s="5"/>
      <c r="H134" s="6"/>
      <c r="I134" s="6"/>
      <c r="J134" s="6"/>
      <c r="K134" s="7"/>
      <c r="L134" s="6"/>
      <c r="M134" s="8" t="str">
        <f t="shared" ca="1" si="15"/>
        <v/>
      </c>
      <c r="N134" s="6"/>
      <c r="O134" s="9"/>
      <c r="P134" s="10"/>
      <c r="Q134" s="6"/>
      <c r="R134" s="6"/>
      <c r="S134" s="6"/>
      <c r="T134" s="6"/>
      <c r="U134" s="6"/>
      <c r="V134" s="6"/>
      <c r="W134" s="6" t="str">
        <f t="shared" si="16"/>
        <v/>
      </c>
      <c r="X134" s="6" t="str">
        <f t="shared" si="17"/>
        <v/>
      </c>
      <c r="Y134" s="6" t="str">
        <f t="shared" si="18"/>
        <v/>
      </c>
      <c r="Z134" s="6" t="str">
        <f t="shared" si="19"/>
        <v/>
      </c>
      <c r="AA134" s="5" t="str">
        <f t="shared" si="20"/>
        <v/>
      </c>
    </row>
    <row r="135" spans="1:27" ht="14.5" x14ac:dyDescent="0.35">
      <c r="A135" s="5"/>
      <c r="B135" s="6"/>
      <c r="C135" s="6"/>
      <c r="D135" s="7"/>
      <c r="E135" s="6"/>
      <c r="F135" s="5" t="str">
        <f t="shared" si="14"/>
        <v/>
      </c>
      <c r="G135" s="5"/>
      <c r="H135" s="6"/>
      <c r="I135" s="6"/>
      <c r="J135" s="6"/>
      <c r="K135" s="7"/>
      <c r="L135" s="6"/>
      <c r="M135" s="8" t="str">
        <f t="shared" ca="1" si="15"/>
        <v/>
      </c>
      <c r="N135" s="6"/>
      <c r="O135" s="9"/>
      <c r="P135" s="10"/>
      <c r="Q135" s="6"/>
      <c r="R135" s="6"/>
      <c r="S135" s="6"/>
      <c r="T135" s="6"/>
      <c r="U135" s="6"/>
      <c r="V135" s="6"/>
      <c r="W135" s="6" t="str">
        <f t="shared" si="16"/>
        <v/>
      </c>
      <c r="X135" s="6" t="str">
        <f t="shared" si="17"/>
        <v/>
      </c>
      <c r="Y135" s="6" t="str">
        <f t="shared" si="18"/>
        <v/>
      </c>
      <c r="Z135" s="6" t="str">
        <f t="shared" si="19"/>
        <v/>
      </c>
      <c r="AA135" s="5" t="str">
        <f t="shared" si="20"/>
        <v/>
      </c>
    </row>
    <row r="136" spans="1:27" ht="14.5" x14ac:dyDescent="0.35">
      <c r="A136" s="5"/>
      <c r="B136" s="6"/>
      <c r="C136" s="6"/>
      <c r="D136" s="7"/>
      <c r="E136" s="6"/>
      <c r="F136" s="5" t="str">
        <f t="shared" si="14"/>
        <v/>
      </c>
      <c r="G136" s="5"/>
      <c r="H136" s="6"/>
      <c r="I136" s="6"/>
      <c r="J136" s="6"/>
      <c r="K136" s="7"/>
      <c r="L136" s="6"/>
      <c r="M136" s="8" t="str">
        <f t="shared" ca="1" si="15"/>
        <v/>
      </c>
      <c r="N136" s="6"/>
      <c r="O136" s="9"/>
      <c r="P136" s="10"/>
      <c r="Q136" s="6"/>
      <c r="R136" s="6"/>
      <c r="S136" s="6"/>
      <c r="T136" s="6"/>
      <c r="U136" s="6"/>
      <c r="V136" s="6"/>
      <c r="W136" s="6" t="str">
        <f t="shared" si="16"/>
        <v/>
      </c>
      <c r="X136" s="6" t="str">
        <f t="shared" si="17"/>
        <v/>
      </c>
      <c r="Y136" s="6" t="str">
        <f t="shared" si="18"/>
        <v/>
      </c>
      <c r="Z136" s="6" t="str">
        <f t="shared" si="19"/>
        <v/>
      </c>
      <c r="AA136" s="5" t="str">
        <f t="shared" si="20"/>
        <v/>
      </c>
    </row>
    <row r="137" spans="1:27" ht="14.5" x14ac:dyDescent="0.35">
      <c r="A137" s="5"/>
      <c r="B137" s="6"/>
      <c r="C137" s="6"/>
      <c r="D137" s="7"/>
      <c r="E137" s="6"/>
      <c r="F137" s="5" t="str">
        <f t="shared" si="14"/>
        <v/>
      </c>
      <c r="G137" s="5"/>
      <c r="H137" s="6"/>
      <c r="I137" s="6"/>
      <c r="J137" s="6"/>
      <c r="K137" s="7"/>
      <c r="L137" s="6"/>
      <c r="M137" s="8" t="str">
        <f t="shared" ca="1" si="15"/>
        <v/>
      </c>
      <c r="N137" s="6"/>
      <c r="O137" s="9"/>
      <c r="P137" s="10"/>
      <c r="Q137" s="6"/>
      <c r="R137" s="6"/>
      <c r="S137" s="6"/>
      <c r="T137" s="6"/>
      <c r="U137" s="6"/>
      <c r="V137" s="6"/>
      <c r="W137" s="6" t="str">
        <f t="shared" si="16"/>
        <v/>
      </c>
      <c r="X137" s="6" t="str">
        <f t="shared" si="17"/>
        <v/>
      </c>
      <c r="Y137" s="6" t="str">
        <f t="shared" si="18"/>
        <v/>
      </c>
      <c r="Z137" s="6" t="str">
        <f t="shared" si="19"/>
        <v/>
      </c>
      <c r="AA137" s="5" t="str">
        <f t="shared" si="20"/>
        <v/>
      </c>
    </row>
    <row r="138" spans="1:27" ht="14.5" x14ac:dyDescent="0.35">
      <c r="A138" s="5"/>
      <c r="B138" s="6"/>
      <c r="C138" s="6"/>
      <c r="D138" s="7"/>
      <c r="E138" s="6"/>
      <c r="F138" s="5" t="str">
        <f t="shared" si="14"/>
        <v/>
      </c>
      <c r="G138" s="5"/>
      <c r="H138" s="6"/>
      <c r="I138" s="6"/>
      <c r="J138" s="6"/>
      <c r="K138" s="7"/>
      <c r="L138" s="6"/>
      <c r="M138" s="8" t="str">
        <f t="shared" ca="1" si="15"/>
        <v/>
      </c>
      <c r="N138" s="6"/>
      <c r="O138" s="9"/>
      <c r="P138" s="10"/>
      <c r="Q138" s="6"/>
      <c r="R138" s="6"/>
      <c r="S138" s="6"/>
      <c r="T138" s="6"/>
      <c r="U138" s="6"/>
      <c r="V138" s="6"/>
      <c r="W138" s="6" t="str">
        <f t="shared" si="16"/>
        <v/>
      </c>
      <c r="X138" s="6" t="str">
        <f t="shared" si="17"/>
        <v/>
      </c>
      <c r="Y138" s="6" t="str">
        <f t="shared" si="18"/>
        <v/>
      </c>
      <c r="Z138" s="6" t="str">
        <f t="shared" si="19"/>
        <v/>
      </c>
      <c r="AA138" s="5" t="str">
        <f t="shared" si="20"/>
        <v/>
      </c>
    </row>
    <row r="139" spans="1:27" ht="14.5" x14ac:dyDescent="0.35">
      <c r="A139" s="5"/>
      <c r="B139" s="6"/>
      <c r="C139" s="6"/>
      <c r="D139" s="7"/>
      <c r="E139" s="6"/>
      <c r="F139" s="5" t="str">
        <f t="shared" si="14"/>
        <v/>
      </c>
      <c r="G139" s="5"/>
      <c r="H139" s="6"/>
      <c r="I139" s="6"/>
      <c r="J139" s="6"/>
      <c r="K139" s="7"/>
      <c r="L139" s="6"/>
      <c r="M139" s="8" t="str">
        <f t="shared" ca="1" si="15"/>
        <v/>
      </c>
      <c r="N139" s="6"/>
      <c r="O139" s="9"/>
      <c r="P139" s="10"/>
      <c r="Q139" s="6"/>
      <c r="R139" s="6"/>
      <c r="S139" s="6"/>
      <c r="T139" s="6"/>
      <c r="U139" s="6"/>
      <c r="V139" s="6"/>
      <c r="W139" s="6" t="str">
        <f t="shared" si="16"/>
        <v/>
      </c>
      <c r="X139" s="6" t="str">
        <f t="shared" si="17"/>
        <v/>
      </c>
      <c r="Y139" s="6" t="str">
        <f t="shared" si="18"/>
        <v/>
      </c>
      <c r="Z139" s="6" t="str">
        <f t="shared" si="19"/>
        <v/>
      </c>
      <c r="AA139" s="5" t="str">
        <f t="shared" si="20"/>
        <v/>
      </c>
    </row>
    <row r="140" spans="1:27" ht="14.5" x14ac:dyDescent="0.35">
      <c r="A140" s="5"/>
      <c r="B140" s="6"/>
      <c r="C140" s="6"/>
      <c r="D140" s="7"/>
      <c r="E140" s="6"/>
      <c r="F140" s="5" t="str">
        <f t="shared" si="14"/>
        <v/>
      </c>
      <c r="G140" s="5"/>
      <c r="H140" s="6"/>
      <c r="I140" s="6"/>
      <c r="J140" s="6"/>
      <c r="K140" s="7"/>
      <c r="L140" s="6"/>
      <c r="M140" s="8" t="str">
        <f t="shared" ca="1" si="15"/>
        <v/>
      </c>
      <c r="N140" s="6"/>
      <c r="O140" s="9"/>
      <c r="P140" s="10"/>
      <c r="Q140" s="6"/>
      <c r="R140" s="6"/>
      <c r="S140" s="6"/>
      <c r="T140" s="6"/>
      <c r="U140" s="6"/>
      <c r="V140" s="6"/>
      <c r="W140" s="6" t="str">
        <f t="shared" si="16"/>
        <v/>
      </c>
      <c r="X140" s="6" t="str">
        <f t="shared" si="17"/>
        <v/>
      </c>
      <c r="Y140" s="6" t="str">
        <f t="shared" si="18"/>
        <v/>
      </c>
      <c r="Z140" s="6" t="str">
        <f t="shared" si="19"/>
        <v/>
      </c>
      <c r="AA140" s="5" t="str">
        <f t="shared" si="20"/>
        <v/>
      </c>
    </row>
    <row r="141" spans="1:27" ht="14.5" x14ac:dyDescent="0.35">
      <c r="A141" s="5"/>
      <c r="B141" s="6"/>
      <c r="C141" s="6"/>
      <c r="D141" s="7"/>
      <c r="E141" s="6"/>
      <c r="F141" s="5" t="str">
        <f t="shared" si="14"/>
        <v/>
      </c>
      <c r="G141" s="5"/>
      <c r="H141" s="6"/>
      <c r="I141" s="6"/>
      <c r="J141" s="6"/>
      <c r="K141" s="7"/>
      <c r="L141" s="6"/>
      <c r="M141" s="8" t="str">
        <f t="shared" ca="1" si="15"/>
        <v/>
      </c>
      <c r="N141" s="6"/>
      <c r="O141" s="9"/>
      <c r="P141" s="10"/>
      <c r="Q141" s="6"/>
      <c r="R141" s="6"/>
      <c r="S141" s="6"/>
      <c r="T141" s="6"/>
      <c r="U141" s="6"/>
      <c r="V141" s="6"/>
      <c r="W141" s="6" t="str">
        <f t="shared" si="16"/>
        <v/>
      </c>
      <c r="X141" s="6" t="str">
        <f t="shared" si="17"/>
        <v/>
      </c>
      <c r="Y141" s="6" t="str">
        <f t="shared" si="18"/>
        <v/>
      </c>
      <c r="Z141" s="6" t="str">
        <f t="shared" si="19"/>
        <v/>
      </c>
      <c r="AA141" s="5" t="str">
        <f t="shared" si="20"/>
        <v/>
      </c>
    </row>
    <row r="142" spans="1:27" ht="14.5" x14ac:dyDescent="0.35">
      <c r="A142" s="5"/>
      <c r="B142" s="6"/>
      <c r="C142" s="6"/>
      <c r="D142" s="7"/>
      <c r="E142" s="6"/>
      <c r="F142" s="5" t="str">
        <f t="shared" si="14"/>
        <v/>
      </c>
      <c r="G142" s="5"/>
      <c r="H142" s="6"/>
      <c r="I142" s="6"/>
      <c r="J142" s="6"/>
      <c r="K142" s="7"/>
      <c r="L142" s="6"/>
      <c r="M142" s="8" t="str">
        <f t="shared" ca="1" si="15"/>
        <v/>
      </c>
      <c r="N142" s="6"/>
      <c r="O142" s="9"/>
      <c r="P142" s="10"/>
      <c r="Q142" s="6"/>
      <c r="R142" s="6"/>
      <c r="S142" s="6"/>
      <c r="T142" s="6"/>
      <c r="U142" s="6"/>
      <c r="V142" s="6"/>
      <c r="W142" s="6" t="str">
        <f t="shared" si="16"/>
        <v/>
      </c>
      <c r="X142" s="6" t="str">
        <f t="shared" si="17"/>
        <v/>
      </c>
      <c r="Y142" s="6" t="str">
        <f t="shared" si="18"/>
        <v/>
      </c>
      <c r="Z142" s="6" t="str">
        <f t="shared" si="19"/>
        <v/>
      </c>
      <c r="AA142" s="5" t="str">
        <f t="shared" si="20"/>
        <v/>
      </c>
    </row>
    <row r="143" spans="1:27" ht="14.5" x14ac:dyDescent="0.35">
      <c r="A143" s="5"/>
      <c r="B143" s="6"/>
      <c r="C143" s="6"/>
      <c r="D143" s="7"/>
      <c r="E143" s="6"/>
      <c r="F143" s="5" t="str">
        <f t="shared" si="14"/>
        <v/>
      </c>
      <c r="G143" s="5"/>
      <c r="H143" s="6"/>
      <c r="I143" s="6"/>
      <c r="J143" s="6"/>
      <c r="K143" s="7"/>
      <c r="L143" s="6"/>
      <c r="M143" s="8" t="str">
        <f t="shared" ca="1" si="15"/>
        <v/>
      </c>
      <c r="N143" s="6"/>
      <c r="O143" s="9"/>
      <c r="P143" s="10"/>
      <c r="Q143" s="6"/>
      <c r="R143" s="6"/>
      <c r="S143" s="6"/>
      <c r="T143" s="6"/>
      <c r="U143" s="6"/>
      <c r="V143" s="6"/>
      <c r="W143" s="6" t="str">
        <f t="shared" si="16"/>
        <v/>
      </c>
      <c r="X143" s="6" t="str">
        <f t="shared" si="17"/>
        <v/>
      </c>
      <c r="Y143" s="6" t="str">
        <f t="shared" si="18"/>
        <v/>
      </c>
      <c r="Z143" s="6" t="str">
        <f t="shared" si="19"/>
        <v/>
      </c>
      <c r="AA143" s="5" t="str">
        <f t="shared" si="20"/>
        <v/>
      </c>
    </row>
    <row r="144" spans="1:27" ht="14.5" x14ac:dyDescent="0.35">
      <c r="A144" s="5"/>
      <c r="B144" s="6"/>
      <c r="C144" s="6"/>
      <c r="D144" s="7"/>
      <c r="E144" s="6"/>
      <c r="F144" s="5" t="str">
        <f t="shared" si="14"/>
        <v/>
      </c>
      <c r="G144" s="5"/>
      <c r="H144" s="6"/>
      <c r="I144" s="6"/>
      <c r="J144" s="6"/>
      <c r="K144" s="7"/>
      <c r="L144" s="6"/>
      <c r="M144" s="8" t="str">
        <f t="shared" ca="1" si="15"/>
        <v/>
      </c>
      <c r="N144" s="6"/>
      <c r="O144" s="9"/>
      <c r="P144" s="10"/>
      <c r="Q144" s="6"/>
      <c r="R144" s="6"/>
      <c r="S144" s="6"/>
      <c r="T144" s="6"/>
      <c r="U144" s="6"/>
      <c r="V144" s="6"/>
      <c r="W144" s="6" t="str">
        <f t="shared" si="16"/>
        <v/>
      </c>
      <c r="X144" s="6" t="str">
        <f t="shared" si="17"/>
        <v/>
      </c>
      <c r="Y144" s="6" t="str">
        <f t="shared" si="18"/>
        <v/>
      </c>
      <c r="Z144" s="6" t="str">
        <f t="shared" si="19"/>
        <v/>
      </c>
      <c r="AA144" s="5" t="str">
        <f t="shared" si="20"/>
        <v/>
      </c>
    </row>
    <row r="145" spans="1:27" ht="14.5" x14ac:dyDescent="0.35">
      <c r="A145" s="5"/>
      <c r="B145" s="6"/>
      <c r="C145" s="6"/>
      <c r="D145" s="7"/>
      <c r="E145" s="6"/>
      <c r="F145" s="5" t="str">
        <f t="shared" si="14"/>
        <v/>
      </c>
      <c r="G145" s="5"/>
      <c r="H145" s="6"/>
      <c r="I145" s="6"/>
      <c r="J145" s="6"/>
      <c r="K145" s="7"/>
      <c r="L145" s="6"/>
      <c r="M145" s="8" t="str">
        <f t="shared" ca="1" si="15"/>
        <v/>
      </c>
      <c r="N145" s="6"/>
      <c r="O145" s="9"/>
      <c r="P145" s="10"/>
      <c r="Q145" s="6"/>
      <c r="R145" s="6"/>
      <c r="S145" s="6"/>
      <c r="T145" s="6"/>
      <c r="U145" s="6"/>
      <c r="V145" s="6"/>
      <c r="W145" s="6" t="str">
        <f t="shared" si="16"/>
        <v/>
      </c>
      <c r="X145" s="6" t="str">
        <f t="shared" si="17"/>
        <v/>
      </c>
      <c r="Y145" s="6" t="str">
        <f t="shared" si="18"/>
        <v/>
      </c>
      <c r="Z145" s="6" t="str">
        <f t="shared" si="19"/>
        <v/>
      </c>
      <c r="AA145" s="5" t="str">
        <f t="shared" si="20"/>
        <v/>
      </c>
    </row>
    <row r="146" spans="1:27" ht="14.5" x14ac:dyDescent="0.35">
      <c r="A146" s="5"/>
      <c r="B146" s="6"/>
      <c r="C146" s="6"/>
      <c r="D146" s="7"/>
      <c r="E146" s="6"/>
      <c r="F146" s="5" t="str">
        <f t="shared" si="14"/>
        <v/>
      </c>
      <c r="G146" s="5"/>
      <c r="H146" s="6"/>
      <c r="I146" s="6"/>
      <c r="J146" s="6"/>
      <c r="K146" s="7"/>
      <c r="L146" s="6"/>
      <c r="M146" s="8" t="str">
        <f t="shared" ca="1" si="15"/>
        <v/>
      </c>
      <c r="N146" s="6"/>
      <c r="O146" s="9"/>
      <c r="P146" s="10"/>
      <c r="Q146" s="6"/>
      <c r="R146" s="6"/>
      <c r="S146" s="6"/>
      <c r="T146" s="6"/>
      <c r="U146" s="6"/>
      <c r="V146" s="6"/>
      <c r="W146" s="6" t="str">
        <f t="shared" si="16"/>
        <v/>
      </c>
      <c r="X146" s="6" t="str">
        <f t="shared" si="17"/>
        <v/>
      </c>
      <c r="Y146" s="6" t="str">
        <f t="shared" si="18"/>
        <v/>
      </c>
      <c r="Z146" s="6" t="str">
        <f t="shared" si="19"/>
        <v/>
      </c>
      <c r="AA146" s="5" t="str">
        <f t="shared" si="20"/>
        <v/>
      </c>
    </row>
    <row r="147" spans="1:27" ht="14.5" x14ac:dyDescent="0.35">
      <c r="A147" s="5"/>
      <c r="B147" s="6"/>
      <c r="C147" s="6"/>
      <c r="D147" s="7"/>
      <c r="E147" s="6"/>
      <c r="F147" s="5" t="str">
        <f t="shared" si="14"/>
        <v/>
      </c>
      <c r="G147" s="5"/>
      <c r="H147" s="6"/>
      <c r="I147" s="6"/>
      <c r="J147" s="6"/>
      <c r="K147" s="7"/>
      <c r="L147" s="6"/>
      <c r="M147" s="8" t="str">
        <f t="shared" ca="1" si="15"/>
        <v/>
      </c>
      <c r="N147" s="6"/>
      <c r="O147" s="9"/>
      <c r="P147" s="10"/>
      <c r="Q147" s="6"/>
      <c r="R147" s="6"/>
      <c r="S147" s="6"/>
      <c r="T147" s="6"/>
      <c r="U147" s="6"/>
      <c r="V147" s="6"/>
      <c r="W147" s="6" t="str">
        <f t="shared" si="16"/>
        <v/>
      </c>
      <c r="X147" s="6" t="str">
        <f t="shared" si="17"/>
        <v/>
      </c>
      <c r="Y147" s="6" t="str">
        <f t="shared" si="18"/>
        <v/>
      </c>
      <c r="Z147" s="6" t="str">
        <f t="shared" si="19"/>
        <v/>
      </c>
      <c r="AA147" s="5" t="str">
        <f t="shared" si="20"/>
        <v/>
      </c>
    </row>
    <row r="148" spans="1:27" ht="14.5" x14ac:dyDescent="0.35">
      <c r="A148" s="5"/>
      <c r="B148" s="6"/>
      <c r="C148" s="6"/>
      <c r="D148" s="7"/>
      <c r="E148" s="6"/>
      <c r="F148" s="5" t="str">
        <f t="shared" si="14"/>
        <v/>
      </c>
      <c r="G148" s="5"/>
      <c r="H148" s="6"/>
      <c r="I148" s="6"/>
      <c r="J148" s="6"/>
      <c r="K148" s="7"/>
      <c r="L148" s="6"/>
      <c r="M148" s="8" t="str">
        <f t="shared" ca="1" si="15"/>
        <v/>
      </c>
      <c r="N148" s="6"/>
      <c r="O148" s="9"/>
      <c r="P148" s="10"/>
      <c r="Q148" s="6"/>
      <c r="R148" s="6"/>
      <c r="S148" s="6"/>
      <c r="T148" s="6"/>
      <c r="U148" s="6"/>
      <c r="V148" s="6"/>
      <c r="W148" s="6" t="str">
        <f t="shared" si="16"/>
        <v/>
      </c>
      <c r="X148" s="6" t="str">
        <f t="shared" si="17"/>
        <v/>
      </c>
      <c r="Y148" s="6" t="str">
        <f t="shared" si="18"/>
        <v/>
      </c>
      <c r="Z148" s="6" t="str">
        <f t="shared" si="19"/>
        <v/>
      </c>
      <c r="AA148" s="5" t="str">
        <f t="shared" si="20"/>
        <v/>
      </c>
    </row>
    <row r="149" spans="1:27" ht="14.5" x14ac:dyDescent="0.35">
      <c r="A149" s="5"/>
      <c r="B149" s="6"/>
      <c r="C149" s="6"/>
      <c r="D149" s="7"/>
      <c r="E149" s="6"/>
      <c r="F149" s="5" t="str">
        <f t="shared" si="14"/>
        <v/>
      </c>
      <c r="G149" s="5"/>
      <c r="H149" s="6"/>
      <c r="I149" s="6"/>
      <c r="J149" s="6"/>
      <c r="K149" s="7"/>
      <c r="L149" s="6"/>
      <c r="M149" s="8" t="str">
        <f t="shared" ca="1" si="15"/>
        <v/>
      </c>
      <c r="N149" s="6"/>
      <c r="O149" s="9"/>
      <c r="P149" s="10"/>
      <c r="Q149" s="6"/>
      <c r="R149" s="6"/>
      <c r="S149" s="6"/>
      <c r="T149" s="6"/>
      <c r="U149" s="6"/>
      <c r="V149" s="6"/>
      <c r="W149" s="6" t="str">
        <f t="shared" si="16"/>
        <v/>
      </c>
      <c r="X149" s="6" t="str">
        <f t="shared" si="17"/>
        <v/>
      </c>
      <c r="Y149" s="6" t="str">
        <f t="shared" si="18"/>
        <v/>
      </c>
      <c r="Z149" s="6" t="str">
        <f t="shared" si="19"/>
        <v/>
      </c>
      <c r="AA149" s="5" t="str">
        <f t="shared" si="20"/>
        <v/>
      </c>
    </row>
    <row r="150" spans="1:27" ht="14.5" x14ac:dyDescent="0.35">
      <c r="A150" s="5"/>
      <c r="B150" s="6"/>
      <c r="C150" s="6"/>
      <c r="D150" s="7"/>
      <c r="E150" s="6"/>
      <c r="F150" s="5" t="str">
        <f t="shared" si="14"/>
        <v/>
      </c>
      <c r="G150" s="5"/>
      <c r="H150" s="6"/>
      <c r="I150" s="6"/>
      <c r="J150" s="6"/>
      <c r="K150" s="7"/>
      <c r="L150" s="6"/>
      <c r="M150" s="8" t="str">
        <f t="shared" ca="1" si="15"/>
        <v/>
      </c>
      <c r="N150" s="6"/>
      <c r="O150" s="9"/>
      <c r="P150" s="10"/>
      <c r="Q150" s="6"/>
      <c r="R150" s="6"/>
      <c r="S150" s="6"/>
      <c r="T150" s="6"/>
      <c r="U150" s="6"/>
      <c r="V150" s="6"/>
      <c r="W150" s="6" t="str">
        <f t="shared" si="16"/>
        <v/>
      </c>
      <c r="X150" s="6" t="str">
        <f t="shared" si="17"/>
        <v/>
      </c>
      <c r="Y150" s="6" t="str">
        <f t="shared" si="18"/>
        <v/>
      </c>
      <c r="Z150" s="6" t="str">
        <f t="shared" si="19"/>
        <v/>
      </c>
      <c r="AA150" s="5" t="str">
        <f t="shared" si="20"/>
        <v/>
      </c>
    </row>
    <row r="151" spans="1:27" ht="14.5" x14ac:dyDescent="0.35">
      <c r="A151" s="5"/>
      <c r="B151" s="6"/>
      <c r="C151" s="6"/>
      <c r="D151" s="7"/>
      <c r="E151" s="6"/>
      <c r="F151" s="5" t="str">
        <f t="shared" si="14"/>
        <v/>
      </c>
      <c r="G151" s="5"/>
      <c r="H151" s="6"/>
      <c r="I151" s="6"/>
      <c r="J151" s="6"/>
      <c r="K151" s="7"/>
      <c r="L151" s="6"/>
      <c r="M151" s="8" t="str">
        <f t="shared" ca="1" si="15"/>
        <v/>
      </c>
      <c r="N151" s="6"/>
      <c r="O151" s="9"/>
      <c r="P151" s="10"/>
      <c r="Q151" s="6"/>
      <c r="R151" s="6"/>
      <c r="S151" s="6"/>
      <c r="T151" s="6"/>
      <c r="U151" s="6"/>
      <c r="V151" s="6"/>
      <c r="W151" s="6" t="str">
        <f t="shared" si="16"/>
        <v/>
      </c>
      <c r="X151" s="6" t="str">
        <f t="shared" si="17"/>
        <v/>
      </c>
      <c r="Y151" s="6" t="str">
        <f t="shared" si="18"/>
        <v/>
      </c>
      <c r="Z151" s="6" t="str">
        <f t="shared" si="19"/>
        <v/>
      </c>
      <c r="AA151" s="5" t="str">
        <f t="shared" si="20"/>
        <v/>
      </c>
    </row>
    <row r="152" spans="1:27" ht="14.5" x14ac:dyDescent="0.35">
      <c r="A152" s="5"/>
      <c r="B152" s="6"/>
      <c r="C152" s="6"/>
      <c r="D152" s="7"/>
      <c r="E152" s="6"/>
      <c r="F152" s="5" t="str">
        <f t="shared" si="14"/>
        <v/>
      </c>
      <c r="G152" s="5"/>
      <c r="H152" s="6"/>
      <c r="I152" s="6"/>
      <c r="J152" s="6"/>
      <c r="K152" s="7"/>
      <c r="L152" s="6"/>
      <c r="M152" s="8" t="str">
        <f t="shared" ca="1" si="15"/>
        <v/>
      </c>
      <c r="N152" s="6"/>
      <c r="O152" s="9"/>
      <c r="P152" s="10"/>
      <c r="Q152" s="6"/>
      <c r="R152" s="6"/>
      <c r="S152" s="6"/>
      <c r="T152" s="6"/>
      <c r="U152" s="6"/>
      <c r="V152" s="6"/>
      <c r="W152" s="6" t="str">
        <f t="shared" si="16"/>
        <v/>
      </c>
      <c r="X152" s="6" t="str">
        <f t="shared" si="17"/>
        <v/>
      </c>
      <c r="Y152" s="6" t="str">
        <f t="shared" si="18"/>
        <v/>
      </c>
      <c r="Z152" s="6" t="str">
        <f t="shared" si="19"/>
        <v/>
      </c>
      <c r="AA152" s="5" t="str">
        <f t="shared" si="20"/>
        <v/>
      </c>
    </row>
    <row r="153" spans="1:27" ht="14.5" x14ac:dyDescent="0.35">
      <c r="A153" s="5"/>
      <c r="B153" s="6"/>
      <c r="C153" s="6"/>
      <c r="D153" s="7"/>
      <c r="E153" s="6"/>
      <c r="F153" s="5" t="str">
        <f t="shared" si="14"/>
        <v/>
      </c>
      <c r="G153" s="5"/>
      <c r="H153" s="6"/>
      <c r="I153" s="6"/>
      <c r="J153" s="6"/>
      <c r="K153" s="7"/>
      <c r="L153" s="6"/>
      <c r="M153" s="8" t="str">
        <f t="shared" ca="1" si="15"/>
        <v/>
      </c>
      <c r="N153" s="6"/>
      <c r="O153" s="9"/>
      <c r="P153" s="10"/>
      <c r="Q153" s="6"/>
      <c r="R153" s="6"/>
      <c r="S153" s="6"/>
      <c r="T153" s="6"/>
      <c r="U153" s="6"/>
      <c r="V153" s="6"/>
      <c r="W153" s="6" t="str">
        <f t="shared" si="16"/>
        <v/>
      </c>
      <c r="X153" s="6" t="str">
        <f t="shared" si="17"/>
        <v/>
      </c>
      <c r="Y153" s="6" t="str">
        <f t="shared" si="18"/>
        <v/>
      </c>
      <c r="Z153" s="6" t="str">
        <f t="shared" si="19"/>
        <v/>
      </c>
      <c r="AA153" s="5" t="str">
        <f t="shared" si="20"/>
        <v/>
      </c>
    </row>
    <row r="154" spans="1:27" ht="14.5" x14ac:dyDescent="0.35">
      <c r="A154" s="5"/>
      <c r="B154" s="6"/>
      <c r="C154" s="6"/>
      <c r="D154" s="7"/>
      <c r="E154" s="6"/>
      <c r="F154" s="5" t="str">
        <f t="shared" si="14"/>
        <v/>
      </c>
      <c r="G154" s="5"/>
      <c r="H154" s="6"/>
      <c r="I154" s="6"/>
      <c r="J154" s="6"/>
      <c r="K154" s="7"/>
      <c r="L154" s="6"/>
      <c r="M154" s="8" t="str">
        <f t="shared" ca="1" si="15"/>
        <v/>
      </c>
      <c r="N154" s="6"/>
      <c r="O154" s="9"/>
      <c r="P154" s="10"/>
      <c r="Q154" s="6"/>
      <c r="R154" s="6"/>
      <c r="S154" s="6"/>
      <c r="T154" s="6"/>
      <c r="U154" s="6"/>
      <c r="V154" s="6"/>
      <c r="W154" s="6" t="str">
        <f t="shared" si="16"/>
        <v/>
      </c>
      <c r="X154" s="6" t="str">
        <f t="shared" si="17"/>
        <v/>
      </c>
      <c r="Y154" s="6" t="str">
        <f t="shared" si="18"/>
        <v/>
      </c>
      <c r="Z154" s="6" t="str">
        <f t="shared" si="19"/>
        <v/>
      </c>
      <c r="AA154" s="5" t="str">
        <f t="shared" si="20"/>
        <v/>
      </c>
    </row>
    <row r="155" spans="1:27" ht="14.5" x14ac:dyDescent="0.35">
      <c r="A155" s="5"/>
      <c r="B155" s="6"/>
      <c r="C155" s="6"/>
      <c r="D155" s="7"/>
      <c r="E155" s="6"/>
      <c r="F155" s="5" t="str">
        <f t="shared" si="14"/>
        <v/>
      </c>
      <c r="G155" s="5"/>
      <c r="H155" s="6"/>
      <c r="I155" s="6"/>
      <c r="J155" s="6"/>
      <c r="K155" s="7"/>
      <c r="L155" s="6"/>
      <c r="M155" s="8" t="str">
        <f t="shared" ca="1" si="15"/>
        <v/>
      </c>
      <c r="N155" s="6"/>
      <c r="O155" s="9"/>
      <c r="P155" s="10"/>
      <c r="Q155" s="6"/>
      <c r="R155" s="6"/>
      <c r="S155" s="6"/>
      <c r="T155" s="6"/>
      <c r="U155" s="6"/>
      <c r="V155" s="6"/>
      <c r="W155" s="6" t="str">
        <f t="shared" si="16"/>
        <v/>
      </c>
      <c r="X155" s="6" t="str">
        <f t="shared" si="17"/>
        <v/>
      </c>
      <c r="Y155" s="6" t="str">
        <f t="shared" si="18"/>
        <v/>
      </c>
      <c r="Z155" s="6" t="str">
        <f t="shared" si="19"/>
        <v/>
      </c>
      <c r="AA155" s="5" t="str">
        <f t="shared" si="20"/>
        <v/>
      </c>
    </row>
    <row r="156" spans="1:27" ht="14.5" x14ac:dyDescent="0.35">
      <c r="A156" s="5"/>
      <c r="B156" s="6"/>
      <c r="C156" s="6"/>
      <c r="D156" s="7"/>
      <c r="E156" s="6"/>
      <c r="F156" s="5" t="str">
        <f t="shared" si="14"/>
        <v/>
      </c>
      <c r="G156" s="5"/>
      <c r="H156" s="6"/>
      <c r="I156" s="6"/>
      <c r="J156" s="6"/>
      <c r="K156" s="7"/>
      <c r="L156" s="6"/>
      <c r="M156" s="8" t="str">
        <f t="shared" ca="1" si="15"/>
        <v/>
      </c>
      <c r="N156" s="6"/>
      <c r="O156" s="9"/>
      <c r="P156" s="10"/>
      <c r="Q156" s="6"/>
      <c r="R156" s="6"/>
      <c r="S156" s="6"/>
      <c r="T156" s="6"/>
      <c r="U156" s="6"/>
      <c r="V156" s="6"/>
      <c r="W156" s="6" t="str">
        <f t="shared" si="16"/>
        <v/>
      </c>
      <c r="X156" s="6" t="str">
        <f t="shared" si="17"/>
        <v/>
      </c>
      <c r="Y156" s="6" t="str">
        <f t="shared" si="18"/>
        <v/>
      </c>
      <c r="Z156" s="6" t="str">
        <f t="shared" si="19"/>
        <v/>
      </c>
      <c r="AA156" s="5" t="str">
        <f t="shared" si="20"/>
        <v/>
      </c>
    </row>
    <row r="157" spans="1:27" ht="14.5" x14ac:dyDescent="0.35">
      <c r="A157" s="5"/>
      <c r="B157" s="6"/>
      <c r="C157" s="6"/>
      <c r="D157" s="7"/>
      <c r="E157" s="6"/>
      <c r="F157" s="5" t="str">
        <f t="shared" si="14"/>
        <v/>
      </c>
      <c r="G157" s="5"/>
      <c r="H157" s="6"/>
      <c r="I157" s="6"/>
      <c r="J157" s="6"/>
      <c r="K157" s="7"/>
      <c r="L157" s="6"/>
      <c r="M157" s="8" t="str">
        <f t="shared" ca="1" si="15"/>
        <v/>
      </c>
      <c r="N157" s="6"/>
      <c r="O157" s="9"/>
      <c r="P157" s="10"/>
      <c r="Q157" s="6"/>
      <c r="R157" s="6"/>
      <c r="S157" s="6"/>
      <c r="T157" s="6"/>
      <c r="U157" s="6"/>
      <c r="V157" s="6"/>
      <c r="W157" s="6" t="str">
        <f t="shared" si="16"/>
        <v/>
      </c>
      <c r="X157" s="6" t="str">
        <f t="shared" si="17"/>
        <v/>
      </c>
      <c r="Y157" s="6" t="str">
        <f t="shared" si="18"/>
        <v/>
      </c>
      <c r="Z157" s="6" t="str">
        <f t="shared" si="19"/>
        <v/>
      </c>
      <c r="AA157" s="5" t="str">
        <f t="shared" si="20"/>
        <v/>
      </c>
    </row>
    <row r="158" spans="1:27" ht="14.5" x14ac:dyDescent="0.35">
      <c r="A158" s="5"/>
      <c r="B158" s="6"/>
      <c r="C158" s="6"/>
      <c r="D158" s="7"/>
      <c r="E158" s="6"/>
      <c r="F158" s="5" t="str">
        <f t="shared" si="14"/>
        <v/>
      </c>
      <c r="G158" s="5"/>
      <c r="H158" s="6"/>
      <c r="I158" s="6"/>
      <c r="J158" s="6"/>
      <c r="K158" s="7"/>
      <c r="L158" s="6"/>
      <c r="M158" s="8" t="str">
        <f t="shared" ca="1" si="15"/>
        <v/>
      </c>
      <c r="N158" s="6"/>
      <c r="O158" s="9"/>
      <c r="P158" s="10"/>
      <c r="Q158" s="6"/>
      <c r="R158" s="6"/>
      <c r="S158" s="6"/>
      <c r="T158" s="6"/>
      <c r="U158" s="6"/>
      <c r="V158" s="6"/>
      <c r="W158" s="6" t="str">
        <f t="shared" si="16"/>
        <v/>
      </c>
      <c r="X158" s="6" t="str">
        <f t="shared" si="17"/>
        <v/>
      </c>
      <c r="Y158" s="6" t="str">
        <f t="shared" si="18"/>
        <v/>
      </c>
      <c r="Z158" s="6" t="str">
        <f t="shared" si="19"/>
        <v/>
      </c>
      <c r="AA158" s="5" t="str">
        <f t="shared" si="20"/>
        <v/>
      </c>
    </row>
    <row r="159" spans="1:27" ht="14.5" x14ac:dyDescent="0.35">
      <c r="A159" s="5"/>
      <c r="B159" s="6"/>
      <c r="C159" s="6"/>
      <c r="D159" s="7"/>
      <c r="E159" s="6"/>
      <c r="F159" s="5" t="str">
        <f t="shared" si="14"/>
        <v/>
      </c>
      <c r="G159" s="5"/>
      <c r="H159" s="6"/>
      <c r="I159" s="6"/>
      <c r="J159" s="6"/>
      <c r="K159" s="7"/>
      <c r="L159" s="6"/>
      <c r="M159" s="8" t="str">
        <f t="shared" ca="1" si="15"/>
        <v/>
      </c>
      <c r="N159" s="6"/>
      <c r="O159" s="9"/>
      <c r="P159" s="10"/>
      <c r="Q159" s="6"/>
      <c r="R159" s="6"/>
      <c r="S159" s="6"/>
      <c r="T159" s="6"/>
      <c r="U159" s="6"/>
      <c r="V159" s="6"/>
      <c r="W159" s="6" t="str">
        <f t="shared" si="16"/>
        <v/>
      </c>
      <c r="X159" s="6" t="str">
        <f t="shared" si="17"/>
        <v/>
      </c>
      <c r="Y159" s="6" t="str">
        <f t="shared" si="18"/>
        <v/>
      </c>
      <c r="Z159" s="6" t="str">
        <f t="shared" si="19"/>
        <v/>
      </c>
      <c r="AA159" s="5" t="str">
        <f t="shared" si="20"/>
        <v/>
      </c>
    </row>
    <row r="160" spans="1:27" ht="14.5" x14ac:dyDescent="0.35">
      <c r="A160" s="5"/>
      <c r="B160" s="6"/>
      <c r="C160" s="6"/>
      <c r="D160" s="7"/>
      <c r="E160" s="6"/>
      <c r="F160" s="5" t="str">
        <f t="shared" si="14"/>
        <v/>
      </c>
      <c r="G160" s="5"/>
      <c r="H160" s="6"/>
      <c r="I160" s="6"/>
      <c r="J160" s="6"/>
      <c r="K160" s="7"/>
      <c r="L160" s="6"/>
      <c r="M160" s="8" t="str">
        <f t="shared" ca="1" si="15"/>
        <v/>
      </c>
      <c r="N160" s="6"/>
      <c r="O160" s="9"/>
      <c r="P160" s="10"/>
      <c r="Q160" s="6"/>
      <c r="R160" s="6"/>
      <c r="S160" s="6"/>
      <c r="T160" s="6"/>
      <c r="U160" s="6"/>
      <c r="V160" s="6"/>
      <c r="W160" s="6" t="str">
        <f t="shared" si="16"/>
        <v/>
      </c>
      <c r="X160" s="6" t="str">
        <f t="shared" si="17"/>
        <v/>
      </c>
      <c r="Y160" s="6" t="str">
        <f t="shared" si="18"/>
        <v/>
      </c>
      <c r="Z160" s="6" t="str">
        <f t="shared" si="19"/>
        <v/>
      </c>
      <c r="AA160" s="5" t="str">
        <f t="shared" si="20"/>
        <v/>
      </c>
    </row>
    <row r="161" spans="1:27" ht="14.5" x14ac:dyDescent="0.35">
      <c r="A161" s="5"/>
      <c r="B161" s="6"/>
      <c r="C161" s="6"/>
      <c r="D161" s="7"/>
      <c r="E161" s="6"/>
      <c r="F161" s="5" t="str">
        <f t="shared" si="14"/>
        <v/>
      </c>
      <c r="G161" s="5"/>
      <c r="H161" s="6"/>
      <c r="I161" s="6"/>
      <c r="J161" s="6"/>
      <c r="K161" s="7"/>
      <c r="L161" s="6"/>
      <c r="M161" s="8" t="str">
        <f t="shared" ca="1" si="15"/>
        <v/>
      </c>
      <c r="N161" s="6"/>
      <c r="O161" s="9"/>
      <c r="P161" s="10"/>
      <c r="Q161" s="6"/>
      <c r="R161" s="6"/>
      <c r="S161" s="6"/>
      <c r="T161" s="6"/>
      <c r="U161" s="6"/>
      <c r="V161" s="6"/>
      <c r="W161" s="6" t="str">
        <f t="shared" si="16"/>
        <v/>
      </c>
      <c r="X161" s="6" t="str">
        <f t="shared" si="17"/>
        <v/>
      </c>
      <c r="Y161" s="6" t="str">
        <f t="shared" si="18"/>
        <v/>
      </c>
      <c r="Z161" s="6" t="str">
        <f t="shared" si="19"/>
        <v/>
      </c>
      <c r="AA161" s="5" t="str">
        <f t="shared" si="20"/>
        <v/>
      </c>
    </row>
    <row r="162" spans="1:27" ht="14.5" x14ac:dyDescent="0.35">
      <c r="A162" s="5"/>
      <c r="B162" s="6"/>
      <c r="C162" s="6"/>
      <c r="D162" s="7"/>
      <c r="E162" s="6"/>
      <c r="F162" s="5" t="str">
        <f t="shared" si="14"/>
        <v/>
      </c>
      <c r="G162" s="5"/>
      <c r="H162" s="6"/>
      <c r="I162" s="6"/>
      <c r="J162" s="6"/>
      <c r="K162" s="7"/>
      <c r="L162" s="6"/>
      <c r="M162" s="8" t="str">
        <f t="shared" ca="1" si="15"/>
        <v/>
      </c>
      <c r="N162" s="6"/>
      <c r="O162" s="9"/>
      <c r="P162" s="10"/>
      <c r="Q162" s="6"/>
      <c r="R162" s="6"/>
      <c r="S162" s="6"/>
      <c r="T162" s="6"/>
      <c r="U162" s="6"/>
      <c r="V162" s="6"/>
      <c r="W162" s="6" t="str">
        <f t="shared" si="16"/>
        <v/>
      </c>
      <c r="X162" s="6" t="str">
        <f t="shared" si="17"/>
        <v/>
      </c>
      <c r="Y162" s="6" t="str">
        <f t="shared" si="18"/>
        <v/>
      </c>
      <c r="Z162" s="6" t="str">
        <f t="shared" si="19"/>
        <v/>
      </c>
      <c r="AA162" s="5" t="str">
        <f t="shared" si="20"/>
        <v/>
      </c>
    </row>
    <row r="163" spans="1:27" ht="14.5" x14ac:dyDescent="0.35">
      <c r="A163" s="5"/>
      <c r="B163" s="6"/>
      <c r="C163" s="6"/>
      <c r="D163" s="7"/>
      <c r="E163" s="6"/>
      <c r="F163" s="5" t="str">
        <f t="shared" si="14"/>
        <v/>
      </c>
      <c r="G163" s="5"/>
      <c r="H163" s="6"/>
      <c r="I163" s="6"/>
      <c r="J163" s="6"/>
      <c r="K163" s="7"/>
      <c r="L163" s="6"/>
      <c r="M163" s="8" t="str">
        <f t="shared" ca="1" si="15"/>
        <v/>
      </c>
      <c r="N163" s="6"/>
      <c r="O163" s="9"/>
      <c r="P163" s="10"/>
      <c r="Q163" s="6"/>
      <c r="R163" s="6"/>
      <c r="S163" s="6"/>
      <c r="T163" s="6"/>
      <c r="U163" s="6"/>
      <c r="V163" s="6"/>
      <c r="W163" s="6" t="str">
        <f t="shared" si="16"/>
        <v/>
      </c>
      <c r="X163" s="6" t="str">
        <f t="shared" si="17"/>
        <v/>
      </c>
      <c r="Y163" s="6" t="str">
        <f t="shared" si="18"/>
        <v/>
      </c>
      <c r="Z163" s="6" t="str">
        <f t="shared" si="19"/>
        <v/>
      </c>
      <c r="AA163" s="5" t="str">
        <f t="shared" si="20"/>
        <v/>
      </c>
    </row>
    <row r="164" spans="1:27" ht="14.5" x14ac:dyDescent="0.35">
      <c r="A164" s="5"/>
      <c r="B164" s="6"/>
      <c r="C164" s="6"/>
      <c r="D164" s="7"/>
      <c r="E164" s="6"/>
      <c r="F164" s="5" t="str">
        <f t="shared" si="14"/>
        <v/>
      </c>
      <c r="G164" s="5"/>
      <c r="H164" s="6"/>
      <c r="I164" s="6"/>
      <c r="J164" s="6"/>
      <c r="K164" s="7"/>
      <c r="L164" s="6"/>
      <c r="M164" s="8" t="str">
        <f t="shared" ca="1" si="15"/>
        <v/>
      </c>
      <c r="N164" s="6"/>
      <c r="O164" s="9"/>
      <c r="P164" s="10"/>
      <c r="Q164" s="6"/>
      <c r="R164" s="6"/>
      <c r="S164" s="6"/>
      <c r="T164" s="6"/>
      <c r="U164" s="6"/>
      <c r="V164" s="6"/>
      <c r="W164" s="6" t="str">
        <f t="shared" si="16"/>
        <v/>
      </c>
      <c r="X164" s="6" t="str">
        <f t="shared" si="17"/>
        <v/>
      </c>
      <c r="Y164" s="6" t="str">
        <f t="shared" si="18"/>
        <v/>
      </c>
      <c r="Z164" s="6" t="str">
        <f t="shared" si="19"/>
        <v/>
      </c>
      <c r="AA164" s="5" t="str">
        <f t="shared" si="20"/>
        <v/>
      </c>
    </row>
    <row r="165" spans="1:27" ht="14.5" x14ac:dyDescent="0.35">
      <c r="A165" s="5"/>
      <c r="B165" s="6"/>
      <c r="C165" s="6"/>
      <c r="D165" s="7"/>
      <c r="E165" s="6"/>
      <c r="F165" s="5" t="str">
        <f t="shared" si="14"/>
        <v/>
      </c>
      <c r="G165" s="5"/>
      <c r="H165" s="6"/>
      <c r="I165" s="6"/>
      <c r="J165" s="6"/>
      <c r="K165" s="7"/>
      <c r="L165" s="6"/>
      <c r="M165" s="8" t="str">
        <f t="shared" ca="1" si="15"/>
        <v/>
      </c>
      <c r="N165" s="6"/>
      <c r="O165" s="9"/>
      <c r="P165" s="10"/>
      <c r="Q165" s="6"/>
      <c r="R165" s="6"/>
      <c r="S165" s="6"/>
      <c r="T165" s="6"/>
      <c r="U165" s="6"/>
      <c r="V165" s="6"/>
      <c r="W165" s="6" t="str">
        <f t="shared" si="16"/>
        <v/>
      </c>
      <c r="X165" s="6" t="str">
        <f t="shared" si="17"/>
        <v/>
      </c>
      <c r="Y165" s="6" t="str">
        <f t="shared" si="18"/>
        <v/>
      </c>
      <c r="Z165" s="6" t="str">
        <f t="shared" si="19"/>
        <v/>
      </c>
      <c r="AA165" s="5" t="str">
        <f t="shared" si="20"/>
        <v/>
      </c>
    </row>
    <row r="166" spans="1:27" ht="14.5" x14ac:dyDescent="0.35">
      <c r="A166" s="5"/>
      <c r="B166" s="6"/>
      <c r="C166" s="6"/>
      <c r="D166" s="7"/>
      <c r="E166" s="6"/>
      <c r="F166" s="5" t="str">
        <f t="shared" si="14"/>
        <v/>
      </c>
      <c r="G166" s="5"/>
      <c r="H166" s="6"/>
      <c r="I166" s="6"/>
      <c r="J166" s="6"/>
      <c r="K166" s="7"/>
      <c r="L166" s="6"/>
      <c r="M166" s="8" t="str">
        <f t="shared" ca="1" si="15"/>
        <v/>
      </c>
      <c r="N166" s="6"/>
      <c r="O166" s="9"/>
      <c r="P166" s="10"/>
      <c r="Q166" s="6"/>
      <c r="R166" s="6"/>
      <c r="S166" s="6"/>
      <c r="T166" s="6"/>
      <c r="U166" s="6"/>
      <c r="V166" s="6"/>
      <c r="W166" s="6" t="str">
        <f t="shared" si="16"/>
        <v/>
      </c>
      <c r="X166" s="6" t="str">
        <f t="shared" si="17"/>
        <v/>
      </c>
      <c r="Y166" s="6" t="str">
        <f t="shared" si="18"/>
        <v/>
      </c>
      <c r="Z166" s="6" t="str">
        <f t="shared" si="19"/>
        <v/>
      </c>
      <c r="AA166" s="5" t="str">
        <f t="shared" si="20"/>
        <v/>
      </c>
    </row>
    <row r="167" spans="1:27" ht="14.5" x14ac:dyDescent="0.35">
      <c r="A167" s="5"/>
      <c r="B167" s="6"/>
      <c r="C167" s="6"/>
      <c r="D167" s="7"/>
      <c r="E167" s="6"/>
      <c r="F167" s="5" t="str">
        <f t="shared" si="14"/>
        <v/>
      </c>
      <c r="G167" s="5"/>
      <c r="H167" s="6"/>
      <c r="I167" s="6"/>
      <c r="J167" s="6"/>
      <c r="K167" s="7"/>
      <c r="L167" s="6"/>
      <c r="M167" s="8" t="str">
        <f t="shared" ca="1" si="15"/>
        <v/>
      </c>
      <c r="N167" s="6"/>
      <c r="O167" s="9"/>
      <c r="P167" s="10"/>
      <c r="Q167" s="6"/>
      <c r="R167" s="6"/>
      <c r="S167" s="6"/>
      <c r="T167" s="6"/>
      <c r="U167" s="6"/>
      <c r="V167" s="6"/>
      <c r="W167" s="6" t="str">
        <f t="shared" si="16"/>
        <v/>
      </c>
      <c r="X167" s="6" t="str">
        <f t="shared" si="17"/>
        <v/>
      </c>
      <c r="Y167" s="6" t="str">
        <f t="shared" si="18"/>
        <v/>
      </c>
      <c r="Z167" s="6" t="str">
        <f t="shared" si="19"/>
        <v/>
      </c>
      <c r="AA167" s="5" t="str">
        <f t="shared" si="20"/>
        <v/>
      </c>
    </row>
    <row r="168" spans="1:27" ht="14.5" x14ac:dyDescent="0.35">
      <c r="A168" s="5"/>
      <c r="B168" s="6"/>
      <c r="C168" s="6"/>
      <c r="D168" s="7"/>
      <c r="E168" s="6"/>
      <c r="F168" s="5" t="str">
        <f t="shared" si="14"/>
        <v/>
      </c>
      <c r="G168" s="5"/>
      <c r="H168" s="6"/>
      <c r="I168" s="6"/>
      <c r="J168" s="6"/>
      <c r="K168" s="7"/>
      <c r="L168" s="6"/>
      <c r="M168" s="8" t="str">
        <f t="shared" ca="1" si="15"/>
        <v/>
      </c>
      <c r="N168" s="6"/>
      <c r="O168" s="9"/>
      <c r="P168" s="10"/>
      <c r="Q168" s="6"/>
      <c r="R168" s="6"/>
      <c r="S168" s="6"/>
      <c r="T168" s="6"/>
      <c r="U168" s="6"/>
      <c r="V168" s="6"/>
      <c r="W168" s="6" t="str">
        <f t="shared" si="16"/>
        <v/>
      </c>
      <c r="X168" s="6" t="str">
        <f t="shared" si="17"/>
        <v/>
      </c>
      <c r="Y168" s="6" t="str">
        <f t="shared" si="18"/>
        <v/>
      </c>
      <c r="Z168" s="6" t="str">
        <f t="shared" si="19"/>
        <v/>
      </c>
      <c r="AA168" s="5" t="str">
        <f t="shared" si="20"/>
        <v/>
      </c>
    </row>
    <row r="169" spans="1:27" ht="14.5" x14ac:dyDescent="0.35">
      <c r="A169" s="5"/>
      <c r="B169" s="6"/>
      <c r="C169" s="6"/>
      <c r="D169" s="7"/>
      <c r="E169" s="6"/>
      <c r="F169" s="5" t="str">
        <f t="shared" si="14"/>
        <v/>
      </c>
      <c r="G169" s="5"/>
      <c r="H169" s="6"/>
      <c r="I169" s="6"/>
      <c r="J169" s="6"/>
      <c r="K169" s="7"/>
      <c r="L169" s="6"/>
      <c r="M169" s="8" t="str">
        <f t="shared" ca="1" si="15"/>
        <v/>
      </c>
      <c r="N169" s="6"/>
      <c r="O169" s="9"/>
      <c r="P169" s="10"/>
      <c r="Q169" s="6"/>
      <c r="R169" s="6"/>
      <c r="S169" s="6"/>
      <c r="T169" s="6"/>
      <c r="U169" s="6"/>
      <c r="V169" s="6"/>
      <c r="W169" s="6" t="str">
        <f t="shared" si="16"/>
        <v/>
      </c>
      <c r="X169" s="6" t="str">
        <f t="shared" si="17"/>
        <v/>
      </c>
      <c r="Y169" s="6" t="str">
        <f t="shared" si="18"/>
        <v/>
      </c>
      <c r="Z169" s="6" t="str">
        <f t="shared" si="19"/>
        <v/>
      </c>
      <c r="AA169" s="5" t="str">
        <f t="shared" si="20"/>
        <v/>
      </c>
    </row>
    <row r="170" spans="1:27" ht="14.5" x14ac:dyDescent="0.35">
      <c r="A170" s="5"/>
      <c r="B170" s="6"/>
      <c r="C170" s="6"/>
      <c r="D170" s="7"/>
      <c r="E170" s="6"/>
      <c r="F170" s="5" t="str">
        <f t="shared" si="14"/>
        <v/>
      </c>
      <c r="G170" s="5"/>
      <c r="H170" s="6"/>
      <c r="I170" s="6"/>
      <c r="J170" s="6"/>
      <c r="K170" s="7"/>
      <c r="L170" s="6"/>
      <c r="M170" s="8" t="str">
        <f t="shared" ca="1" si="15"/>
        <v/>
      </c>
      <c r="N170" s="6"/>
      <c r="O170" s="9"/>
      <c r="P170" s="10"/>
      <c r="Q170" s="6"/>
      <c r="R170" s="6"/>
      <c r="S170" s="6"/>
      <c r="T170" s="6"/>
      <c r="U170" s="6"/>
      <c r="V170" s="6"/>
      <c r="W170" s="6" t="str">
        <f t="shared" si="16"/>
        <v/>
      </c>
      <c r="X170" s="6" t="str">
        <f t="shared" si="17"/>
        <v/>
      </c>
      <c r="Y170" s="6" t="str">
        <f t="shared" si="18"/>
        <v/>
      </c>
      <c r="Z170" s="6" t="str">
        <f t="shared" si="19"/>
        <v/>
      </c>
      <c r="AA170" s="5" t="str">
        <f t="shared" si="20"/>
        <v/>
      </c>
    </row>
    <row r="171" spans="1:27" ht="14.5" x14ac:dyDescent="0.35">
      <c r="A171" s="5"/>
      <c r="B171" s="6"/>
      <c r="C171" s="6"/>
      <c r="D171" s="7"/>
      <c r="E171" s="6"/>
      <c r="F171" s="5" t="str">
        <f t="shared" si="14"/>
        <v/>
      </c>
      <c r="G171" s="5"/>
      <c r="H171" s="6"/>
      <c r="I171" s="6"/>
      <c r="J171" s="6"/>
      <c r="K171" s="7"/>
      <c r="L171" s="6"/>
      <c r="M171" s="8" t="str">
        <f t="shared" ca="1" si="15"/>
        <v/>
      </c>
      <c r="N171" s="6"/>
      <c r="O171" s="9"/>
      <c r="P171" s="10"/>
      <c r="Q171" s="6"/>
      <c r="R171" s="6"/>
      <c r="S171" s="6"/>
      <c r="T171" s="6"/>
      <c r="U171" s="6"/>
      <c r="V171" s="6"/>
      <c r="W171" s="6" t="str">
        <f t="shared" si="16"/>
        <v/>
      </c>
      <c r="X171" s="6" t="str">
        <f t="shared" si="17"/>
        <v/>
      </c>
      <c r="Y171" s="6" t="str">
        <f t="shared" si="18"/>
        <v/>
      </c>
      <c r="Z171" s="6" t="str">
        <f t="shared" si="19"/>
        <v/>
      </c>
      <c r="AA171" s="5" t="str">
        <f t="shared" si="20"/>
        <v/>
      </c>
    </row>
    <row r="172" spans="1:27" ht="14.5" x14ac:dyDescent="0.35">
      <c r="A172" s="5"/>
      <c r="B172" s="6"/>
      <c r="C172" s="6"/>
      <c r="D172" s="7"/>
      <c r="E172" s="6"/>
      <c r="F172" s="5" t="str">
        <f t="shared" si="14"/>
        <v/>
      </c>
      <c r="G172" s="5"/>
      <c r="H172" s="6"/>
      <c r="I172" s="6"/>
      <c r="J172" s="6"/>
      <c r="K172" s="7"/>
      <c r="L172" s="6"/>
      <c r="M172" s="8" t="str">
        <f t="shared" ca="1" si="15"/>
        <v/>
      </c>
      <c r="N172" s="6"/>
      <c r="O172" s="9"/>
      <c r="P172" s="10"/>
      <c r="Q172" s="6"/>
      <c r="R172" s="6"/>
      <c r="S172" s="6"/>
      <c r="T172" s="6"/>
      <c r="U172" s="6"/>
      <c r="V172" s="6"/>
      <c r="W172" s="6" t="str">
        <f t="shared" si="16"/>
        <v/>
      </c>
      <c r="X172" s="6" t="str">
        <f t="shared" si="17"/>
        <v/>
      </c>
      <c r="Y172" s="6" t="str">
        <f t="shared" si="18"/>
        <v/>
      </c>
      <c r="Z172" s="6" t="str">
        <f t="shared" si="19"/>
        <v/>
      </c>
      <c r="AA172" s="5" t="str">
        <f t="shared" si="20"/>
        <v/>
      </c>
    </row>
    <row r="173" spans="1:27" ht="14.5" x14ac:dyDescent="0.35">
      <c r="A173" s="5"/>
      <c r="B173" s="6"/>
      <c r="C173" s="6"/>
      <c r="D173" s="7"/>
      <c r="E173" s="6"/>
      <c r="F173" s="5" t="str">
        <f t="shared" si="14"/>
        <v/>
      </c>
      <c r="G173" s="5"/>
      <c r="H173" s="6"/>
      <c r="I173" s="6"/>
      <c r="J173" s="6"/>
      <c r="K173" s="7"/>
      <c r="L173" s="6"/>
      <c r="M173" s="8" t="str">
        <f t="shared" ca="1" si="15"/>
        <v/>
      </c>
      <c r="N173" s="6"/>
      <c r="O173" s="9"/>
      <c r="P173" s="10"/>
      <c r="Q173" s="6"/>
      <c r="R173" s="6"/>
      <c r="S173" s="6"/>
      <c r="T173" s="6"/>
      <c r="U173" s="6"/>
      <c r="V173" s="6"/>
      <c r="W173" s="6" t="str">
        <f t="shared" si="16"/>
        <v/>
      </c>
      <c r="X173" s="6" t="str">
        <f t="shared" si="17"/>
        <v/>
      </c>
      <c r="Y173" s="6" t="str">
        <f t="shared" si="18"/>
        <v/>
      </c>
      <c r="Z173" s="6" t="str">
        <f t="shared" si="19"/>
        <v/>
      </c>
      <c r="AA173" s="5" t="str">
        <f t="shared" si="20"/>
        <v/>
      </c>
    </row>
    <row r="174" spans="1:27" ht="14.5" x14ac:dyDescent="0.35">
      <c r="A174" s="5"/>
      <c r="B174" s="6"/>
      <c r="C174" s="6"/>
      <c r="D174" s="7"/>
      <c r="E174" s="6"/>
      <c r="F174" s="5" t="str">
        <f t="shared" si="14"/>
        <v/>
      </c>
      <c r="G174" s="5"/>
      <c r="H174" s="6"/>
      <c r="I174" s="6"/>
      <c r="J174" s="6"/>
      <c r="K174" s="7"/>
      <c r="L174" s="6"/>
      <c r="M174" s="8" t="str">
        <f t="shared" ca="1" si="15"/>
        <v/>
      </c>
      <c r="N174" s="6"/>
      <c r="O174" s="9"/>
      <c r="P174" s="10"/>
      <c r="Q174" s="6"/>
      <c r="R174" s="6"/>
      <c r="S174" s="6"/>
      <c r="T174" s="6"/>
      <c r="U174" s="6"/>
      <c r="V174" s="6"/>
      <c r="W174" s="6" t="str">
        <f t="shared" si="16"/>
        <v/>
      </c>
      <c r="X174" s="6" t="str">
        <f t="shared" si="17"/>
        <v/>
      </c>
      <c r="Y174" s="6" t="str">
        <f t="shared" si="18"/>
        <v/>
      </c>
      <c r="Z174" s="6" t="str">
        <f t="shared" si="19"/>
        <v/>
      </c>
      <c r="AA174" s="5" t="str">
        <f t="shared" si="20"/>
        <v/>
      </c>
    </row>
    <row r="175" spans="1:27" ht="14.5" x14ac:dyDescent="0.35">
      <c r="A175" s="5"/>
      <c r="B175" s="6"/>
      <c r="C175" s="6"/>
      <c r="D175" s="7"/>
      <c r="E175" s="6"/>
      <c r="F175" s="5" t="str">
        <f t="shared" si="14"/>
        <v/>
      </c>
      <c r="G175" s="5"/>
      <c r="H175" s="6"/>
      <c r="I175" s="6"/>
      <c r="J175" s="6"/>
      <c r="K175" s="7"/>
      <c r="L175" s="6"/>
      <c r="M175" s="8" t="str">
        <f t="shared" ca="1" si="15"/>
        <v/>
      </c>
      <c r="N175" s="6"/>
      <c r="O175" s="9"/>
      <c r="P175" s="10"/>
      <c r="Q175" s="6"/>
      <c r="R175" s="6"/>
      <c r="S175" s="6"/>
      <c r="T175" s="6"/>
      <c r="U175" s="6"/>
      <c r="V175" s="6"/>
      <c r="W175" s="6" t="str">
        <f t="shared" si="16"/>
        <v/>
      </c>
      <c r="X175" s="6" t="str">
        <f t="shared" si="17"/>
        <v/>
      </c>
      <c r="Y175" s="6" t="str">
        <f t="shared" si="18"/>
        <v/>
      </c>
      <c r="Z175" s="6" t="str">
        <f t="shared" si="19"/>
        <v/>
      </c>
      <c r="AA175" s="5" t="str">
        <f t="shared" si="20"/>
        <v/>
      </c>
    </row>
    <row r="176" spans="1:27" ht="14.5" x14ac:dyDescent="0.35">
      <c r="A176" s="5"/>
      <c r="B176" s="6"/>
      <c r="C176" s="6"/>
      <c r="D176" s="7"/>
      <c r="E176" s="6"/>
      <c r="F176" s="5" t="str">
        <f t="shared" si="14"/>
        <v/>
      </c>
      <c r="G176" s="5"/>
      <c r="H176" s="6"/>
      <c r="I176" s="6"/>
      <c r="J176" s="6"/>
      <c r="K176" s="7"/>
      <c r="L176" s="6"/>
      <c r="M176" s="8" t="str">
        <f t="shared" ca="1" si="15"/>
        <v/>
      </c>
      <c r="N176" s="6"/>
      <c r="O176" s="9"/>
      <c r="P176" s="10"/>
      <c r="Q176" s="6"/>
      <c r="R176" s="6"/>
      <c r="S176" s="6"/>
      <c r="T176" s="6"/>
      <c r="U176" s="6"/>
      <c r="V176" s="6"/>
      <c r="W176" s="6" t="str">
        <f t="shared" si="16"/>
        <v/>
      </c>
      <c r="X176" s="6" t="str">
        <f t="shared" si="17"/>
        <v/>
      </c>
      <c r="Y176" s="6" t="str">
        <f t="shared" si="18"/>
        <v/>
      </c>
      <c r="Z176" s="6" t="str">
        <f t="shared" si="19"/>
        <v/>
      </c>
      <c r="AA176" s="5" t="str">
        <f t="shared" si="20"/>
        <v/>
      </c>
    </row>
    <row r="177" spans="1:27" ht="14.5" x14ac:dyDescent="0.35">
      <c r="A177" s="5"/>
      <c r="B177" s="6"/>
      <c r="C177" s="6"/>
      <c r="D177" s="7"/>
      <c r="E177" s="6"/>
      <c r="F177" s="5" t="str">
        <f t="shared" si="14"/>
        <v/>
      </c>
      <c r="G177" s="5"/>
      <c r="H177" s="6"/>
      <c r="I177" s="6"/>
      <c r="J177" s="6"/>
      <c r="K177" s="7"/>
      <c r="L177" s="6"/>
      <c r="M177" s="8" t="str">
        <f t="shared" ca="1" si="15"/>
        <v/>
      </c>
      <c r="N177" s="6"/>
      <c r="O177" s="9"/>
      <c r="P177" s="10"/>
      <c r="Q177" s="6"/>
      <c r="R177" s="6"/>
      <c r="S177" s="6"/>
      <c r="T177" s="6"/>
      <c r="U177" s="6"/>
      <c r="V177" s="6"/>
      <c r="W177" s="6" t="str">
        <f t="shared" si="16"/>
        <v/>
      </c>
      <c r="X177" s="6" t="str">
        <f t="shared" si="17"/>
        <v/>
      </c>
      <c r="Y177" s="6" t="str">
        <f t="shared" si="18"/>
        <v/>
      </c>
      <c r="Z177" s="6" t="str">
        <f t="shared" si="19"/>
        <v/>
      </c>
      <c r="AA177" s="5" t="str">
        <f t="shared" si="20"/>
        <v/>
      </c>
    </row>
    <row r="178" spans="1:27" ht="14.5" x14ac:dyDescent="0.35">
      <c r="A178" s="5"/>
      <c r="B178" s="6"/>
      <c r="C178" s="6"/>
      <c r="D178" s="7"/>
      <c r="E178" s="6"/>
      <c r="F178" s="5" t="str">
        <f t="shared" si="14"/>
        <v/>
      </c>
      <c r="G178" s="5"/>
      <c r="H178" s="6"/>
      <c r="I178" s="6"/>
      <c r="J178" s="6"/>
      <c r="K178" s="7"/>
      <c r="L178" s="6"/>
      <c r="M178" s="8" t="str">
        <f t="shared" ca="1" si="15"/>
        <v/>
      </c>
      <c r="N178" s="6"/>
      <c r="O178" s="9"/>
      <c r="P178" s="10"/>
      <c r="Q178" s="6"/>
      <c r="R178" s="6"/>
      <c r="S178" s="6"/>
      <c r="T178" s="6"/>
      <c r="U178" s="6"/>
      <c r="V178" s="6"/>
      <c r="W178" s="6" t="str">
        <f t="shared" si="16"/>
        <v/>
      </c>
      <c r="X178" s="6" t="str">
        <f t="shared" si="17"/>
        <v/>
      </c>
      <c r="Y178" s="6" t="str">
        <f t="shared" si="18"/>
        <v/>
      </c>
      <c r="Z178" s="6" t="str">
        <f t="shared" si="19"/>
        <v/>
      </c>
      <c r="AA178" s="5" t="str">
        <f t="shared" si="20"/>
        <v/>
      </c>
    </row>
    <row r="179" spans="1:27" ht="14.5" x14ac:dyDescent="0.35">
      <c r="A179" s="5"/>
      <c r="B179" s="6"/>
      <c r="C179" s="6"/>
      <c r="D179" s="7"/>
      <c r="E179" s="6"/>
      <c r="F179" s="5" t="str">
        <f t="shared" si="14"/>
        <v/>
      </c>
      <c r="G179" s="5"/>
      <c r="H179" s="6"/>
      <c r="I179" s="6"/>
      <c r="J179" s="6"/>
      <c r="K179" s="7"/>
      <c r="L179" s="6"/>
      <c r="M179" s="8" t="str">
        <f t="shared" ca="1" si="15"/>
        <v/>
      </c>
      <c r="N179" s="6"/>
      <c r="O179" s="9"/>
      <c r="P179" s="10"/>
      <c r="Q179" s="6"/>
      <c r="R179" s="6"/>
      <c r="S179" s="6"/>
      <c r="T179" s="6"/>
      <c r="U179" s="6"/>
      <c r="V179" s="6"/>
      <c r="W179" s="6" t="str">
        <f t="shared" si="16"/>
        <v/>
      </c>
      <c r="X179" s="6" t="str">
        <f t="shared" si="17"/>
        <v/>
      </c>
      <c r="Y179" s="6" t="str">
        <f t="shared" si="18"/>
        <v/>
      </c>
      <c r="Z179" s="6" t="str">
        <f t="shared" si="19"/>
        <v/>
      </c>
      <c r="AA179" s="5" t="str">
        <f t="shared" si="20"/>
        <v/>
      </c>
    </row>
    <row r="180" spans="1:27" ht="14.5" x14ac:dyDescent="0.35">
      <c r="A180" s="5"/>
      <c r="B180" s="6"/>
      <c r="C180" s="6"/>
      <c r="D180" s="7"/>
      <c r="E180" s="6"/>
      <c r="F180" s="5" t="str">
        <f t="shared" si="14"/>
        <v/>
      </c>
      <c r="G180" s="5"/>
      <c r="H180" s="6"/>
      <c r="I180" s="6"/>
      <c r="J180" s="6"/>
      <c r="K180" s="7"/>
      <c r="L180" s="6"/>
      <c r="M180" s="8" t="str">
        <f t="shared" ca="1" si="15"/>
        <v/>
      </c>
      <c r="N180" s="6"/>
      <c r="O180" s="9"/>
      <c r="P180" s="10"/>
      <c r="Q180" s="6"/>
      <c r="R180" s="6"/>
      <c r="S180" s="6"/>
      <c r="T180" s="6"/>
      <c r="U180" s="6"/>
      <c r="V180" s="6"/>
      <c r="W180" s="6" t="str">
        <f t="shared" si="16"/>
        <v/>
      </c>
      <c r="X180" s="6" t="str">
        <f t="shared" si="17"/>
        <v/>
      </c>
      <c r="Y180" s="6" t="str">
        <f t="shared" si="18"/>
        <v/>
      </c>
      <c r="Z180" s="6" t="str">
        <f t="shared" si="19"/>
        <v/>
      </c>
      <c r="AA180" s="5" t="str">
        <f t="shared" si="20"/>
        <v/>
      </c>
    </row>
    <row r="181" spans="1:27" ht="14.5" x14ac:dyDescent="0.35">
      <c r="A181" s="5"/>
      <c r="B181" s="6"/>
      <c r="C181" s="6"/>
      <c r="D181" s="7"/>
      <c r="E181" s="6"/>
      <c r="F181" s="5" t="str">
        <f t="shared" si="14"/>
        <v/>
      </c>
      <c r="G181" s="5"/>
      <c r="H181" s="6"/>
      <c r="I181" s="6"/>
      <c r="J181" s="6"/>
      <c r="K181" s="7"/>
      <c r="L181" s="6"/>
      <c r="M181" s="8" t="str">
        <f t="shared" ca="1" si="15"/>
        <v/>
      </c>
      <c r="N181" s="6"/>
      <c r="O181" s="9"/>
      <c r="P181" s="10"/>
      <c r="Q181" s="6"/>
      <c r="R181" s="6"/>
      <c r="S181" s="6"/>
      <c r="T181" s="6"/>
      <c r="U181" s="6"/>
      <c r="V181" s="6"/>
      <c r="W181" s="6" t="str">
        <f t="shared" si="16"/>
        <v/>
      </c>
      <c r="X181" s="6" t="str">
        <f t="shared" si="17"/>
        <v/>
      </c>
      <c r="Y181" s="6" t="str">
        <f t="shared" si="18"/>
        <v/>
      </c>
      <c r="Z181" s="6" t="str">
        <f t="shared" si="19"/>
        <v/>
      </c>
      <c r="AA181" s="5" t="str">
        <f t="shared" si="20"/>
        <v/>
      </c>
    </row>
    <row r="182" spans="1:27" ht="14.5" x14ac:dyDescent="0.35">
      <c r="A182" s="5"/>
      <c r="B182" s="6"/>
      <c r="C182" s="6"/>
      <c r="D182" s="7"/>
      <c r="E182" s="6"/>
      <c r="F182" s="5" t="str">
        <f t="shared" si="14"/>
        <v/>
      </c>
      <c r="G182" s="5"/>
      <c r="H182" s="6"/>
      <c r="I182" s="6"/>
      <c r="J182" s="6"/>
      <c r="K182" s="7"/>
      <c r="L182" s="6"/>
      <c r="M182" s="8" t="str">
        <f t="shared" ca="1" si="15"/>
        <v/>
      </c>
      <c r="N182" s="6"/>
      <c r="O182" s="9"/>
      <c r="P182" s="10"/>
      <c r="Q182" s="6"/>
      <c r="R182" s="6"/>
      <c r="S182" s="6"/>
      <c r="T182" s="6"/>
      <c r="U182" s="6"/>
      <c r="V182" s="6"/>
      <c r="W182" s="6" t="str">
        <f t="shared" si="16"/>
        <v/>
      </c>
      <c r="X182" s="6" t="str">
        <f t="shared" si="17"/>
        <v/>
      </c>
      <c r="Y182" s="6" t="str">
        <f t="shared" si="18"/>
        <v/>
      </c>
      <c r="Z182" s="6" t="str">
        <f t="shared" si="19"/>
        <v/>
      </c>
      <c r="AA182" s="5" t="str">
        <f t="shared" si="20"/>
        <v/>
      </c>
    </row>
    <row r="183" spans="1:27" ht="14.5" x14ac:dyDescent="0.35">
      <c r="A183" s="5"/>
      <c r="B183" s="6"/>
      <c r="C183" s="6"/>
      <c r="D183" s="7"/>
      <c r="E183" s="6"/>
      <c r="F183" s="5" t="str">
        <f t="shared" si="14"/>
        <v/>
      </c>
      <c r="G183" s="5"/>
      <c r="H183" s="6"/>
      <c r="I183" s="6"/>
      <c r="J183" s="6"/>
      <c r="K183" s="7"/>
      <c r="L183" s="6"/>
      <c r="M183" s="8" t="str">
        <f t="shared" ca="1" si="15"/>
        <v/>
      </c>
      <c r="N183" s="6"/>
      <c r="O183" s="9"/>
      <c r="P183" s="10"/>
      <c r="Q183" s="6"/>
      <c r="R183" s="6"/>
      <c r="S183" s="6"/>
      <c r="T183" s="6"/>
      <c r="U183" s="6"/>
      <c r="V183" s="6"/>
      <c r="W183" s="6" t="str">
        <f t="shared" si="16"/>
        <v/>
      </c>
      <c r="X183" s="6" t="str">
        <f t="shared" si="17"/>
        <v/>
      </c>
      <c r="Y183" s="6" t="str">
        <f t="shared" si="18"/>
        <v/>
      </c>
      <c r="Z183" s="6" t="str">
        <f t="shared" si="19"/>
        <v/>
      </c>
      <c r="AA183" s="5" t="str">
        <f t="shared" si="20"/>
        <v/>
      </c>
    </row>
    <row r="184" spans="1:27" ht="14.5" x14ac:dyDescent="0.35">
      <c r="A184" s="5"/>
      <c r="B184" s="6"/>
      <c r="C184" s="6"/>
      <c r="D184" s="7"/>
      <c r="E184" s="6"/>
      <c r="F184" s="5" t="str">
        <f t="shared" si="14"/>
        <v/>
      </c>
      <c r="G184" s="5"/>
      <c r="H184" s="6"/>
      <c r="I184" s="6"/>
      <c r="J184" s="6"/>
      <c r="K184" s="7"/>
      <c r="L184" s="6"/>
      <c r="M184" s="8" t="str">
        <f t="shared" ca="1" si="15"/>
        <v/>
      </c>
      <c r="N184" s="6"/>
      <c r="O184" s="9"/>
      <c r="P184" s="10"/>
      <c r="Q184" s="6"/>
      <c r="R184" s="6"/>
      <c r="S184" s="6"/>
      <c r="T184" s="6"/>
      <c r="U184" s="6"/>
      <c r="V184" s="6"/>
      <c r="W184" s="6" t="str">
        <f t="shared" si="16"/>
        <v/>
      </c>
      <c r="X184" s="6" t="str">
        <f t="shared" si="17"/>
        <v/>
      </c>
      <c r="Y184" s="6" t="str">
        <f t="shared" si="18"/>
        <v/>
      </c>
      <c r="Z184" s="6" t="str">
        <f t="shared" si="19"/>
        <v/>
      </c>
      <c r="AA184" s="5" t="str">
        <f t="shared" si="20"/>
        <v/>
      </c>
    </row>
    <row r="185" spans="1:27" ht="14.5" x14ac:dyDescent="0.35">
      <c r="A185" s="5"/>
      <c r="B185" s="6"/>
      <c r="C185" s="6"/>
      <c r="D185" s="7"/>
      <c r="E185" s="6"/>
      <c r="F185" s="5" t="str">
        <f t="shared" si="14"/>
        <v/>
      </c>
      <c r="G185" s="5"/>
      <c r="H185" s="6"/>
      <c r="I185" s="6"/>
      <c r="J185" s="6"/>
      <c r="K185" s="7"/>
      <c r="L185" s="6"/>
      <c r="M185" s="8" t="str">
        <f t="shared" ca="1" si="15"/>
        <v/>
      </c>
      <c r="N185" s="6"/>
      <c r="O185" s="9"/>
      <c r="P185" s="10"/>
      <c r="Q185" s="6"/>
      <c r="R185" s="6"/>
      <c r="S185" s="6"/>
      <c r="T185" s="6"/>
      <c r="U185" s="6"/>
      <c r="V185" s="6"/>
      <c r="W185" s="6" t="str">
        <f t="shared" si="16"/>
        <v/>
      </c>
      <c r="X185" s="6" t="str">
        <f t="shared" si="17"/>
        <v/>
      </c>
      <c r="Y185" s="6" t="str">
        <f t="shared" si="18"/>
        <v/>
      </c>
      <c r="Z185" s="6" t="str">
        <f t="shared" si="19"/>
        <v/>
      </c>
      <c r="AA185" s="5" t="str">
        <f t="shared" si="20"/>
        <v/>
      </c>
    </row>
    <row r="186" spans="1:27" ht="14.5" x14ac:dyDescent="0.35">
      <c r="A186" s="5"/>
      <c r="B186" s="6"/>
      <c r="C186" s="6"/>
      <c r="D186" s="7"/>
      <c r="E186" s="6"/>
      <c r="F186" s="5" t="str">
        <f t="shared" si="14"/>
        <v/>
      </c>
      <c r="G186" s="5"/>
      <c r="H186" s="6"/>
      <c r="I186" s="6"/>
      <c r="J186" s="6"/>
      <c r="K186" s="7"/>
      <c r="L186" s="6"/>
      <c r="M186" s="8" t="str">
        <f t="shared" ca="1" si="15"/>
        <v/>
      </c>
      <c r="N186" s="6"/>
      <c r="O186" s="9"/>
      <c r="P186" s="10"/>
      <c r="Q186" s="6"/>
      <c r="R186" s="6"/>
      <c r="S186" s="6"/>
      <c r="T186" s="6"/>
      <c r="U186" s="6"/>
      <c r="V186" s="6"/>
      <c r="W186" s="6" t="str">
        <f t="shared" si="16"/>
        <v/>
      </c>
      <c r="X186" s="6" t="str">
        <f t="shared" si="17"/>
        <v/>
      </c>
      <c r="Y186" s="6" t="str">
        <f t="shared" si="18"/>
        <v/>
      </c>
      <c r="Z186" s="6" t="str">
        <f t="shared" si="19"/>
        <v/>
      </c>
      <c r="AA186" s="5" t="str">
        <f t="shared" si="20"/>
        <v/>
      </c>
    </row>
    <row r="187" spans="1:27" ht="14.5" x14ac:dyDescent="0.35">
      <c r="A187" s="5"/>
      <c r="B187" s="6"/>
      <c r="C187" s="6"/>
      <c r="D187" s="7"/>
      <c r="E187" s="6"/>
      <c r="F187" s="5" t="str">
        <f t="shared" si="14"/>
        <v/>
      </c>
      <c r="G187" s="5"/>
      <c r="H187" s="6"/>
      <c r="I187" s="6"/>
      <c r="J187" s="6"/>
      <c r="K187" s="7"/>
      <c r="L187" s="6"/>
      <c r="M187" s="8" t="str">
        <f t="shared" ca="1" si="15"/>
        <v/>
      </c>
      <c r="N187" s="6"/>
      <c r="O187" s="9"/>
      <c r="P187" s="10"/>
      <c r="Q187" s="6"/>
      <c r="R187" s="6"/>
      <c r="S187" s="6"/>
      <c r="T187" s="6"/>
      <c r="U187" s="6"/>
      <c r="V187" s="6"/>
      <c r="W187" s="6" t="str">
        <f t="shared" si="16"/>
        <v/>
      </c>
      <c r="X187" s="6" t="str">
        <f t="shared" si="17"/>
        <v/>
      </c>
      <c r="Y187" s="6" t="str">
        <f t="shared" si="18"/>
        <v/>
      </c>
      <c r="Z187" s="6" t="str">
        <f t="shared" si="19"/>
        <v/>
      </c>
      <c r="AA187" s="5" t="str">
        <f t="shared" si="20"/>
        <v/>
      </c>
    </row>
    <row r="188" spans="1:27" ht="14.5" x14ac:dyDescent="0.35">
      <c r="A188" s="5"/>
      <c r="B188" s="6"/>
      <c r="C188" s="6"/>
      <c r="D188" s="7"/>
      <c r="E188" s="6"/>
      <c r="F188" s="5" t="str">
        <f t="shared" si="14"/>
        <v/>
      </c>
      <c r="G188" s="5"/>
      <c r="H188" s="6"/>
      <c r="I188" s="6"/>
      <c r="J188" s="6"/>
      <c r="K188" s="7"/>
      <c r="L188" s="6"/>
      <c r="M188" s="8" t="str">
        <f t="shared" ca="1" si="15"/>
        <v/>
      </c>
      <c r="N188" s="6"/>
      <c r="O188" s="9"/>
      <c r="P188" s="10"/>
      <c r="Q188" s="6"/>
      <c r="R188" s="6"/>
      <c r="S188" s="6"/>
      <c r="T188" s="6"/>
      <c r="U188" s="6"/>
      <c r="V188" s="6"/>
      <c r="W188" s="6" t="str">
        <f t="shared" si="16"/>
        <v/>
      </c>
      <c r="X188" s="6" t="str">
        <f t="shared" si="17"/>
        <v/>
      </c>
      <c r="Y188" s="6" t="str">
        <f t="shared" si="18"/>
        <v/>
      </c>
      <c r="Z188" s="6" t="str">
        <f t="shared" si="19"/>
        <v/>
      </c>
      <c r="AA188" s="5" t="str">
        <f t="shared" si="20"/>
        <v/>
      </c>
    </row>
    <row r="189" spans="1:27" ht="14.5" x14ac:dyDescent="0.35">
      <c r="A189" s="5"/>
      <c r="B189" s="6"/>
      <c r="C189" s="6"/>
      <c r="D189" s="7"/>
      <c r="E189" s="6"/>
      <c r="F189" s="5" t="str">
        <f t="shared" si="14"/>
        <v/>
      </c>
      <c r="G189" s="5"/>
      <c r="H189" s="6"/>
      <c r="I189" s="6"/>
      <c r="J189" s="6"/>
      <c r="K189" s="7"/>
      <c r="L189" s="6"/>
      <c r="M189" s="8" t="str">
        <f t="shared" ca="1" si="15"/>
        <v/>
      </c>
      <c r="N189" s="6"/>
      <c r="O189" s="9"/>
      <c r="P189" s="10"/>
      <c r="Q189" s="6"/>
      <c r="R189" s="6"/>
      <c r="S189" s="6"/>
      <c r="T189" s="6"/>
      <c r="U189" s="6"/>
      <c r="V189" s="6"/>
      <c r="W189" s="6" t="str">
        <f t="shared" si="16"/>
        <v/>
      </c>
      <c r="X189" s="6" t="str">
        <f t="shared" si="17"/>
        <v/>
      </c>
      <c r="Y189" s="6" t="str">
        <f t="shared" si="18"/>
        <v/>
      </c>
      <c r="Z189" s="6" t="str">
        <f t="shared" si="19"/>
        <v/>
      </c>
      <c r="AA189" s="5" t="str">
        <f t="shared" si="20"/>
        <v/>
      </c>
    </row>
    <row r="190" spans="1:27" ht="14.5" x14ac:dyDescent="0.35">
      <c r="A190" s="5"/>
      <c r="B190" s="6"/>
      <c r="C190" s="6"/>
      <c r="D190" s="7"/>
      <c r="E190" s="6"/>
      <c r="F190" s="5" t="str">
        <f t="shared" si="14"/>
        <v/>
      </c>
      <c r="G190" s="5"/>
      <c r="H190" s="6"/>
      <c r="I190" s="6"/>
      <c r="J190" s="6"/>
      <c r="K190" s="7"/>
      <c r="L190" s="6"/>
      <c r="M190" s="8" t="str">
        <f t="shared" ca="1" si="15"/>
        <v/>
      </c>
      <c r="N190" s="6"/>
      <c r="O190" s="9"/>
      <c r="P190" s="10"/>
      <c r="Q190" s="6"/>
      <c r="R190" s="6"/>
      <c r="S190" s="6"/>
      <c r="T190" s="6"/>
      <c r="U190" s="6"/>
      <c r="V190" s="6"/>
      <c r="W190" s="6" t="str">
        <f t="shared" si="16"/>
        <v/>
      </c>
      <c r="X190" s="6" t="str">
        <f t="shared" si="17"/>
        <v/>
      </c>
      <c r="Y190" s="6" t="str">
        <f t="shared" si="18"/>
        <v/>
      </c>
      <c r="Z190" s="6" t="str">
        <f t="shared" si="19"/>
        <v/>
      </c>
      <c r="AA190" s="5" t="str">
        <f t="shared" si="20"/>
        <v/>
      </c>
    </row>
    <row r="191" spans="1:27" ht="14.5" x14ac:dyDescent="0.35">
      <c r="A191" s="5"/>
      <c r="B191" s="6"/>
      <c r="C191" s="6"/>
      <c r="D191" s="7"/>
      <c r="E191" s="6"/>
      <c r="F191" s="5" t="str">
        <f t="shared" si="14"/>
        <v/>
      </c>
      <c r="G191" s="5"/>
      <c r="H191" s="6"/>
      <c r="I191" s="6"/>
      <c r="J191" s="6"/>
      <c r="K191" s="7"/>
      <c r="L191" s="6"/>
      <c r="M191" s="8" t="str">
        <f t="shared" ca="1" si="15"/>
        <v/>
      </c>
      <c r="N191" s="6"/>
      <c r="O191" s="9"/>
      <c r="P191" s="10"/>
      <c r="Q191" s="6"/>
      <c r="R191" s="6"/>
      <c r="S191" s="6"/>
      <c r="T191" s="6"/>
      <c r="U191" s="6"/>
      <c r="V191" s="6"/>
      <c r="W191" s="6" t="str">
        <f t="shared" si="16"/>
        <v/>
      </c>
      <c r="X191" s="6" t="str">
        <f t="shared" si="17"/>
        <v/>
      </c>
      <c r="Y191" s="6" t="str">
        <f t="shared" si="18"/>
        <v/>
      </c>
      <c r="Z191" s="6" t="str">
        <f t="shared" si="19"/>
        <v/>
      </c>
      <c r="AA191" s="5" t="str">
        <f t="shared" si="20"/>
        <v/>
      </c>
    </row>
    <row r="192" spans="1:27" ht="14.5" x14ac:dyDescent="0.35">
      <c r="A192" s="5"/>
      <c r="B192" s="6"/>
      <c r="C192" s="6"/>
      <c r="D192" s="7"/>
      <c r="E192" s="6"/>
      <c r="F192" s="5" t="str">
        <f t="shared" si="14"/>
        <v/>
      </c>
      <c r="G192" s="5"/>
      <c r="H192" s="6"/>
      <c r="I192" s="6"/>
      <c r="J192" s="6"/>
      <c r="K192" s="7"/>
      <c r="L192" s="6"/>
      <c r="M192" s="8" t="str">
        <f t="shared" ca="1" si="15"/>
        <v/>
      </c>
      <c r="N192" s="6"/>
      <c r="O192" s="9"/>
      <c r="P192" s="10"/>
      <c r="Q192" s="6"/>
      <c r="R192" s="6"/>
      <c r="S192" s="6"/>
      <c r="T192" s="6"/>
      <c r="U192" s="6"/>
      <c r="V192" s="6"/>
      <c r="W192" s="6" t="str">
        <f t="shared" si="16"/>
        <v/>
      </c>
      <c r="X192" s="6" t="str">
        <f t="shared" si="17"/>
        <v/>
      </c>
      <c r="Y192" s="6" t="str">
        <f t="shared" si="18"/>
        <v/>
      </c>
      <c r="Z192" s="6" t="str">
        <f t="shared" si="19"/>
        <v/>
      </c>
      <c r="AA192" s="5" t="str">
        <f t="shared" si="20"/>
        <v/>
      </c>
    </row>
    <row r="193" spans="1:27" ht="14.5" x14ac:dyDescent="0.35">
      <c r="A193" s="5"/>
      <c r="B193" s="6"/>
      <c r="C193" s="6"/>
      <c r="D193" s="7"/>
      <c r="E193" s="6"/>
      <c r="F193" s="5" t="str">
        <f t="shared" si="14"/>
        <v/>
      </c>
      <c r="G193" s="5"/>
      <c r="H193" s="6"/>
      <c r="I193" s="6"/>
      <c r="J193" s="6"/>
      <c r="K193" s="7"/>
      <c r="L193" s="6"/>
      <c r="M193" s="8" t="str">
        <f t="shared" ca="1" si="15"/>
        <v/>
      </c>
      <c r="N193" s="6"/>
      <c r="O193" s="9"/>
      <c r="P193" s="10"/>
      <c r="Q193" s="6"/>
      <c r="R193" s="6"/>
      <c r="S193" s="6"/>
      <c r="T193" s="6"/>
      <c r="U193" s="6"/>
      <c r="V193" s="6"/>
      <c r="W193" s="6" t="str">
        <f t="shared" si="16"/>
        <v/>
      </c>
      <c r="X193" s="6" t="str">
        <f t="shared" si="17"/>
        <v/>
      </c>
      <c r="Y193" s="6" t="str">
        <f t="shared" si="18"/>
        <v/>
      </c>
      <c r="Z193" s="6" t="str">
        <f t="shared" si="19"/>
        <v/>
      </c>
      <c r="AA193" s="5" t="str">
        <f t="shared" si="20"/>
        <v/>
      </c>
    </row>
    <row r="194" spans="1:27" ht="14.5" x14ac:dyDescent="0.35">
      <c r="A194" s="5"/>
      <c r="B194" s="6"/>
      <c r="C194" s="6"/>
      <c r="D194" s="7"/>
      <c r="E194" s="6"/>
      <c r="F194" s="5" t="str">
        <f t="shared" ref="F194:F257" si="21">IF(COUNTIF($A$2:$A$501,A194&amp;".*")=0,"",COUNTIF($A$2:$A$501,A194&amp;".*"))</f>
        <v/>
      </c>
      <c r="G194" s="5"/>
      <c r="H194" s="6"/>
      <c r="I194" s="6"/>
      <c r="J194" s="6"/>
      <c r="K194" s="7"/>
      <c r="L194" s="6"/>
      <c r="M194" s="8" t="str">
        <f t="shared" ref="M194:M257" ca="1" si="22">IF(K194="","",INT(K194)-TODAY())</f>
        <v/>
      </c>
      <c r="N194" s="6"/>
      <c r="O194" s="9"/>
      <c r="P194" s="10"/>
      <c r="Q194" s="6"/>
      <c r="R194" s="6"/>
      <c r="S194" s="6"/>
      <c r="T194" s="6"/>
      <c r="U194" s="6"/>
      <c r="V194" s="6"/>
      <c r="W194" s="6" t="str">
        <f t="shared" ref="W194:W257" si="23">IF(K194="","",K194+Q194/1000000)</f>
        <v/>
      </c>
      <c r="X194" s="6" t="str">
        <f t="shared" ref="X194:X257" si="24">IF(V194="","",IF(K194="",9999999+Q194/1000000,K194+Q194/1000000))</f>
        <v/>
      </c>
      <c r="Y194" s="6" t="str">
        <f t="shared" ref="Y194:Y257" si="25">IF(V194="","",SUMPRODUCT(($V$2:$V$501=V194)*($X$2:$X$501&lt;=X194)))</f>
        <v/>
      </c>
      <c r="Z194" s="6" t="str">
        <f t="shared" ref="Z194:Z257" si="26">IF(V194="","",V194&amp;"|"&amp;Y194)</f>
        <v/>
      </c>
      <c r="AA194" s="5" t="str">
        <f t="shared" ref="AA194:AA257" si="27">IF(O194="","",TEXT(INT(ROUND(O194*60,0)/60),"0")&amp;"h "&amp;TEXT(MOD(ROUND(O194*60,0),60),"00")&amp;"m")</f>
        <v/>
      </c>
    </row>
    <row r="195" spans="1:27" ht="14.5" x14ac:dyDescent="0.35">
      <c r="A195" s="5"/>
      <c r="B195" s="6"/>
      <c r="C195" s="6"/>
      <c r="D195" s="7"/>
      <c r="E195" s="6"/>
      <c r="F195" s="5" t="str">
        <f t="shared" si="21"/>
        <v/>
      </c>
      <c r="G195" s="5"/>
      <c r="H195" s="6"/>
      <c r="I195" s="6"/>
      <c r="J195" s="6"/>
      <c r="K195" s="7"/>
      <c r="L195" s="6"/>
      <c r="M195" s="8" t="str">
        <f t="shared" ca="1" si="22"/>
        <v/>
      </c>
      <c r="N195" s="6"/>
      <c r="O195" s="9"/>
      <c r="P195" s="10"/>
      <c r="Q195" s="6"/>
      <c r="R195" s="6"/>
      <c r="S195" s="6"/>
      <c r="T195" s="6"/>
      <c r="U195" s="6"/>
      <c r="V195" s="6"/>
      <c r="W195" s="6" t="str">
        <f t="shared" si="23"/>
        <v/>
      </c>
      <c r="X195" s="6" t="str">
        <f t="shared" si="24"/>
        <v/>
      </c>
      <c r="Y195" s="6" t="str">
        <f t="shared" si="25"/>
        <v/>
      </c>
      <c r="Z195" s="6" t="str">
        <f t="shared" si="26"/>
        <v/>
      </c>
      <c r="AA195" s="5" t="str">
        <f t="shared" si="27"/>
        <v/>
      </c>
    </row>
    <row r="196" spans="1:27" ht="14.5" x14ac:dyDescent="0.35">
      <c r="A196" s="5"/>
      <c r="B196" s="6"/>
      <c r="C196" s="6"/>
      <c r="D196" s="7"/>
      <c r="E196" s="6"/>
      <c r="F196" s="5" t="str">
        <f t="shared" si="21"/>
        <v/>
      </c>
      <c r="G196" s="5"/>
      <c r="H196" s="6"/>
      <c r="I196" s="6"/>
      <c r="J196" s="6"/>
      <c r="K196" s="7"/>
      <c r="L196" s="6"/>
      <c r="M196" s="8" t="str">
        <f t="shared" ca="1" si="22"/>
        <v/>
      </c>
      <c r="N196" s="6"/>
      <c r="O196" s="9"/>
      <c r="P196" s="10"/>
      <c r="Q196" s="6"/>
      <c r="R196" s="6"/>
      <c r="S196" s="6"/>
      <c r="T196" s="6"/>
      <c r="U196" s="6"/>
      <c r="V196" s="6"/>
      <c r="W196" s="6" t="str">
        <f t="shared" si="23"/>
        <v/>
      </c>
      <c r="X196" s="6" t="str">
        <f t="shared" si="24"/>
        <v/>
      </c>
      <c r="Y196" s="6" t="str">
        <f t="shared" si="25"/>
        <v/>
      </c>
      <c r="Z196" s="6" t="str">
        <f t="shared" si="26"/>
        <v/>
      </c>
      <c r="AA196" s="5" t="str">
        <f t="shared" si="27"/>
        <v/>
      </c>
    </row>
    <row r="197" spans="1:27" ht="14.5" x14ac:dyDescent="0.35">
      <c r="A197" s="5"/>
      <c r="B197" s="6"/>
      <c r="C197" s="6"/>
      <c r="D197" s="7"/>
      <c r="E197" s="6"/>
      <c r="F197" s="5" t="str">
        <f t="shared" si="21"/>
        <v/>
      </c>
      <c r="G197" s="5"/>
      <c r="H197" s="6"/>
      <c r="I197" s="6"/>
      <c r="J197" s="6"/>
      <c r="K197" s="7"/>
      <c r="L197" s="6"/>
      <c r="M197" s="8" t="str">
        <f t="shared" ca="1" si="22"/>
        <v/>
      </c>
      <c r="N197" s="6"/>
      <c r="O197" s="9"/>
      <c r="P197" s="10"/>
      <c r="Q197" s="6"/>
      <c r="R197" s="6"/>
      <c r="S197" s="6"/>
      <c r="T197" s="6"/>
      <c r="U197" s="6"/>
      <c r="V197" s="6"/>
      <c r="W197" s="6" t="str">
        <f t="shared" si="23"/>
        <v/>
      </c>
      <c r="X197" s="6" t="str">
        <f t="shared" si="24"/>
        <v/>
      </c>
      <c r="Y197" s="6" t="str">
        <f t="shared" si="25"/>
        <v/>
      </c>
      <c r="Z197" s="6" t="str">
        <f t="shared" si="26"/>
        <v/>
      </c>
      <c r="AA197" s="5" t="str">
        <f t="shared" si="27"/>
        <v/>
      </c>
    </row>
    <row r="198" spans="1:27" ht="14.5" x14ac:dyDescent="0.35">
      <c r="A198" s="5"/>
      <c r="B198" s="6"/>
      <c r="C198" s="6"/>
      <c r="D198" s="7"/>
      <c r="E198" s="6"/>
      <c r="F198" s="5" t="str">
        <f t="shared" si="21"/>
        <v/>
      </c>
      <c r="G198" s="5"/>
      <c r="H198" s="6"/>
      <c r="I198" s="6"/>
      <c r="J198" s="6"/>
      <c r="K198" s="7"/>
      <c r="L198" s="6"/>
      <c r="M198" s="8" t="str">
        <f t="shared" ca="1" si="22"/>
        <v/>
      </c>
      <c r="N198" s="6"/>
      <c r="O198" s="9"/>
      <c r="P198" s="10"/>
      <c r="Q198" s="6"/>
      <c r="R198" s="6"/>
      <c r="S198" s="6"/>
      <c r="T198" s="6"/>
      <c r="U198" s="6"/>
      <c r="V198" s="6"/>
      <c r="W198" s="6" t="str">
        <f t="shared" si="23"/>
        <v/>
      </c>
      <c r="X198" s="6" t="str">
        <f t="shared" si="24"/>
        <v/>
      </c>
      <c r="Y198" s="6" t="str">
        <f t="shared" si="25"/>
        <v/>
      </c>
      <c r="Z198" s="6" t="str">
        <f t="shared" si="26"/>
        <v/>
      </c>
      <c r="AA198" s="5" t="str">
        <f t="shared" si="27"/>
        <v/>
      </c>
    </row>
    <row r="199" spans="1:27" ht="14.5" x14ac:dyDescent="0.35">
      <c r="A199" s="5"/>
      <c r="B199" s="6"/>
      <c r="C199" s="6"/>
      <c r="D199" s="7"/>
      <c r="E199" s="6"/>
      <c r="F199" s="5" t="str">
        <f t="shared" si="21"/>
        <v/>
      </c>
      <c r="G199" s="5"/>
      <c r="H199" s="6"/>
      <c r="I199" s="6"/>
      <c r="J199" s="6"/>
      <c r="K199" s="7"/>
      <c r="L199" s="6"/>
      <c r="M199" s="8" t="str">
        <f t="shared" ca="1" si="22"/>
        <v/>
      </c>
      <c r="N199" s="6"/>
      <c r="O199" s="9"/>
      <c r="P199" s="10"/>
      <c r="Q199" s="6"/>
      <c r="R199" s="6"/>
      <c r="S199" s="6"/>
      <c r="T199" s="6"/>
      <c r="U199" s="6"/>
      <c r="V199" s="6"/>
      <c r="W199" s="6" t="str">
        <f t="shared" si="23"/>
        <v/>
      </c>
      <c r="X199" s="6" t="str">
        <f t="shared" si="24"/>
        <v/>
      </c>
      <c r="Y199" s="6" t="str">
        <f t="shared" si="25"/>
        <v/>
      </c>
      <c r="Z199" s="6" t="str">
        <f t="shared" si="26"/>
        <v/>
      </c>
      <c r="AA199" s="5" t="str">
        <f t="shared" si="27"/>
        <v/>
      </c>
    </row>
    <row r="200" spans="1:27" ht="14.5" x14ac:dyDescent="0.35">
      <c r="A200" s="5"/>
      <c r="B200" s="6"/>
      <c r="C200" s="6"/>
      <c r="D200" s="7"/>
      <c r="E200" s="6"/>
      <c r="F200" s="5" t="str">
        <f t="shared" si="21"/>
        <v/>
      </c>
      <c r="G200" s="5"/>
      <c r="H200" s="6"/>
      <c r="I200" s="6"/>
      <c r="J200" s="6"/>
      <c r="K200" s="7"/>
      <c r="L200" s="6"/>
      <c r="M200" s="8" t="str">
        <f t="shared" ca="1" si="22"/>
        <v/>
      </c>
      <c r="N200" s="6"/>
      <c r="O200" s="9"/>
      <c r="P200" s="10"/>
      <c r="Q200" s="6"/>
      <c r="R200" s="6"/>
      <c r="S200" s="6"/>
      <c r="T200" s="6"/>
      <c r="U200" s="6"/>
      <c r="V200" s="6"/>
      <c r="W200" s="6" t="str">
        <f t="shared" si="23"/>
        <v/>
      </c>
      <c r="X200" s="6" t="str">
        <f t="shared" si="24"/>
        <v/>
      </c>
      <c r="Y200" s="6" t="str">
        <f t="shared" si="25"/>
        <v/>
      </c>
      <c r="Z200" s="6" t="str">
        <f t="shared" si="26"/>
        <v/>
      </c>
      <c r="AA200" s="5" t="str">
        <f t="shared" si="27"/>
        <v/>
      </c>
    </row>
    <row r="201" spans="1:27" ht="14.5" x14ac:dyDescent="0.35">
      <c r="A201" s="5"/>
      <c r="B201" s="6"/>
      <c r="C201" s="6"/>
      <c r="D201" s="7"/>
      <c r="E201" s="6"/>
      <c r="F201" s="5" t="str">
        <f t="shared" si="21"/>
        <v/>
      </c>
      <c r="G201" s="5"/>
      <c r="H201" s="6"/>
      <c r="I201" s="6"/>
      <c r="J201" s="6"/>
      <c r="K201" s="7"/>
      <c r="L201" s="6"/>
      <c r="M201" s="8" t="str">
        <f t="shared" ca="1" si="22"/>
        <v/>
      </c>
      <c r="N201" s="6"/>
      <c r="O201" s="9"/>
      <c r="P201" s="10"/>
      <c r="Q201" s="6"/>
      <c r="R201" s="6"/>
      <c r="S201" s="6"/>
      <c r="T201" s="6"/>
      <c r="U201" s="6"/>
      <c r="V201" s="6"/>
      <c r="W201" s="6" t="str">
        <f t="shared" si="23"/>
        <v/>
      </c>
      <c r="X201" s="6" t="str">
        <f t="shared" si="24"/>
        <v/>
      </c>
      <c r="Y201" s="6" t="str">
        <f t="shared" si="25"/>
        <v/>
      </c>
      <c r="Z201" s="6" t="str">
        <f t="shared" si="26"/>
        <v/>
      </c>
      <c r="AA201" s="5" t="str">
        <f t="shared" si="27"/>
        <v/>
      </c>
    </row>
    <row r="202" spans="1:27" ht="14.5" x14ac:dyDescent="0.35">
      <c r="A202" s="5"/>
      <c r="B202" s="6"/>
      <c r="C202" s="6"/>
      <c r="D202" s="7"/>
      <c r="E202" s="6"/>
      <c r="F202" s="5" t="str">
        <f t="shared" si="21"/>
        <v/>
      </c>
      <c r="G202" s="5"/>
      <c r="H202" s="6"/>
      <c r="I202" s="6"/>
      <c r="J202" s="6"/>
      <c r="K202" s="7"/>
      <c r="L202" s="6"/>
      <c r="M202" s="8" t="str">
        <f t="shared" ca="1" si="22"/>
        <v/>
      </c>
      <c r="N202" s="6"/>
      <c r="O202" s="9"/>
      <c r="P202" s="10"/>
      <c r="Q202" s="6"/>
      <c r="R202" s="6"/>
      <c r="S202" s="6"/>
      <c r="T202" s="6"/>
      <c r="U202" s="6"/>
      <c r="V202" s="6"/>
      <c r="W202" s="6" t="str">
        <f t="shared" si="23"/>
        <v/>
      </c>
      <c r="X202" s="6" t="str">
        <f t="shared" si="24"/>
        <v/>
      </c>
      <c r="Y202" s="6" t="str">
        <f t="shared" si="25"/>
        <v/>
      </c>
      <c r="Z202" s="6" t="str">
        <f t="shared" si="26"/>
        <v/>
      </c>
      <c r="AA202" s="5" t="str">
        <f t="shared" si="27"/>
        <v/>
      </c>
    </row>
    <row r="203" spans="1:27" ht="14.5" x14ac:dyDescent="0.35">
      <c r="A203" s="5"/>
      <c r="B203" s="6"/>
      <c r="C203" s="6"/>
      <c r="D203" s="7"/>
      <c r="E203" s="6"/>
      <c r="F203" s="5" t="str">
        <f t="shared" si="21"/>
        <v/>
      </c>
      <c r="G203" s="5"/>
      <c r="H203" s="6"/>
      <c r="I203" s="6"/>
      <c r="J203" s="6"/>
      <c r="K203" s="7"/>
      <c r="L203" s="6"/>
      <c r="M203" s="8" t="str">
        <f t="shared" ca="1" si="22"/>
        <v/>
      </c>
      <c r="N203" s="6"/>
      <c r="O203" s="9"/>
      <c r="P203" s="10"/>
      <c r="Q203" s="6"/>
      <c r="R203" s="6"/>
      <c r="S203" s="6"/>
      <c r="T203" s="6"/>
      <c r="U203" s="6"/>
      <c r="V203" s="6"/>
      <c r="W203" s="6" t="str">
        <f t="shared" si="23"/>
        <v/>
      </c>
      <c r="X203" s="6" t="str">
        <f t="shared" si="24"/>
        <v/>
      </c>
      <c r="Y203" s="6" t="str">
        <f t="shared" si="25"/>
        <v/>
      </c>
      <c r="Z203" s="6" t="str">
        <f t="shared" si="26"/>
        <v/>
      </c>
      <c r="AA203" s="5" t="str">
        <f t="shared" si="27"/>
        <v/>
      </c>
    </row>
    <row r="204" spans="1:27" ht="14.5" x14ac:dyDescent="0.35">
      <c r="A204" s="5"/>
      <c r="B204" s="6"/>
      <c r="C204" s="6"/>
      <c r="D204" s="7"/>
      <c r="E204" s="6"/>
      <c r="F204" s="5" t="str">
        <f t="shared" si="21"/>
        <v/>
      </c>
      <c r="G204" s="5"/>
      <c r="H204" s="6"/>
      <c r="I204" s="6"/>
      <c r="J204" s="6"/>
      <c r="K204" s="7"/>
      <c r="L204" s="6"/>
      <c r="M204" s="8" t="str">
        <f t="shared" ca="1" si="22"/>
        <v/>
      </c>
      <c r="N204" s="6"/>
      <c r="O204" s="9"/>
      <c r="P204" s="10"/>
      <c r="Q204" s="6"/>
      <c r="R204" s="6"/>
      <c r="S204" s="6"/>
      <c r="T204" s="6"/>
      <c r="U204" s="6"/>
      <c r="V204" s="6"/>
      <c r="W204" s="6" t="str">
        <f t="shared" si="23"/>
        <v/>
      </c>
      <c r="X204" s="6" t="str">
        <f t="shared" si="24"/>
        <v/>
      </c>
      <c r="Y204" s="6" t="str">
        <f t="shared" si="25"/>
        <v/>
      </c>
      <c r="Z204" s="6" t="str">
        <f t="shared" si="26"/>
        <v/>
      </c>
      <c r="AA204" s="5" t="str">
        <f t="shared" si="27"/>
        <v/>
      </c>
    </row>
    <row r="205" spans="1:27" ht="14.5" x14ac:dyDescent="0.35">
      <c r="A205" s="5"/>
      <c r="B205" s="6"/>
      <c r="C205" s="6"/>
      <c r="D205" s="7"/>
      <c r="E205" s="6"/>
      <c r="F205" s="5" t="str">
        <f t="shared" si="21"/>
        <v/>
      </c>
      <c r="G205" s="5"/>
      <c r="H205" s="6"/>
      <c r="I205" s="6"/>
      <c r="J205" s="6"/>
      <c r="K205" s="7"/>
      <c r="L205" s="6"/>
      <c r="M205" s="8" t="str">
        <f t="shared" ca="1" si="22"/>
        <v/>
      </c>
      <c r="N205" s="6"/>
      <c r="O205" s="9"/>
      <c r="P205" s="10"/>
      <c r="Q205" s="6"/>
      <c r="R205" s="6"/>
      <c r="S205" s="6"/>
      <c r="T205" s="6"/>
      <c r="U205" s="6"/>
      <c r="V205" s="6"/>
      <c r="W205" s="6" t="str">
        <f t="shared" si="23"/>
        <v/>
      </c>
      <c r="X205" s="6" t="str">
        <f t="shared" si="24"/>
        <v/>
      </c>
      <c r="Y205" s="6" t="str">
        <f t="shared" si="25"/>
        <v/>
      </c>
      <c r="Z205" s="6" t="str">
        <f t="shared" si="26"/>
        <v/>
      </c>
      <c r="AA205" s="5" t="str">
        <f t="shared" si="27"/>
        <v/>
      </c>
    </row>
    <row r="206" spans="1:27" ht="14.5" x14ac:dyDescent="0.35">
      <c r="A206" s="5"/>
      <c r="B206" s="6"/>
      <c r="C206" s="6"/>
      <c r="D206" s="7"/>
      <c r="E206" s="6"/>
      <c r="F206" s="5" t="str">
        <f t="shared" si="21"/>
        <v/>
      </c>
      <c r="G206" s="5"/>
      <c r="H206" s="6"/>
      <c r="I206" s="6"/>
      <c r="J206" s="6"/>
      <c r="K206" s="7"/>
      <c r="L206" s="6"/>
      <c r="M206" s="8" t="str">
        <f t="shared" ca="1" si="22"/>
        <v/>
      </c>
      <c r="N206" s="6"/>
      <c r="O206" s="9"/>
      <c r="P206" s="10"/>
      <c r="Q206" s="6"/>
      <c r="R206" s="6"/>
      <c r="S206" s="6"/>
      <c r="T206" s="6"/>
      <c r="U206" s="6"/>
      <c r="V206" s="6"/>
      <c r="W206" s="6" t="str">
        <f t="shared" si="23"/>
        <v/>
      </c>
      <c r="X206" s="6" t="str">
        <f t="shared" si="24"/>
        <v/>
      </c>
      <c r="Y206" s="6" t="str">
        <f t="shared" si="25"/>
        <v/>
      </c>
      <c r="Z206" s="6" t="str">
        <f t="shared" si="26"/>
        <v/>
      </c>
      <c r="AA206" s="5" t="str">
        <f t="shared" si="27"/>
        <v/>
      </c>
    </row>
    <row r="207" spans="1:27" ht="14.5" x14ac:dyDescent="0.35">
      <c r="A207" s="5"/>
      <c r="B207" s="6"/>
      <c r="C207" s="6"/>
      <c r="D207" s="7"/>
      <c r="E207" s="6"/>
      <c r="F207" s="5" t="str">
        <f t="shared" si="21"/>
        <v/>
      </c>
      <c r="G207" s="5"/>
      <c r="H207" s="6"/>
      <c r="I207" s="6"/>
      <c r="J207" s="6"/>
      <c r="K207" s="7"/>
      <c r="L207" s="6"/>
      <c r="M207" s="8" t="str">
        <f t="shared" ca="1" si="22"/>
        <v/>
      </c>
      <c r="N207" s="6"/>
      <c r="O207" s="9"/>
      <c r="P207" s="10"/>
      <c r="Q207" s="6"/>
      <c r="R207" s="6"/>
      <c r="S207" s="6"/>
      <c r="T207" s="6"/>
      <c r="U207" s="6"/>
      <c r="V207" s="6"/>
      <c r="W207" s="6" t="str">
        <f t="shared" si="23"/>
        <v/>
      </c>
      <c r="X207" s="6" t="str">
        <f t="shared" si="24"/>
        <v/>
      </c>
      <c r="Y207" s="6" t="str">
        <f t="shared" si="25"/>
        <v/>
      </c>
      <c r="Z207" s="6" t="str">
        <f t="shared" si="26"/>
        <v/>
      </c>
      <c r="AA207" s="5" t="str">
        <f t="shared" si="27"/>
        <v/>
      </c>
    </row>
    <row r="208" spans="1:27" ht="14.5" x14ac:dyDescent="0.35">
      <c r="A208" s="5"/>
      <c r="B208" s="6"/>
      <c r="C208" s="6"/>
      <c r="D208" s="7"/>
      <c r="E208" s="6"/>
      <c r="F208" s="5" t="str">
        <f t="shared" si="21"/>
        <v/>
      </c>
      <c r="G208" s="5"/>
      <c r="H208" s="6"/>
      <c r="I208" s="6"/>
      <c r="J208" s="6"/>
      <c r="K208" s="7"/>
      <c r="L208" s="6"/>
      <c r="M208" s="8" t="str">
        <f t="shared" ca="1" si="22"/>
        <v/>
      </c>
      <c r="N208" s="6"/>
      <c r="O208" s="9"/>
      <c r="P208" s="10"/>
      <c r="Q208" s="6"/>
      <c r="R208" s="6"/>
      <c r="S208" s="6"/>
      <c r="T208" s="6"/>
      <c r="U208" s="6"/>
      <c r="V208" s="6"/>
      <c r="W208" s="6" t="str">
        <f t="shared" si="23"/>
        <v/>
      </c>
      <c r="X208" s="6" t="str">
        <f t="shared" si="24"/>
        <v/>
      </c>
      <c r="Y208" s="6" t="str">
        <f t="shared" si="25"/>
        <v/>
      </c>
      <c r="Z208" s="6" t="str">
        <f t="shared" si="26"/>
        <v/>
      </c>
      <c r="AA208" s="5" t="str">
        <f t="shared" si="27"/>
        <v/>
      </c>
    </row>
    <row r="209" spans="1:27" ht="14.5" x14ac:dyDescent="0.35">
      <c r="A209" s="5"/>
      <c r="B209" s="6"/>
      <c r="C209" s="6"/>
      <c r="D209" s="7"/>
      <c r="E209" s="6"/>
      <c r="F209" s="5" t="str">
        <f t="shared" si="21"/>
        <v/>
      </c>
      <c r="G209" s="5"/>
      <c r="H209" s="6"/>
      <c r="I209" s="6"/>
      <c r="J209" s="6"/>
      <c r="K209" s="7"/>
      <c r="L209" s="6"/>
      <c r="M209" s="8" t="str">
        <f t="shared" ca="1" si="22"/>
        <v/>
      </c>
      <c r="N209" s="6"/>
      <c r="O209" s="9"/>
      <c r="P209" s="10"/>
      <c r="Q209" s="6"/>
      <c r="R209" s="6"/>
      <c r="S209" s="6"/>
      <c r="T209" s="6"/>
      <c r="U209" s="6"/>
      <c r="V209" s="6"/>
      <c r="W209" s="6" t="str">
        <f t="shared" si="23"/>
        <v/>
      </c>
      <c r="X209" s="6" t="str">
        <f t="shared" si="24"/>
        <v/>
      </c>
      <c r="Y209" s="6" t="str">
        <f t="shared" si="25"/>
        <v/>
      </c>
      <c r="Z209" s="6" t="str">
        <f t="shared" si="26"/>
        <v/>
      </c>
      <c r="AA209" s="5" t="str">
        <f t="shared" si="27"/>
        <v/>
      </c>
    </row>
    <row r="210" spans="1:27" ht="14.5" x14ac:dyDescent="0.35">
      <c r="A210" s="5"/>
      <c r="B210" s="6"/>
      <c r="C210" s="6"/>
      <c r="D210" s="7"/>
      <c r="E210" s="6"/>
      <c r="F210" s="5" t="str">
        <f t="shared" si="21"/>
        <v/>
      </c>
      <c r="G210" s="5"/>
      <c r="H210" s="6"/>
      <c r="I210" s="6"/>
      <c r="J210" s="6"/>
      <c r="K210" s="7"/>
      <c r="L210" s="6"/>
      <c r="M210" s="8" t="str">
        <f t="shared" ca="1" si="22"/>
        <v/>
      </c>
      <c r="N210" s="6"/>
      <c r="O210" s="9"/>
      <c r="P210" s="10"/>
      <c r="Q210" s="6"/>
      <c r="R210" s="6"/>
      <c r="S210" s="6"/>
      <c r="T210" s="6"/>
      <c r="U210" s="6"/>
      <c r="V210" s="6"/>
      <c r="W210" s="6" t="str">
        <f t="shared" si="23"/>
        <v/>
      </c>
      <c r="X210" s="6" t="str">
        <f t="shared" si="24"/>
        <v/>
      </c>
      <c r="Y210" s="6" t="str">
        <f t="shared" si="25"/>
        <v/>
      </c>
      <c r="Z210" s="6" t="str">
        <f t="shared" si="26"/>
        <v/>
      </c>
      <c r="AA210" s="5" t="str">
        <f t="shared" si="27"/>
        <v/>
      </c>
    </row>
    <row r="211" spans="1:27" ht="14.5" x14ac:dyDescent="0.35">
      <c r="A211" s="5"/>
      <c r="B211" s="6"/>
      <c r="C211" s="6"/>
      <c r="D211" s="7"/>
      <c r="E211" s="6"/>
      <c r="F211" s="5" t="str">
        <f t="shared" si="21"/>
        <v/>
      </c>
      <c r="G211" s="5"/>
      <c r="H211" s="6"/>
      <c r="I211" s="6"/>
      <c r="J211" s="6"/>
      <c r="K211" s="7"/>
      <c r="L211" s="6"/>
      <c r="M211" s="8" t="str">
        <f t="shared" ca="1" si="22"/>
        <v/>
      </c>
      <c r="N211" s="6"/>
      <c r="O211" s="9"/>
      <c r="P211" s="10"/>
      <c r="Q211" s="6"/>
      <c r="R211" s="6"/>
      <c r="S211" s="6"/>
      <c r="T211" s="6"/>
      <c r="U211" s="6"/>
      <c r="V211" s="6"/>
      <c r="W211" s="6" t="str">
        <f t="shared" si="23"/>
        <v/>
      </c>
      <c r="X211" s="6" t="str">
        <f t="shared" si="24"/>
        <v/>
      </c>
      <c r="Y211" s="6" t="str">
        <f t="shared" si="25"/>
        <v/>
      </c>
      <c r="Z211" s="6" t="str">
        <f t="shared" si="26"/>
        <v/>
      </c>
      <c r="AA211" s="5" t="str">
        <f t="shared" si="27"/>
        <v/>
      </c>
    </row>
    <row r="212" spans="1:27" ht="14.5" x14ac:dyDescent="0.35">
      <c r="A212" s="5"/>
      <c r="B212" s="6"/>
      <c r="C212" s="6"/>
      <c r="D212" s="7"/>
      <c r="E212" s="6"/>
      <c r="F212" s="5" t="str">
        <f t="shared" si="21"/>
        <v/>
      </c>
      <c r="G212" s="5"/>
      <c r="H212" s="6"/>
      <c r="I212" s="6"/>
      <c r="J212" s="6"/>
      <c r="K212" s="7"/>
      <c r="L212" s="6"/>
      <c r="M212" s="8" t="str">
        <f t="shared" ca="1" si="22"/>
        <v/>
      </c>
      <c r="N212" s="6"/>
      <c r="O212" s="9"/>
      <c r="P212" s="10"/>
      <c r="Q212" s="6"/>
      <c r="R212" s="6"/>
      <c r="S212" s="6"/>
      <c r="T212" s="6"/>
      <c r="U212" s="6"/>
      <c r="V212" s="6"/>
      <c r="W212" s="6" t="str">
        <f t="shared" si="23"/>
        <v/>
      </c>
      <c r="X212" s="6" t="str">
        <f t="shared" si="24"/>
        <v/>
      </c>
      <c r="Y212" s="6" t="str">
        <f t="shared" si="25"/>
        <v/>
      </c>
      <c r="Z212" s="6" t="str">
        <f t="shared" si="26"/>
        <v/>
      </c>
      <c r="AA212" s="5" t="str">
        <f t="shared" si="27"/>
        <v/>
      </c>
    </row>
    <row r="213" spans="1:27" ht="14.5" x14ac:dyDescent="0.35">
      <c r="A213" s="5"/>
      <c r="B213" s="6"/>
      <c r="C213" s="6"/>
      <c r="D213" s="7"/>
      <c r="E213" s="6"/>
      <c r="F213" s="5" t="str">
        <f t="shared" si="21"/>
        <v/>
      </c>
      <c r="G213" s="5"/>
      <c r="H213" s="6"/>
      <c r="I213" s="6"/>
      <c r="J213" s="6"/>
      <c r="K213" s="7"/>
      <c r="L213" s="6"/>
      <c r="M213" s="8" t="str">
        <f t="shared" ca="1" si="22"/>
        <v/>
      </c>
      <c r="N213" s="6"/>
      <c r="O213" s="9"/>
      <c r="P213" s="10"/>
      <c r="Q213" s="6"/>
      <c r="R213" s="6"/>
      <c r="S213" s="6"/>
      <c r="T213" s="6"/>
      <c r="U213" s="6"/>
      <c r="V213" s="6"/>
      <c r="W213" s="6" t="str">
        <f t="shared" si="23"/>
        <v/>
      </c>
      <c r="X213" s="6" t="str">
        <f t="shared" si="24"/>
        <v/>
      </c>
      <c r="Y213" s="6" t="str">
        <f t="shared" si="25"/>
        <v/>
      </c>
      <c r="Z213" s="6" t="str">
        <f t="shared" si="26"/>
        <v/>
      </c>
      <c r="AA213" s="5" t="str">
        <f t="shared" si="27"/>
        <v/>
      </c>
    </row>
    <row r="214" spans="1:27" ht="14.5" x14ac:dyDescent="0.35">
      <c r="A214" s="5"/>
      <c r="B214" s="6"/>
      <c r="C214" s="6"/>
      <c r="D214" s="7"/>
      <c r="E214" s="6"/>
      <c r="F214" s="5" t="str">
        <f t="shared" si="21"/>
        <v/>
      </c>
      <c r="G214" s="5"/>
      <c r="H214" s="6"/>
      <c r="I214" s="6"/>
      <c r="J214" s="6"/>
      <c r="K214" s="7"/>
      <c r="L214" s="6"/>
      <c r="M214" s="8" t="str">
        <f t="shared" ca="1" si="22"/>
        <v/>
      </c>
      <c r="N214" s="6"/>
      <c r="O214" s="9"/>
      <c r="P214" s="10"/>
      <c r="Q214" s="6"/>
      <c r="R214" s="6"/>
      <c r="S214" s="6"/>
      <c r="T214" s="6"/>
      <c r="U214" s="6"/>
      <c r="V214" s="6"/>
      <c r="W214" s="6" t="str">
        <f t="shared" si="23"/>
        <v/>
      </c>
      <c r="X214" s="6" t="str">
        <f t="shared" si="24"/>
        <v/>
      </c>
      <c r="Y214" s="6" t="str">
        <f t="shared" si="25"/>
        <v/>
      </c>
      <c r="Z214" s="6" t="str">
        <f t="shared" si="26"/>
        <v/>
      </c>
      <c r="AA214" s="5" t="str">
        <f t="shared" si="27"/>
        <v/>
      </c>
    </row>
    <row r="215" spans="1:27" ht="14.5" x14ac:dyDescent="0.35">
      <c r="A215" s="5"/>
      <c r="B215" s="6"/>
      <c r="C215" s="6"/>
      <c r="D215" s="7"/>
      <c r="E215" s="6"/>
      <c r="F215" s="5" t="str">
        <f t="shared" si="21"/>
        <v/>
      </c>
      <c r="G215" s="5"/>
      <c r="H215" s="6"/>
      <c r="I215" s="6"/>
      <c r="J215" s="6"/>
      <c r="K215" s="7"/>
      <c r="L215" s="6"/>
      <c r="M215" s="8" t="str">
        <f t="shared" ca="1" si="22"/>
        <v/>
      </c>
      <c r="N215" s="6"/>
      <c r="O215" s="9"/>
      <c r="P215" s="10"/>
      <c r="Q215" s="6"/>
      <c r="R215" s="6"/>
      <c r="S215" s="6"/>
      <c r="T215" s="6"/>
      <c r="U215" s="6"/>
      <c r="V215" s="6"/>
      <c r="W215" s="6" t="str">
        <f t="shared" si="23"/>
        <v/>
      </c>
      <c r="X215" s="6" t="str">
        <f t="shared" si="24"/>
        <v/>
      </c>
      <c r="Y215" s="6" t="str">
        <f t="shared" si="25"/>
        <v/>
      </c>
      <c r="Z215" s="6" t="str">
        <f t="shared" si="26"/>
        <v/>
      </c>
      <c r="AA215" s="5" t="str">
        <f t="shared" si="27"/>
        <v/>
      </c>
    </row>
    <row r="216" spans="1:27" ht="14.5" x14ac:dyDescent="0.35">
      <c r="A216" s="5"/>
      <c r="B216" s="6"/>
      <c r="C216" s="6"/>
      <c r="D216" s="7"/>
      <c r="E216" s="6"/>
      <c r="F216" s="5" t="str">
        <f t="shared" si="21"/>
        <v/>
      </c>
      <c r="G216" s="5"/>
      <c r="H216" s="6"/>
      <c r="I216" s="6"/>
      <c r="J216" s="6"/>
      <c r="K216" s="7"/>
      <c r="L216" s="6"/>
      <c r="M216" s="8" t="str">
        <f t="shared" ca="1" si="22"/>
        <v/>
      </c>
      <c r="N216" s="6"/>
      <c r="O216" s="9"/>
      <c r="P216" s="10"/>
      <c r="Q216" s="6"/>
      <c r="R216" s="6"/>
      <c r="S216" s="6"/>
      <c r="T216" s="6"/>
      <c r="U216" s="6"/>
      <c r="V216" s="6"/>
      <c r="W216" s="6" t="str">
        <f t="shared" si="23"/>
        <v/>
      </c>
      <c r="X216" s="6" t="str">
        <f t="shared" si="24"/>
        <v/>
      </c>
      <c r="Y216" s="6" t="str">
        <f t="shared" si="25"/>
        <v/>
      </c>
      <c r="Z216" s="6" t="str">
        <f t="shared" si="26"/>
        <v/>
      </c>
      <c r="AA216" s="5" t="str">
        <f t="shared" si="27"/>
        <v/>
      </c>
    </row>
    <row r="217" spans="1:27" ht="14.5" x14ac:dyDescent="0.35">
      <c r="A217" s="5"/>
      <c r="B217" s="6"/>
      <c r="C217" s="6"/>
      <c r="D217" s="7"/>
      <c r="E217" s="6"/>
      <c r="F217" s="5" t="str">
        <f t="shared" si="21"/>
        <v/>
      </c>
      <c r="G217" s="5"/>
      <c r="H217" s="6"/>
      <c r="I217" s="6"/>
      <c r="J217" s="6"/>
      <c r="K217" s="7"/>
      <c r="L217" s="6"/>
      <c r="M217" s="8" t="str">
        <f t="shared" ca="1" si="22"/>
        <v/>
      </c>
      <c r="N217" s="6"/>
      <c r="O217" s="9"/>
      <c r="P217" s="10"/>
      <c r="Q217" s="6"/>
      <c r="R217" s="6"/>
      <c r="S217" s="6"/>
      <c r="T217" s="6"/>
      <c r="U217" s="6"/>
      <c r="V217" s="6"/>
      <c r="W217" s="6" t="str">
        <f t="shared" si="23"/>
        <v/>
      </c>
      <c r="X217" s="6" t="str">
        <f t="shared" si="24"/>
        <v/>
      </c>
      <c r="Y217" s="6" t="str">
        <f t="shared" si="25"/>
        <v/>
      </c>
      <c r="Z217" s="6" t="str">
        <f t="shared" si="26"/>
        <v/>
      </c>
      <c r="AA217" s="5" t="str">
        <f t="shared" si="27"/>
        <v/>
      </c>
    </row>
    <row r="218" spans="1:27" ht="14.5" x14ac:dyDescent="0.35">
      <c r="A218" s="5"/>
      <c r="B218" s="6"/>
      <c r="C218" s="6"/>
      <c r="D218" s="7"/>
      <c r="E218" s="6"/>
      <c r="F218" s="5" t="str">
        <f t="shared" si="21"/>
        <v/>
      </c>
      <c r="G218" s="5"/>
      <c r="H218" s="6"/>
      <c r="I218" s="6"/>
      <c r="J218" s="6"/>
      <c r="K218" s="7"/>
      <c r="L218" s="6"/>
      <c r="M218" s="8" t="str">
        <f t="shared" ca="1" si="22"/>
        <v/>
      </c>
      <c r="N218" s="6"/>
      <c r="O218" s="9"/>
      <c r="P218" s="10"/>
      <c r="Q218" s="6"/>
      <c r="R218" s="6"/>
      <c r="S218" s="6"/>
      <c r="T218" s="6"/>
      <c r="U218" s="6"/>
      <c r="V218" s="6"/>
      <c r="W218" s="6" t="str">
        <f t="shared" si="23"/>
        <v/>
      </c>
      <c r="X218" s="6" t="str">
        <f t="shared" si="24"/>
        <v/>
      </c>
      <c r="Y218" s="6" t="str">
        <f t="shared" si="25"/>
        <v/>
      </c>
      <c r="Z218" s="6" t="str">
        <f t="shared" si="26"/>
        <v/>
      </c>
      <c r="AA218" s="5" t="str">
        <f t="shared" si="27"/>
        <v/>
      </c>
    </row>
    <row r="219" spans="1:27" ht="14.5" x14ac:dyDescent="0.35">
      <c r="A219" s="5"/>
      <c r="B219" s="6"/>
      <c r="C219" s="6"/>
      <c r="D219" s="7"/>
      <c r="E219" s="6"/>
      <c r="F219" s="5" t="str">
        <f t="shared" si="21"/>
        <v/>
      </c>
      <c r="G219" s="5"/>
      <c r="H219" s="6"/>
      <c r="I219" s="6"/>
      <c r="J219" s="6"/>
      <c r="K219" s="7"/>
      <c r="L219" s="6"/>
      <c r="M219" s="8" t="str">
        <f t="shared" ca="1" si="22"/>
        <v/>
      </c>
      <c r="N219" s="6"/>
      <c r="O219" s="9"/>
      <c r="P219" s="10"/>
      <c r="Q219" s="6"/>
      <c r="R219" s="6"/>
      <c r="S219" s="6"/>
      <c r="T219" s="6"/>
      <c r="U219" s="6"/>
      <c r="V219" s="6"/>
      <c r="W219" s="6" t="str">
        <f t="shared" si="23"/>
        <v/>
      </c>
      <c r="X219" s="6" t="str">
        <f t="shared" si="24"/>
        <v/>
      </c>
      <c r="Y219" s="6" t="str">
        <f t="shared" si="25"/>
        <v/>
      </c>
      <c r="Z219" s="6" t="str">
        <f t="shared" si="26"/>
        <v/>
      </c>
      <c r="AA219" s="5" t="str">
        <f t="shared" si="27"/>
        <v/>
      </c>
    </row>
    <row r="220" spans="1:27" ht="14.5" x14ac:dyDescent="0.35">
      <c r="A220" s="5"/>
      <c r="B220" s="6"/>
      <c r="C220" s="6"/>
      <c r="D220" s="7"/>
      <c r="E220" s="6"/>
      <c r="F220" s="5" t="str">
        <f t="shared" si="21"/>
        <v/>
      </c>
      <c r="G220" s="5"/>
      <c r="H220" s="6"/>
      <c r="I220" s="6"/>
      <c r="J220" s="6"/>
      <c r="K220" s="7"/>
      <c r="L220" s="6"/>
      <c r="M220" s="8" t="str">
        <f t="shared" ca="1" si="22"/>
        <v/>
      </c>
      <c r="N220" s="6"/>
      <c r="O220" s="9"/>
      <c r="P220" s="10"/>
      <c r="Q220" s="6"/>
      <c r="R220" s="6"/>
      <c r="S220" s="6"/>
      <c r="T220" s="6"/>
      <c r="U220" s="6"/>
      <c r="V220" s="6"/>
      <c r="W220" s="6" t="str">
        <f t="shared" si="23"/>
        <v/>
      </c>
      <c r="X220" s="6" t="str">
        <f t="shared" si="24"/>
        <v/>
      </c>
      <c r="Y220" s="6" t="str">
        <f t="shared" si="25"/>
        <v/>
      </c>
      <c r="Z220" s="6" t="str">
        <f t="shared" si="26"/>
        <v/>
      </c>
      <c r="AA220" s="5" t="str">
        <f t="shared" si="27"/>
        <v/>
      </c>
    </row>
    <row r="221" spans="1:27" ht="14.5" x14ac:dyDescent="0.35">
      <c r="A221" s="5"/>
      <c r="B221" s="6"/>
      <c r="C221" s="6"/>
      <c r="D221" s="7"/>
      <c r="E221" s="6"/>
      <c r="F221" s="5" t="str">
        <f t="shared" si="21"/>
        <v/>
      </c>
      <c r="G221" s="5"/>
      <c r="H221" s="6"/>
      <c r="I221" s="6"/>
      <c r="J221" s="6"/>
      <c r="K221" s="7"/>
      <c r="L221" s="6"/>
      <c r="M221" s="8" t="str">
        <f t="shared" ca="1" si="22"/>
        <v/>
      </c>
      <c r="N221" s="6"/>
      <c r="O221" s="9"/>
      <c r="P221" s="10"/>
      <c r="Q221" s="6"/>
      <c r="R221" s="6"/>
      <c r="S221" s="6"/>
      <c r="T221" s="6"/>
      <c r="U221" s="6"/>
      <c r="V221" s="6"/>
      <c r="W221" s="6" t="str">
        <f t="shared" si="23"/>
        <v/>
      </c>
      <c r="X221" s="6" t="str">
        <f t="shared" si="24"/>
        <v/>
      </c>
      <c r="Y221" s="6" t="str">
        <f t="shared" si="25"/>
        <v/>
      </c>
      <c r="Z221" s="6" t="str">
        <f t="shared" si="26"/>
        <v/>
      </c>
      <c r="AA221" s="5" t="str">
        <f t="shared" si="27"/>
        <v/>
      </c>
    </row>
    <row r="222" spans="1:27" ht="14.5" x14ac:dyDescent="0.35">
      <c r="A222" s="5"/>
      <c r="B222" s="6"/>
      <c r="C222" s="6"/>
      <c r="D222" s="7"/>
      <c r="E222" s="6"/>
      <c r="F222" s="5" t="str">
        <f t="shared" si="21"/>
        <v/>
      </c>
      <c r="G222" s="5"/>
      <c r="H222" s="6"/>
      <c r="I222" s="6"/>
      <c r="J222" s="6"/>
      <c r="K222" s="7"/>
      <c r="L222" s="6"/>
      <c r="M222" s="8" t="str">
        <f t="shared" ca="1" si="22"/>
        <v/>
      </c>
      <c r="N222" s="6"/>
      <c r="O222" s="9"/>
      <c r="P222" s="10"/>
      <c r="Q222" s="6"/>
      <c r="R222" s="6"/>
      <c r="S222" s="6"/>
      <c r="T222" s="6"/>
      <c r="U222" s="6"/>
      <c r="V222" s="6"/>
      <c r="W222" s="6" t="str">
        <f t="shared" si="23"/>
        <v/>
      </c>
      <c r="X222" s="6" t="str">
        <f t="shared" si="24"/>
        <v/>
      </c>
      <c r="Y222" s="6" t="str">
        <f t="shared" si="25"/>
        <v/>
      </c>
      <c r="Z222" s="6" t="str">
        <f t="shared" si="26"/>
        <v/>
      </c>
      <c r="AA222" s="5" t="str">
        <f t="shared" si="27"/>
        <v/>
      </c>
    </row>
    <row r="223" spans="1:27" ht="14.5" x14ac:dyDescent="0.35">
      <c r="A223" s="5"/>
      <c r="B223" s="6"/>
      <c r="C223" s="6"/>
      <c r="D223" s="7"/>
      <c r="E223" s="6"/>
      <c r="F223" s="5" t="str">
        <f t="shared" si="21"/>
        <v/>
      </c>
      <c r="G223" s="5"/>
      <c r="H223" s="6"/>
      <c r="I223" s="6"/>
      <c r="J223" s="6"/>
      <c r="K223" s="7"/>
      <c r="L223" s="6"/>
      <c r="M223" s="8" t="str">
        <f t="shared" ca="1" si="22"/>
        <v/>
      </c>
      <c r="N223" s="6"/>
      <c r="O223" s="9"/>
      <c r="P223" s="10"/>
      <c r="Q223" s="6"/>
      <c r="R223" s="6"/>
      <c r="S223" s="6"/>
      <c r="T223" s="6"/>
      <c r="U223" s="6"/>
      <c r="V223" s="6"/>
      <c r="W223" s="6" t="str">
        <f t="shared" si="23"/>
        <v/>
      </c>
      <c r="X223" s="6" t="str">
        <f t="shared" si="24"/>
        <v/>
      </c>
      <c r="Y223" s="6" t="str">
        <f t="shared" si="25"/>
        <v/>
      </c>
      <c r="Z223" s="6" t="str">
        <f t="shared" si="26"/>
        <v/>
      </c>
      <c r="AA223" s="5" t="str">
        <f t="shared" si="27"/>
        <v/>
      </c>
    </row>
    <row r="224" spans="1:27" ht="14.5" x14ac:dyDescent="0.35">
      <c r="A224" s="5"/>
      <c r="B224" s="6"/>
      <c r="C224" s="6"/>
      <c r="D224" s="7"/>
      <c r="E224" s="6"/>
      <c r="F224" s="5" t="str">
        <f t="shared" si="21"/>
        <v/>
      </c>
      <c r="G224" s="5"/>
      <c r="H224" s="6"/>
      <c r="I224" s="6"/>
      <c r="J224" s="6"/>
      <c r="K224" s="7"/>
      <c r="L224" s="6"/>
      <c r="M224" s="8" t="str">
        <f t="shared" ca="1" si="22"/>
        <v/>
      </c>
      <c r="N224" s="6"/>
      <c r="O224" s="9"/>
      <c r="P224" s="10"/>
      <c r="Q224" s="6"/>
      <c r="R224" s="6"/>
      <c r="S224" s="6"/>
      <c r="T224" s="6"/>
      <c r="U224" s="6"/>
      <c r="V224" s="6"/>
      <c r="W224" s="6" t="str">
        <f t="shared" si="23"/>
        <v/>
      </c>
      <c r="X224" s="6" t="str">
        <f t="shared" si="24"/>
        <v/>
      </c>
      <c r="Y224" s="6" t="str">
        <f t="shared" si="25"/>
        <v/>
      </c>
      <c r="Z224" s="6" t="str">
        <f t="shared" si="26"/>
        <v/>
      </c>
      <c r="AA224" s="5" t="str">
        <f t="shared" si="27"/>
        <v/>
      </c>
    </row>
    <row r="225" spans="1:27" ht="14.5" x14ac:dyDescent="0.35">
      <c r="A225" s="5"/>
      <c r="B225" s="6"/>
      <c r="C225" s="6"/>
      <c r="D225" s="7"/>
      <c r="E225" s="6"/>
      <c r="F225" s="5" t="str">
        <f t="shared" si="21"/>
        <v/>
      </c>
      <c r="G225" s="5"/>
      <c r="H225" s="6"/>
      <c r="I225" s="6"/>
      <c r="J225" s="6"/>
      <c r="K225" s="7"/>
      <c r="L225" s="6"/>
      <c r="M225" s="8" t="str">
        <f t="shared" ca="1" si="22"/>
        <v/>
      </c>
      <c r="N225" s="6"/>
      <c r="O225" s="9"/>
      <c r="P225" s="10"/>
      <c r="Q225" s="6"/>
      <c r="R225" s="6"/>
      <c r="S225" s="6"/>
      <c r="T225" s="6"/>
      <c r="U225" s="6"/>
      <c r="V225" s="6"/>
      <c r="W225" s="6" t="str">
        <f t="shared" si="23"/>
        <v/>
      </c>
      <c r="X225" s="6" t="str">
        <f t="shared" si="24"/>
        <v/>
      </c>
      <c r="Y225" s="6" t="str">
        <f t="shared" si="25"/>
        <v/>
      </c>
      <c r="Z225" s="6" t="str">
        <f t="shared" si="26"/>
        <v/>
      </c>
      <c r="AA225" s="5" t="str">
        <f t="shared" si="27"/>
        <v/>
      </c>
    </row>
    <row r="226" spans="1:27" ht="14.5" x14ac:dyDescent="0.35">
      <c r="A226" s="5"/>
      <c r="B226" s="6"/>
      <c r="C226" s="6"/>
      <c r="D226" s="7"/>
      <c r="E226" s="6"/>
      <c r="F226" s="5" t="str">
        <f t="shared" si="21"/>
        <v/>
      </c>
      <c r="G226" s="5"/>
      <c r="H226" s="6"/>
      <c r="I226" s="6"/>
      <c r="J226" s="6"/>
      <c r="K226" s="7"/>
      <c r="L226" s="6"/>
      <c r="M226" s="8" t="str">
        <f t="shared" ca="1" si="22"/>
        <v/>
      </c>
      <c r="N226" s="6"/>
      <c r="O226" s="9"/>
      <c r="P226" s="10"/>
      <c r="Q226" s="6"/>
      <c r="R226" s="6"/>
      <c r="S226" s="6"/>
      <c r="T226" s="6"/>
      <c r="U226" s="6"/>
      <c r="V226" s="6"/>
      <c r="W226" s="6" t="str">
        <f t="shared" si="23"/>
        <v/>
      </c>
      <c r="X226" s="6" t="str">
        <f t="shared" si="24"/>
        <v/>
      </c>
      <c r="Y226" s="6" t="str">
        <f t="shared" si="25"/>
        <v/>
      </c>
      <c r="Z226" s="6" t="str">
        <f t="shared" si="26"/>
        <v/>
      </c>
      <c r="AA226" s="5" t="str">
        <f t="shared" si="27"/>
        <v/>
      </c>
    </row>
    <row r="227" spans="1:27" ht="14.5" x14ac:dyDescent="0.35">
      <c r="A227" s="5"/>
      <c r="B227" s="6"/>
      <c r="C227" s="6"/>
      <c r="D227" s="7"/>
      <c r="E227" s="6"/>
      <c r="F227" s="5" t="str">
        <f t="shared" si="21"/>
        <v/>
      </c>
      <c r="G227" s="5"/>
      <c r="H227" s="6"/>
      <c r="I227" s="6"/>
      <c r="J227" s="6"/>
      <c r="K227" s="7"/>
      <c r="L227" s="6"/>
      <c r="M227" s="8" t="str">
        <f t="shared" ca="1" si="22"/>
        <v/>
      </c>
      <c r="N227" s="6"/>
      <c r="O227" s="9"/>
      <c r="P227" s="10"/>
      <c r="Q227" s="6"/>
      <c r="R227" s="6"/>
      <c r="S227" s="6"/>
      <c r="T227" s="6"/>
      <c r="U227" s="6"/>
      <c r="V227" s="6"/>
      <c r="W227" s="6" t="str">
        <f t="shared" si="23"/>
        <v/>
      </c>
      <c r="X227" s="6" t="str">
        <f t="shared" si="24"/>
        <v/>
      </c>
      <c r="Y227" s="6" t="str">
        <f t="shared" si="25"/>
        <v/>
      </c>
      <c r="Z227" s="6" t="str">
        <f t="shared" si="26"/>
        <v/>
      </c>
      <c r="AA227" s="5" t="str">
        <f t="shared" si="27"/>
        <v/>
      </c>
    </row>
    <row r="228" spans="1:27" ht="14.5" x14ac:dyDescent="0.35">
      <c r="A228" s="5"/>
      <c r="B228" s="6"/>
      <c r="C228" s="6"/>
      <c r="D228" s="7"/>
      <c r="E228" s="6"/>
      <c r="F228" s="5" t="str">
        <f t="shared" si="21"/>
        <v/>
      </c>
      <c r="G228" s="5"/>
      <c r="H228" s="6"/>
      <c r="I228" s="6"/>
      <c r="J228" s="6"/>
      <c r="K228" s="7"/>
      <c r="L228" s="6"/>
      <c r="M228" s="8" t="str">
        <f t="shared" ca="1" si="22"/>
        <v/>
      </c>
      <c r="N228" s="6"/>
      <c r="O228" s="9"/>
      <c r="P228" s="10"/>
      <c r="Q228" s="6"/>
      <c r="R228" s="6"/>
      <c r="S228" s="6"/>
      <c r="T228" s="6"/>
      <c r="U228" s="6"/>
      <c r="V228" s="6"/>
      <c r="W228" s="6" t="str">
        <f t="shared" si="23"/>
        <v/>
      </c>
      <c r="X228" s="6" t="str">
        <f t="shared" si="24"/>
        <v/>
      </c>
      <c r="Y228" s="6" t="str">
        <f t="shared" si="25"/>
        <v/>
      </c>
      <c r="Z228" s="6" t="str">
        <f t="shared" si="26"/>
        <v/>
      </c>
      <c r="AA228" s="5" t="str">
        <f t="shared" si="27"/>
        <v/>
      </c>
    </row>
    <row r="229" spans="1:27" ht="14.5" x14ac:dyDescent="0.35">
      <c r="A229" s="5"/>
      <c r="B229" s="6"/>
      <c r="C229" s="6"/>
      <c r="D229" s="7"/>
      <c r="E229" s="6"/>
      <c r="F229" s="5" t="str">
        <f t="shared" si="21"/>
        <v/>
      </c>
      <c r="G229" s="5"/>
      <c r="H229" s="6"/>
      <c r="I229" s="6"/>
      <c r="J229" s="6"/>
      <c r="K229" s="7"/>
      <c r="L229" s="6"/>
      <c r="M229" s="8" t="str">
        <f t="shared" ca="1" si="22"/>
        <v/>
      </c>
      <c r="N229" s="6"/>
      <c r="O229" s="9"/>
      <c r="P229" s="10"/>
      <c r="Q229" s="6"/>
      <c r="R229" s="6"/>
      <c r="S229" s="6"/>
      <c r="T229" s="6"/>
      <c r="U229" s="6"/>
      <c r="V229" s="6"/>
      <c r="W229" s="6" t="str">
        <f t="shared" si="23"/>
        <v/>
      </c>
      <c r="X229" s="6" t="str">
        <f t="shared" si="24"/>
        <v/>
      </c>
      <c r="Y229" s="6" t="str">
        <f t="shared" si="25"/>
        <v/>
      </c>
      <c r="Z229" s="6" t="str">
        <f t="shared" si="26"/>
        <v/>
      </c>
      <c r="AA229" s="5" t="str">
        <f t="shared" si="27"/>
        <v/>
      </c>
    </row>
    <row r="230" spans="1:27" ht="14.5" x14ac:dyDescent="0.35">
      <c r="A230" s="5"/>
      <c r="B230" s="6"/>
      <c r="C230" s="6"/>
      <c r="D230" s="7"/>
      <c r="E230" s="6"/>
      <c r="F230" s="5" t="str">
        <f t="shared" si="21"/>
        <v/>
      </c>
      <c r="G230" s="5"/>
      <c r="H230" s="6"/>
      <c r="I230" s="6"/>
      <c r="J230" s="6"/>
      <c r="K230" s="7"/>
      <c r="L230" s="6"/>
      <c r="M230" s="8" t="str">
        <f t="shared" ca="1" si="22"/>
        <v/>
      </c>
      <c r="N230" s="6"/>
      <c r="O230" s="9"/>
      <c r="P230" s="10"/>
      <c r="Q230" s="6"/>
      <c r="R230" s="6"/>
      <c r="S230" s="6"/>
      <c r="T230" s="6"/>
      <c r="U230" s="6"/>
      <c r="V230" s="6"/>
      <c r="W230" s="6" t="str">
        <f t="shared" si="23"/>
        <v/>
      </c>
      <c r="X230" s="6" t="str">
        <f t="shared" si="24"/>
        <v/>
      </c>
      <c r="Y230" s="6" t="str">
        <f t="shared" si="25"/>
        <v/>
      </c>
      <c r="Z230" s="6" t="str">
        <f t="shared" si="26"/>
        <v/>
      </c>
      <c r="AA230" s="5" t="str">
        <f t="shared" si="27"/>
        <v/>
      </c>
    </row>
    <row r="231" spans="1:27" ht="14.5" x14ac:dyDescent="0.35">
      <c r="A231" s="5"/>
      <c r="B231" s="6"/>
      <c r="C231" s="6"/>
      <c r="D231" s="7"/>
      <c r="E231" s="6"/>
      <c r="F231" s="5" t="str">
        <f t="shared" si="21"/>
        <v/>
      </c>
      <c r="G231" s="5"/>
      <c r="H231" s="6"/>
      <c r="I231" s="6"/>
      <c r="J231" s="6"/>
      <c r="K231" s="7"/>
      <c r="L231" s="6"/>
      <c r="M231" s="8" t="str">
        <f t="shared" ca="1" si="22"/>
        <v/>
      </c>
      <c r="N231" s="6"/>
      <c r="O231" s="9"/>
      <c r="P231" s="10"/>
      <c r="Q231" s="6"/>
      <c r="R231" s="6"/>
      <c r="S231" s="6"/>
      <c r="T231" s="6"/>
      <c r="U231" s="6"/>
      <c r="V231" s="6"/>
      <c r="W231" s="6" t="str">
        <f t="shared" si="23"/>
        <v/>
      </c>
      <c r="X231" s="6" t="str">
        <f t="shared" si="24"/>
        <v/>
      </c>
      <c r="Y231" s="6" t="str">
        <f t="shared" si="25"/>
        <v/>
      </c>
      <c r="Z231" s="6" t="str">
        <f t="shared" si="26"/>
        <v/>
      </c>
      <c r="AA231" s="5" t="str">
        <f t="shared" si="27"/>
        <v/>
      </c>
    </row>
    <row r="232" spans="1:27" ht="14.5" x14ac:dyDescent="0.35">
      <c r="A232" s="5"/>
      <c r="B232" s="6"/>
      <c r="C232" s="6"/>
      <c r="D232" s="7"/>
      <c r="E232" s="6"/>
      <c r="F232" s="5" t="str">
        <f t="shared" si="21"/>
        <v/>
      </c>
      <c r="G232" s="5"/>
      <c r="H232" s="6"/>
      <c r="I232" s="6"/>
      <c r="J232" s="6"/>
      <c r="K232" s="7"/>
      <c r="L232" s="6"/>
      <c r="M232" s="8" t="str">
        <f t="shared" ca="1" si="22"/>
        <v/>
      </c>
      <c r="N232" s="6"/>
      <c r="O232" s="9"/>
      <c r="P232" s="10"/>
      <c r="Q232" s="6"/>
      <c r="R232" s="6"/>
      <c r="S232" s="6"/>
      <c r="T232" s="6"/>
      <c r="U232" s="6"/>
      <c r="V232" s="6"/>
      <c r="W232" s="6" t="str">
        <f t="shared" si="23"/>
        <v/>
      </c>
      <c r="X232" s="6" t="str">
        <f t="shared" si="24"/>
        <v/>
      </c>
      <c r="Y232" s="6" t="str">
        <f t="shared" si="25"/>
        <v/>
      </c>
      <c r="Z232" s="6" t="str">
        <f t="shared" si="26"/>
        <v/>
      </c>
      <c r="AA232" s="5" t="str">
        <f t="shared" si="27"/>
        <v/>
      </c>
    </row>
    <row r="233" spans="1:27" ht="14.5" x14ac:dyDescent="0.35">
      <c r="A233" s="5"/>
      <c r="B233" s="6"/>
      <c r="C233" s="6"/>
      <c r="D233" s="7"/>
      <c r="E233" s="6"/>
      <c r="F233" s="5" t="str">
        <f t="shared" si="21"/>
        <v/>
      </c>
      <c r="G233" s="5"/>
      <c r="H233" s="6"/>
      <c r="I233" s="6"/>
      <c r="J233" s="6"/>
      <c r="K233" s="7"/>
      <c r="L233" s="6"/>
      <c r="M233" s="8" t="str">
        <f t="shared" ca="1" si="22"/>
        <v/>
      </c>
      <c r="N233" s="6"/>
      <c r="O233" s="9"/>
      <c r="P233" s="10"/>
      <c r="Q233" s="6"/>
      <c r="R233" s="6"/>
      <c r="S233" s="6"/>
      <c r="T233" s="6"/>
      <c r="U233" s="6"/>
      <c r="V233" s="6"/>
      <c r="W233" s="6" t="str">
        <f t="shared" si="23"/>
        <v/>
      </c>
      <c r="X233" s="6" t="str">
        <f t="shared" si="24"/>
        <v/>
      </c>
      <c r="Y233" s="6" t="str">
        <f t="shared" si="25"/>
        <v/>
      </c>
      <c r="Z233" s="6" t="str">
        <f t="shared" si="26"/>
        <v/>
      </c>
      <c r="AA233" s="5" t="str">
        <f t="shared" si="27"/>
        <v/>
      </c>
    </row>
    <row r="234" spans="1:27" ht="14.5" x14ac:dyDescent="0.35">
      <c r="A234" s="5"/>
      <c r="B234" s="6"/>
      <c r="C234" s="6"/>
      <c r="D234" s="7"/>
      <c r="E234" s="6"/>
      <c r="F234" s="5" t="str">
        <f t="shared" si="21"/>
        <v/>
      </c>
      <c r="G234" s="5"/>
      <c r="H234" s="6"/>
      <c r="I234" s="6"/>
      <c r="J234" s="6"/>
      <c r="K234" s="7"/>
      <c r="L234" s="6"/>
      <c r="M234" s="8" t="str">
        <f t="shared" ca="1" si="22"/>
        <v/>
      </c>
      <c r="N234" s="6"/>
      <c r="O234" s="9"/>
      <c r="P234" s="10"/>
      <c r="Q234" s="6"/>
      <c r="R234" s="6"/>
      <c r="S234" s="6"/>
      <c r="T234" s="6"/>
      <c r="U234" s="6"/>
      <c r="V234" s="6"/>
      <c r="W234" s="6" t="str">
        <f t="shared" si="23"/>
        <v/>
      </c>
      <c r="X234" s="6" t="str">
        <f t="shared" si="24"/>
        <v/>
      </c>
      <c r="Y234" s="6" t="str">
        <f t="shared" si="25"/>
        <v/>
      </c>
      <c r="Z234" s="6" t="str">
        <f t="shared" si="26"/>
        <v/>
      </c>
      <c r="AA234" s="5" t="str">
        <f t="shared" si="27"/>
        <v/>
      </c>
    </row>
    <row r="235" spans="1:27" ht="14.5" x14ac:dyDescent="0.35">
      <c r="A235" s="5"/>
      <c r="B235" s="6"/>
      <c r="C235" s="6"/>
      <c r="D235" s="7"/>
      <c r="E235" s="6"/>
      <c r="F235" s="5" t="str">
        <f t="shared" si="21"/>
        <v/>
      </c>
      <c r="G235" s="5"/>
      <c r="H235" s="6"/>
      <c r="I235" s="6"/>
      <c r="J235" s="6"/>
      <c r="K235" s="7"/>
      <c r="L235" s="6"/>
      <c r="M235" s="8" t="str">
        <f t="shared" ca="1" si="22"/>
        <v/>
      </c>
      <c r="N235" s="6"/>
      <c r="O235" s="9"/>
      <c r="P235" s="10"/>
      <c r="Q235" s="6"/>
      <c r="R235" s="6"/>
      <c r="S235" s="6"/>
      <c r="T235" s="6"/>
      <c r="U235" s="6"/>
      <c r="V235" s="6"/>
      <c r="W235" s="6" t="str">
        <f t="shared" si="23"/>
        <v/>
      </c>
      <c r="X235" s="6" t="str">
        <f t="shared" si="24"/>
        <v/>
      </c>
      <c r="Y235" s="6" t="str">
        <f t="shared" si="25"/>
        <v/>
      </c>
      <c r="Z235" s="6" t="str">
        <f t="shared" si="26"/>
        <v/>
      </c>
      <c r="AA235" s="5" t="str">
        <f t="shared" si="27"/>
        <v/>
      </c>
    </row>
    <row r="236" spans="1:27" ht="14.5" x14ac:dyDescent="0.35">
      <c r="A236" s="5"/>
      <c r="B236" s="6"/>
      <c r="C236" s="6"/>
      <c r="D236" s="7"/>
      <c r="E236" s="6"/>
      <c r="F236" s="5" t="str">
        <f t="shared" si="21"/>
        <v/>
      </c>
      <c r="G236" s="5"/>
      <c r="H236" s="6"/>
      <c r="I236" s="6"/>
      <c r="J236" s="6"/>
      <c r="K236" s="7"/>
      <c r="L236" s="6"/>
      <c r="M236" s="8" t="str">
        <f t="shared" ca="1" si="22"/>
        <v/>
      </c>
      <c r="N236" s="6"/>
      <c r="O236" s="9"/>
      <c r="P236" s="10"/>
      <c r="Q236" s="6"/>
      <c r="R236" s="6"/>
      <c r="S236" s="6"/>
      <c r="T236" s="6"/>
      <c r="U236" s="6"/>
      <c r="V236" s="6"/>
      <c r="W236" s="6" t="str">
        <f t="shared" si="23"/>
        <v/>
      </c>
      <c r="X236" s="6" t="str">
        <f t="shared" si="24"/>
        <v/>
      </c>
      <c r="Y236" s="6" t="str">
        <f t="shared" si="25"/>
        <v/>
      </c>
      <c r="Z236" s="6" t="str">
        <f t="shared" si="26"/>
        <v/>
      </c>
      <c r="AA236" s="5" t="str">
        <f t="shared" si="27"/>
        <v/>
      </c>
    </row>
    <row r="237" spans="1:27" ht="14.5" x14ac:dyDescent="0.35">
      <c r="A237" s="5"/>
      <c r="B237" s="6"/>
      <c r="C237" s="6"/>
      <c r="D237" s="7"/>
      <c r="E237" s="6"/>
      <c r="F237" s="5" t="str">
        <f t="shared" si="21"/>
        <v/>
      </c>
      <c r="G237" s="5"/>
      <c r="H237" s="6"/>
      <c r="I237" s="6"/>
      <c r="J237" s="6"/>
      <c r="K237" s="7"/>
      <c r="L237" s="6"/>
      <c r="M237" s="8" t="str">
        <f t="shared" ca="1" si="22"/>
        <v/>
      </c>
      <c r="N237" s="6"/>
      <c r="O237" s="9"/>
      <c r="P237" s="10"/>
      <c r="Q237" s="6"/>
      <c r="R237" s="6"/>
      <c r="S237" s="6"/>
      <c r="T237" s="6"/>
      <c r="U237" s="6"/>
      <c r="V237" s="6"/>
      <c r="W237" s="6" t="str">
        <f t="shared" si="23"/>
        <v/>
      </c>
      <c r="X237" s="6" t="str">
        <f t="shared" si="24"/>
        <v/>
      </c>
      <c r="Y237" s="6" t="str">
        <f t="shared" si="25"/>
        <v/>
      </c>
      <c r="Z237" s="6" t="str">
        <f t="shared" si="26"/>
        <v/>
      </c>
      <c r="AA237" s="5" t="str">
        <f t="shared" si="27"/>
        <v/>
      </c>
    </row>
    <row r="238" spans="1:27" ht="14.5" x14ac:dyDescent="0.35">
      <c r="A238" s="5"/>
      <c r="B238" s="6"/>
      <c r="C238" s="6"/>
      <c r="D238" s="7"/>
      <c r="E238" s="6"/>
      <c r="F238" s="5" t="str">
        <f t="shared" si="21"/>
        <v/>
      </c>
      <c r="G238" s="5"/>
      <c r="H238" s="6"/>
      <c r="I238" s="6"/>
      <c r="J238" s="6"/>
      <c r="K238" s="7"/>
      <c r="L238" s="6"/>
      <c r="M238" s="8" t="str">
        <f t="shared" ca="1" si="22"/>
        <v/>
      </c>
      <c r="N238" s="6"/>
      <c r="O238" s="9"/>
      <c r="P238" s="10"/>
      <c r="Q238" s="6"/>
      <c r="R238" s="6"/>
      <c r="S238" s="6"/>
      <c r="T238" s="6"/>
      <c r="U238" s="6"/>
      <c r="V238" s="6"/>
      <c r="W238" s="6" t="str">
        <f t="shared" si="23"/>
        <v/>
      </c>
      <c r="X238" s="6" t="str">
        <f t="shared" si="24"/>
        <v/>
      </c>
      <c r="Y238" s="6" t="str">
        <f t="shared" si="25"/>
        <v/>
      </c>
      <c r="Z238" s="6" t="str">
        <f t="shared" si="26"/>
        <v/>
      </c>
      <c r="AA238" s="5" t="str">
        <f t="shared" si="27"/>
        <v/>
      </c>
    </row>
    <row r="239" spans="1:27" ht="14.5" x14ac:dyDescent="0.35">
      <c r="A239" s="5"/>
      <c r="B239" s="6"/>
      <c r="C239" s="6"/>
      <c r="D239" s="7"/>
      <c r="E239" s="6"/>
      <c r="F239" s="5" t="str">
        <f t="shared" si="21"/>
        <v/>
      </c>
      <c r="G239" s="5"/>
      <c r="H239" s="6"/>
      <c r="I239" s="6"/>
      <c r="J239" s="6"/>
      <c r="K239" s="7"/>
      <c r="L239" s="6"/>
      <c r="M239" s="8" t="str">
        <f t="shared" ca="1" si="22"/>
        <v/>
      </c>
      <c r="N239" s="6"/>
      <c r="O239" s="9"/>
      <c r="P239" s="10"/>
      <c r="Q239" s="6"/>
      <c r="R239" s="6"/>
      <c r="S239" s="6"/>
      <c r="T239" s="6"/>
      <c r="U239" s="6"/>
      <c r="V239" s="6"/>
      <c r="W239" s="6" t="str">
        <f t="shared" si="23"/>
        <v/>
      </c>
      <c r="X239" s="6" t="str">
        <f t="shared" si="24"/>
        <v/>
      </c>
      <c r="Y239" s="6" t="str">
        <f t="shared" si="25"/>
        <v/>
      </c>
      <c r="Z239" s="6" t="str">
        <f t="shared" si="26"/>
        <v/>
      </c>
      <c r="AA239" s="5" t="str">
        <f t="shared" si="27"/>
        <v/>
      </c>
    </row>
    <row r="240" spans="1:27" ht="14.5" x14ac:dyDescent="0.35">
      <c r="A240" s="5"/>
      <c r="B240" s="6"/>
      <c r="C240" s="6"/>
      <c r="D240" s="7"/>
      <c r="E240" s="6"/>
      <c r="F240" s="5" t="str">
        <f t="shared" si="21"/>
        <v/>
      </c>
      <c r="G240" s="5"/>
      <c r="H240" s="6"/>
      <c r="I240" s="6"/>
      <c r="J240" s="6"/>
      <c r="K240" s="7"/>
      <c r="L240" s="6"/>
      <c r="M240" s="8" t="str">
        <f t="shared" ca="1" si="22"/>
        <v/>
      </c>
      <c r="N240" s="6"/>
      <c r="O240" s="9"/>
      <c r="P240" s="10"/>
      <c r="Q240" s="6"/>
      <c r="R240" s="6"/>
      <c r="S240" s="6"/>
      <c r="T240" s="6"/>
      <c r="U240" s="6"/>
      <c r="V240" s="6"/>
      <c r="W240" s="6" t="str">
        <f t="shared" si="23"/>
        <v/>
      </c>
      <c r="X240" s="6" t="str">
        <f t="shared" si="24"/>
        <v/>
      </c>
      <c r="Y240" s="6" t="str">
        <f t="shared" si="25"/>
        <v/>
      </c>
      <c r="Z240" s="6" t="str">
        <f t="shared" si="26"/>
        <v/>
      </c>
      <c r="AA240" s="5" t="str">
        <f t="shared" si="27"/>
        <v/>
      </c>
    </row>
    <row r="241" spans="1:27" ht="14.5" x14ac:dyDescent="0.35">
      <c r="A241" s="5"/>
      <c r="B241" s="6"/>
      <c r="C241" s="6"/>
      <c r="D241" s="7"/>
      <c r="E241" s="6"/>
      <c r="F241" s="5" t="str">
        <f t="shared" si="21"/>
        <v/>
      </c>
      <c r="G241" s="5"/>
      <c r="H241" s="6"/>
      <c r="I241" s="6"/>
      <c r="J241" s="6"/>
      <c r="K241" s="7"/>
      <c r="L241" s="6"/>
      <c r="M241" s="8" t="str">
        <f t="shared" ca="1" si="22"/>
        <v/>
      </c>
      <c r="N241" s="6"/>
      <c r="O241" s="9"/>
      <c r="P241" s="10"/>
      <c r="Q241" s="6"/>
      <c r="R241" s="6"/>
      <c r="S241" s="6"/>
      <c r="T241" s="6"/>
      <c r="U241" s="6"/>
      <c r="V241" s="6"/>
      <c r="W241" s="6" t="str">
        <f t="shared" si="23"/>
        <v/>
      </c>
      <c r="X241" s="6" t="str">
        <f t="shared" si="24"/>
        <v/>
      </c>
      <c r="Y241" s="6" t="str">
        <f t="shared" si="25"/>
        <v/>
      </c>
      <c r="Z241" s="6" t="str">
        <f t="shared" si="26"/>
        <v/>
      </c>
      <c r="AA241" s="5" t="str">
        <f t="shared" si="27"/>
        <v/>
      </c>
    </row>
    <row r="242" spans="1:27" ht="14.5" x14ac:dyDescent="0.35">
      <c r="A242" s="5"/>
      <c r="B242" s="6"/>
      <c r="C242" s="6"/>
      <c r="D242" s="7"/>
      <c r="E242" s="6"/>
      <c r="F242" s="5" t="str">
        <f t="shared" si="21"/>
        <v/>
      </c>
      <c r="G242" s="5"/>
      <c r="H242" s="6"/>
      <c r="I242" s="6"/>
      <c r="J242" s="6"/>
      <c r="K242" s="7"/>
      <c r="L242" s="6"/>
      <c r="M242" s="8" t="str">
        <f t="shared" ca="1" si="22"/>
        <v/>
      </c>
      <c r="N242" s="6"/>
      <c r="O242" s="9"/>
      <c r="P242" s="10"/>
      <c r="Q242" s="6"/>
      <c r="R242" s="6"/>
      <c r="S242" s="6"/>
      <c r="T242" s="6"/>
      <c r="U242" s="6"/>
      <c r="V242" s="6"/>
      <c r="W242" s="6" t="str">
        <f t="shared" si="23"/>
        <v/>
      </c>
      <c r="X242" s="6" t="str">
        <f t="shared" si="24"/>
        <v/>
      </c>
      <c r="Y242" s="6" t="str">
        <f t="shared" si="25"/>
        <v/>
      </c>
      <c r="Z242" s="6" t="str">
        <f t="shared" si="26"/>
        <v/>
      </c>
      <c r="AA242" s="5" t="str">
        <f t="shared" si="27"/>
        <v/>
      </c>
    </row>
    <row r="243" spans="1:27" ht="14.5" x14ac:dyDescent="0.35">
      <c r="A243" s="5"/>
      <c r="B243" s="6"/>
      <c r="C243" s="6"/>
      <c r="D243" s="7"/>
      <c r="E243" s="6"/>
      <c r="F243" s="5" t="str">
        <f t="shared" si="21"/>
        <v/>
      </c>
      <c r="G243" s="5"/>
      <c r="H243" s="6"/>
      <c r="I243" s="6"/>
      <c r="J243" s="6"/>
      <c r="K243" s="7"/>
      <c r="L243" s="6"/>
      <c r="M243" s="8" t="str">
        <f t="shared" ca="1" si="22"/>
        <v/>
      </c>
      <c r="N243" s="6"/>
      <c r="O243" s="9"/>
      <c r="P243" s="10"/>
      <c r="Q243" s="6"/>
      <c r="R243" s="6"/>
      <c r="S243" s="6"/>
      <c r="T243" s="6"/>
      <c r="U243" s="6"/>
      <c r="V243" s="6"/>
      <c r="W243" s="6" t="str">
        <f t="shared" si="23"/>
        <v/>
      </c>
      <c r="X243" s="6" t="str">
        <f t="shared" si="24"/>
        <v/>
      </c>
      <c r="Y243" s="6" t="str">
        <f t="shared" si="25"/>
        <v/>
      </c>
      <c r="Z243" s="6" t="str">
        <f t="shared" si="26"/>
        <v/>
      </c>
      <c r="AA243" s="5" t="str">
        <f t="shared" si="27"/>
        <v/>
      </c>
    </row>
    <row r="244" spans="1:27" ht="14.5" x14ac:dyDescent="0.35">
      <c r="A244" s="5"/>
      <c r="B244" s="6"/>
      <c r="C244" s="6"/>
      <c r="D244" s="7"/>
      <c r="E244" s="6"/>
      <c r="F244" s="5" t="str">
        <f t="shared" si="21"/>
        <v/>
      </c>
      <c r="G244" s="5"/>
      <c r="H244" s="6"/>
      <c r="I244" s="6"/>
      <c r="J244" s="6"/>
      <c r="K244" s="7"/>
      <c r="L244" s="6"/>
      <c r="M244" s="8" t="str">
        <f t="shared" ca="1" si="22"/>
        <v/>
      </c>
      <c r="N244" s="6"/>
      <c r="O244" s="9"/>
      <c r="P244" s="10"/>
      <c r="Q244" s="6"/>
      <c r="R244" s="6"/>
      <c r="S244" s="6"/>
      <c r="T244" s="6"/>
      <c r="U244" s="6"/>
      <c r="V244" s="6"/>
      <c r="W244" s="6" t="str">
        <f t="shared" si="23"/>
        <v/>
      </c>
      <c r="X244" s="6" t="str">
        <f t="shared" si="24"/>
        <v/>
      </c>
      <c r="Y244" s="6" t="str">
        <f t="shared" si="25"/>
        <v/>
      </c>
      <c r="Z244" s="6" t="str">
        <f t="shared" si="26"/>
        <v/>
      </c>
      <c r="AA244" s="5" t="str">
        <f t="shared" si="27"/>
        <v/>
      </c>
    </row>
    <row r="245" spans="1:27" ht="14.5" x14ac:dyDescent="0.35">
      <c r="A245" s="5"/>
      <c r="B245" s="6"/>
      <c r="C245" s="6"/>
      <c r="D245" s="7"/>
      <c r="E245" s="6"/>
      <c r="F245" s="5" t="str">
        <f t="shared" si="21"/>
        <v/>
      </c>
      <c r="G245" s="5"/>
      <c r="H245" s="6"/>
      <c r="I245" s="6"/>
      <c r="J245" s="6"/>
      <c r="K245" s="7"/>
      <c r="L245" s="6"/>
      <c r="M245" s="8" t="str">
        <f t="shared" ca="1" si="22"/>
        <v/>
      </c>
      <c r="N245" s="6"/>
      <c r="O245" s="9"/>
      <c r="P245" s="10"/>
      <c r="Q245" s="6"/>
      <c r="R245" s="6"/>
      <c r="S245" s="6"/>
      <c r="T245" s="6"/>
      <c r="U245" s="6"/>
      <c r="V245" s="6"/>
      <c r="W245" s="6" t="str">
        <f t="shared" si="23"/>
        <v/>
      </c>
      <c r="X245" s="6" t="str">
        <f t="shared" si="24"/>
        <v/>
      </c>
      <c r="Y245" s="6" t="str">
        <f t="shared" si="25"/>
        <v/>
      </c>
      <c r="Z245" s="6" t="str">
        <f t="shared" si="26"/>
        <v/>
      </c>
      <c r="AA245" s="5" t="str">
        <f t="shared" si="27"/>
        <v/>
      </c>
    </row>
    <row r="246" spans="1:27" ht="14.5" x14ac:dyDescent="0.35">
      <c r="A246" s="5"/>
      <c r="B246" s="6"/>
      <c r="C246" s="6"/>
      <c r="D246" s="7"/>
      <c r="E246" s="6"/>
      <c r="F246" s="5" t="str">
        <f t="shared" si="21"/>
        <v/>
      </c>
      <c r="G246" s="5"/>
      <c r="H246" s="6"/>
      <c r="I246" s="6"/>
      <c r="J246" s="6"/>
      <c r="K246" s="7"/>
      <c r="L246" s="6"/>
      <c r="M246" s="8" t="str">
        <f t="shared" ca="1" si="22"/>
        <v/>
      </c>
      <c r="N246" s="6"/>
      <c r="O246" s="9"/>
      <c r="P246" s="10"/>
      <c r="Q246" s="6"/>
      <c r="R246" s="6"/>
      <c r="S246" s="6"/>
      <c r="T246" s="6"/>
      <c r="U246" s="6"/>
      <c r="V246" s="6"/>
      <c r="W246" s="6" t="str">
        <f t="shared" si="23"/>
        <v/>
      </c>
      <c r="X246" s="6" t="str">
        <f t="shared" si="24"/>
        <v/>
      </c>
      <c r="Y246" s="6" t="str">
        <f t="shared" si="25"/>
        <v/>
      </c>
      <c r="Z246" s="6" t="str">
        <f t="shared" si="26"/>
        <v/>
      </c>
      <c r="AA246" s="5" t="str">
        <f t="shared" si="27"/>
        <v/>
      </c>
    </row>
    <row r="247" spans="1:27" ht="14.5" x14ac:dyDescent="0.35">
      <c r="A247" s="5"/>
      <c r="B247" s="6"/>
      <c r="C247" s="6"/>
      <c r="D247" s="7"/>
      <c r="E247" s="6"/>
      <c r="F247" s="5" t="str">
        <f t="shared" si="21"/>
        <v/>
      </c>
      <c r="G247" s="5"/>
      <c r="H247" s="6"/>
      <c r="I247" s="6"/>
      <c r="J247" s="6"/>
      <c r="K247" s="7"/>
      <c r="L247" s="6"/>
      <c r="M247" s="8" t="str">
        <f t="shared" ca="1" si="22"/>
        <v/>
      </c>
      <c r="N247" s="6"/>
      <c r="O247" s="9"/>
      <c r="P247" s="10"/>
      <c r="Q247" s="6"/>
      <c r="R247" s="6"/>
      <c r="S247" s="6"/>
      <c r="T247" s="6"/>
      <c r="U247" s="6"/>
      <c r="V247" s="6"/>
      <c r="W247" s="6" t="str">
        <f t="shared" si="23"/>
        <v/>
      </c>
      <c r="X247" s="6" t="str">
        <f t="shared" si="24"/>
        <v/>
      </c>
      <c r="Y247" s="6" t="str">
        <f t="shared" si="25"/>
        <v/>
      </c>
      <c r="Z247" s="6" t="str">
        <f t="shared" si="26"/>
        <v/>
      </c>
      <c r="AA247" s="5" t="str">
        <f t="shared" si="27"/>
        <v/>
      </c>
    </row>
    <row r="248" spans="1:27" ht="14.5" x14ac:dyDescent="0.35">
      <c r="A248" s="5"/>
      <c r="B248" s="6"/>
      <c r="C248" s="6"/>
      <c r="D248" s="7"/>
      <c r="E248" s="6"/>
      <c r="F248" s="5" t="str">
        <f t="shared" si="21"/>
        <v/>
      </c>
      <c r="G248" s="5"/>
      <c r="H248" s="6"/>
      <c r="I248" s="6"/>
      <c r="J248" s="6"/>
      <c r="K248" s="7"/>
      <c r="L248" s="6"/>
      <c r="M248" s="8" t="str">
        <f t="shared" ca="1" si="22"/>
        <v/>
      </c>
      <c r="N248" s="6"/>
      <c r="O248" s="9"/>
      <c r="P248" s="10"/>
      <c r="Q248" s="6"/>
      <c r="R248" s="6"/>
      <c r="S248" s="6"/>
      <c r="T248" s="6"/>
      <c r="U248" s="6"/>
      <c r="V248" s="6"/>
      <c r="W248" s="6" t="str">
        <f t="shared" si="23"/>
        <v/>
      </c>
      <c r="X248" s="6" t="str">
        <f t="shared" si="24"/>
        <v/>
      </c>
      <c r="Y248" s="6" t="str">
        <f t="shared" si="25"/>
        <v/>
      </c>
      <c r="Z248" s="6" t="str">
        <f t="shared" si="26"/>
        <v/>
      </c>
      <c r="AA248" s="5" t="str">
        <f t="shared" si="27"/>
        <v/>
      </c>
    </row>
    <row r="249" spans="1:27" ht="14.5" x14ac:dyDescent="0.35">
      <c r="A249" s="5"/>
      <c r="B249" s="6"/>
      <c r="C249" s="6"/>
      <c r="D249" s="7"/>
      <c r="E249" s="6"/>
      <c r="F249" s="5" t="str">
        <f t="shared" si="21"/>
        <v/>
      </c>
      <c r="G249" s="5"/>
      <c r="H249" s="6"/>
      <c r="I249" s="6"/>
      <c r="J249" s="6"/>
      <c r="K249" s="7"/>
      <c r="L249" s="6"/>
      <c r="M249" s="8" t="str">
        <f t="shared" ca="1" si="22"/>
        <v/>
      </c>
      <c r="N249" s="6"/>
      <c r="O249" s="9"/>
      <c r="P249" s="10"/>
      <c r="Q249" s="6"/>
      <c r="R249" s="6"/>
      <c r="S249" s="6"/>
      <c r="T249" s="6"/>
      <c r="U249" s="6"/>
      <c r="V249" s="6"/>
      <c r="W249" s="6" t="str">
        <f t="shared" si="23"/>
        <v/>
      </c>
      <c r="X249" s="6" t="str">
        <f t="shared" si="24"/>
        <v/>
      </c>
      <c r="Y249" s="6" t="str">
        <f t="shared" si="25"/>
        <v/>
      </c>
      <c r="Z249" s="6" t="str">
        <f t="shared" si="26"/>
        <v/>
      </c>
      <c r="AA249" s="5" t="str">
        <f t="shared" si="27"/>
        <v/>
      </c>
    </row>
    <row r="250" spans="1:27" ht="14.5" x14ac:dyDescent="0.35">
      <c r="A250" s="5"/>
      <c r="B250" s="6"/>
      <c r="C250" s="6"/>
      <c r="D250" s="7"/>
      <c r="E250" s="6"/>
      <c r="F250" s="5" t="str">
        <f t="shared" si="21"/>
        <v/>
      </c>
      <c r="G250" s="5"/>
      <c r="H250" s="6"/>
      <c r="I250" s="6"/>
      <c r="J250" s="6"/>
      <c r="K250" s="7"/>
      <c r="L250" s="6"/>
      <c r="M250" s="8" t="str">
        <f t="shared" ca="1" si="22"/>
        <v/>
      </c>
      <c r="N250" s="6"/>
      <c r="O250" s="9"/>
      <c r="P250" s="10"/>
      <c r="Q250" s="6"/>
      <c r="R250" s="6"/>
      <c r="S250" s="6"/>
      <c r="T250" s="6"/>
      <c r="U250" s="6"/>
      <c r="V250" s="6"/>
      <c r="W250" s="6" t="str">
        <f t="shared" si="23"/>
        <v/>
      </c>
      <c r="X250" s="6" t="str">
        <f t="shared" si="24"/>
        <v/>
      </c>
      <c r="Y250" s="6" t="str">
        <f t="shared" si="25"/>
        <v/>
      </c>
      <c r="Z250" s="6" t="str">
        <f t="shared" si="26"/>
        <v/>
      </c>
      <c r="AA250" s="5" t="str">
        <f t="shared" si="27"/>
        <v/>
      </c>
    </row>
    <row r="251" spans="1:27" ht="14.5" x14ac:dyDescent="0.35">
      <c r="A251" s="5"/>
      <c r="B251" s="6"/>
      <c r="C251" s="6"/>
      <c r="D251" s="7"/>
      <c r="E251" s="6"/>
      <c r="F251" s="5" t="str">
        <f t="shared" si="21"/>
        <v/>
      </c>
      <c r="G251" s="5"/>
      <c r="H251" s="6"/>
      <c r="I251" s="6"/>
      <c r="J251" s="6"/>
      <c r="K251" s="7"/>
      <c r="L251" s="6"/>
      <c r="M251" s="8" t="str">
        <f t="shared" ca="1" si="22"/>
        <v/>
      </c>
      <c r="N251" s="6"/>
      <c r="O251" s="9"/>
      <c r="P251" s="10"/>
      <c r="Q251" s="6"/>
      <c r="R251" s="6"/>
      <c r="S251" s="6"/>
      <c r="T251" s="6"/>
      <c r="U251" s="6"/>
      <c r="V251" s="6"/>
      <c r="W251" s="6" t="str">
        <f t="shared" si="23"/>
        <v/>
      </c>
      <c r="X251" s="6" t="str">
        <f t="shared" si="24"/>
        <v/>
      </c>
      <c r="Y251" s="6" t="str">
        <f t="shared" si="25"/>
        <v/>
      </c>
      <c r="Z251" s="6" t="str">
        <f t="shared" si="26"/>
        <v/>
      </c>
      <c r="AA251" s="5" t="str">
        <f t="shared" si="27"/>
        <v/>
      </c>
    </row>
    <row r="252" spans="1:27" ht="14.5" x14ac:dyDescent="0.35">
      <c r="A252" s="5"/>
      <c r="B252" s="6"/>
      <c r="C252" s="6"/>
      <c r="D252" s="7"/>
      <c r="E252" s="6"/>
      <c r="F252" s="5" t="str">
        <f t="shared" si="21"/>
        <v/>
      </c>
      <c r="G252" s="5"/>
      <c r="H252" s="6"/>
      <c r="I252" s="6"/>
      <c r="J252" s="6"/>
      <c r="K252" s="7"/>
      <c r="L252" s="6"/>
      <c r="M252" s="8" t="str">
        <f t="shared" ca="1" si="22"/>
        <v/>
      </c>
      <c r="N252" s="6"/>
      <c r="O252" s="9"/>
      <c r="P252" s="10"/>
      <c r="Q252" s="6"/>
      <c r="R252" s="6"/>
      <c r="S252" s="6"/>
      <c r="T252" s="6"/>
      <c r="U252" s="6"/>
      <c r="V252" s="6"/>
      <c r="W252" s="6" t="str">
        <f t="shared" si="23"/>
        <v/>
      </c>
      <c r="X252" s="6" t="str">
        <f t="shared" si="24"/>
        <v/>
      </c>
      <c r="Y252" s="6" t="str">
        <f t="shared" si="25"/>
        <v/>
      </c>
      <c r="Z252" s="6" t="str">
        <f t="shared" si="26"/>
        <v/>
      </c>
      <c r="AA252" s="5" t="str">
        <f t="shared" si="27"/>
        <v/>
      </c>
    </row>
    <row r="253" spans="1:27" ht="14.5" x14ac:dyDescent="0.35">
      <c r="A253" s="5"/>
      <c r="B253" s="6"/>
      <c r="C253" s="6"/>
      <c r="D253" s="7"/>
      <c r="E253" s="6"/>
      <c r="F253" s="5" t="str">
        <f t="shared" si="21"/>
        <v/>
      </c>
      <c r="G253" s="5"/>
      <c r="H253" s="6"/>
      <c r="I253" s="6"/>
      <c r="J253" s="6"/>
      <c r="K253" s="7"/>
      <c r="L253" s="6"/>
      <c r="M253" s="8" t="str">
        <f t="shared" ca="1" si="22"/>
        <v/>
      </c>
      <c r="N253" s="6"/>
      <c r="O253" s="9"/>
      <c r="P253" s="10"/>
      <c r="Q253" s="6"/>
      <c r="R253" s="6"/>
      <c r="S253" s="6"/>
      <c r="T253" s="6"/>
      <c r="U253" s="6"/>
      <c r="V253" s="6"/>
      <c r="W253" s="6" t="str">
        <f t="shared" si="23"/>
        <v/>
      </c>
      <c r="X253" s="6" t="str">
        <f t="shared" si="24"/>
        <v/>
      </c>
      <c r="Y253" s="6" t="str">
        <f t="shared" si="25"/>
        <v/>
      </c>
      <c r="Z253" s="6" t="str">
        <f t="shared" si="26"/>
        <v/>
      </c>
      <c r="AA253" s="5" t="str">
        <f t="shared" si="27"/>
        <v/>
      </c>
    </row>
    <row r="254" spans="1:27" ht="14.5" x14ac:dyDescent="0.35">
      <c r="A254" s="5"/>
      <c r="B254" s="6"/>
      <c r="C254" s="6"/>
      <c r="D254" s="7"/>
      <c r="E254" s="6"/>
      <c r="F254" s="5" t="str">
        <f t="shared" si="21"/>
        <v/>
      </c>
      <c r="G254" s="5"/>
      <c r="H254" s="6"/>
      <c r="I254" s="6"/>
      <c r="J254" s="6"/>
      <c r="K254" s="7"/>
      <c r="L254" s="6"/>
      <c r="M254" s="8" t="str">
        <f t="shared" ca="1" si="22"/>
        <v/>
      </c>
      <c r="N254" s="6"/>
      <c r="O254" s="9"/>
      <c r="P254" s="10"/>
      <c r="Q254" s="6"/>
      <c r="R254" s="6"/>
      <c r="S254" s="6"/>
      <c r="T254" s="6"/>
      <c r="U254" s="6"/>
      <c r="V254" s="6"/>
      <c r="W254" s="6" t="str">
        <f t="shared" si="23"/>
        <v/>
      </c>
      <c r="X254" s="6" t="str">
        <f t="shared" si="24"/>
        <v/>
      </c>
      <c r="Y254" s="6" t="str">
        <f t="shared" si="25"/>
        <v/>
      </c>
      <c r="Z254" s="6" t="str">
        <f t="shared" si="26"/>
        <v/>
      </c>
      <c r="AA254" s="5" t="str">
        <f t="shared" si="27"/>
        <v/>
      </c>
    </row>
    <row r="255" spans="1:27" ht="14.5" x14ac:dyDescent="0.35">
      <c r="A255" s="5"/>
      <c r="B255" s="6"/>
      <c r="C255" s="6"/>
      <c r="D255" s="7"/>
      <c r="E255" s="6"/>
      <c r="F255" s="5" t="str">
        <f t="shared" si="21"/>
        <v/>
      </c>
      <c r="G255" s="5"/>
      <c r="H255" s="6"/>
      <c r="I255" s="6"/>
      <c r="J255" s="6"/>
      <c r="K255" s="7"/>
      <c r="L255" s="6"/>
      <c r="M255" s="8" t="str">
        <f t="shared" ca="1" si="22"/>
        <v/>
      </c>
      <c r="N255" s="6"/>
      <c r="O255" s="9"/>
      <c r="P255" s="10"/>
      <c r="Q255" s="6"/>
      <c r="R255" s="6"/>
      <c r="S255" s="6"/>
      <c r="T255" s="6"/>
      <c r="U255" s="6"/>
      <c r="V255" s="6"/>
      <c r="W255" s="6" t="str">
        <f t="shared" si="23"/>
        <v/>
      </c>
      <c r="X255" s="6" t="str">
        <f t="shared" si="24"/>
        <v/>
      </c>
      <c r="Y255" s="6" t="str">
        <f t="shared" si="25"/>
        <v/>
      </c>
      <c r="Z255" s="6" t="str">
        <f t="shared" si="26"/>
        <v/>
      </c>
      <c r="AA255" s="5" t="str">
        <f t="shared" si="27"/>
        <v/>
      </c>
    </row>
    <row r="256" spans="1:27" ht="14.5" x14ac:dyDescent="0.35">
      <c r="A256" s="5"/>
      <c r="B256" s="6"/>
      <c r="C256" s="6"/>
      <c r="D256" s="7"/>
      <c r="E256" s="6"/>
      <c r="F256" s="5" t="str">
        <f t="shared" si="21"/>
        <v/>
      </c>
      <c r="G256" s="5"/>
      <c r="H256" s="6"/>
      <c r="I256" s="6"/>
      <c r="J256" s="6"/>
      <c r="K256" s="7"/>
      <c r="L256" s="6"/>
      <c r="M256" s="8" t="str">
        <f t="shared" ca="1" si="22"/>
        <v/>
      </c>
      <c r="N256" s="6"/>
      <c r="O256" s="9"/>
      <c r="P256" s="10"/>
      <c r="Q256" s="6"/>
      <c r="R256" s="6"/>
      <c r="S256" s="6"/>
      <c r="T256" s="6"/>
      <c r="U256" s="6"/>
      <c r="V256" s="6"/>
      <c r="W256" s="6" t="str">
        <f t="shared" si="23"/>
        <v/>
      </c>
      <c r="X256" s="6" t="str">
        <f t="shared" si="24"/>
        <v/>
      </c>
      <c r="Y256" s="6" t="str">
        <f t="shared" si="25"/>
        <v/>
      </c>
      <c r="Z256" s="6" t="str">
        <f t="shared" si="26"/>
        <v/>
      </c>
      <c r="AA256" s="5" t="str">
        <f t="shared" si="27"/>
        <v/>
      </c>
    </row>
    <row r="257" spans="1:27" ht="14.5" x14ac:dyDescent="0.35">
      <c r="A257" s="5"/>
      <c r="B257" s="6"/>
      <c r="C257" s="6"/>
      <c r="D257" s="7"/>
      <c r="E257" s="6"/>
      <c r="F257" s="5" t="str">
        <f t="shared" si="21"/>
        <v/>
      </c>
      <c r="G257" s="5"/>
      <c r="H257" s="6"/>
      <c r="I257" s="6"/>
      <c r="J257" s="6"/>
      <c r="K257" s="7"/>
      <c r="L257" s="6"/>
      <c r="M257" s="8" t="str">
        <f t="shared" ca="1" si="22"/>
        <v/>
      </c>
      <c r="N257" s="6"/>
      <c r="O257" s="9"/>
      <c r="P257" s="10"/>
      <c r="Q257" s="6"/>
      <c r="R257" s="6"/>
      <c r="S257" s="6"/>
      <c r="T257" s="6"/>
      <c r="U257" s="6"/>
      <c r="V257" s="6"/>
      <c r="W257" s="6" t="str">
        <f t="shared" si="23"/>
        <v/>
      </c>
      <c r="X257" s="6" t="str">
        <f t="shared" si="24"/>
        <v/>
      </c>
      <c r="Y257" s="6" t="str">
        <f t="shared" si="25"/>
        <v/>
      </c>
      <c r="Z257" s="6" t="str">
        <f t="shared" si="26"/>
        <v/>
      </c>
      <c r="AA257" s="5" t="str">
        <f t="shared" si="27"/>
        <v/>
      </c>
    </row>
    <row r="258" spans="1:27" ht="14.5" x14ac:dyDescent="0.35">
      <c r="A258" s="5"/>
      <c r="B258" s="6"/>
      <c r="C258" s="6"/>
      <c r="D258" s="7"/>
      <c r="E258" s="6"/>
      <c r="F258" s="5" t="str">
        <f t="shared" ref="F258:F321" si="28">IF(COUNTIF($A$2:$A$501,A258&amp;".*")=0,"",COUNTIF($A$2:$A$501,A258&amp;".*"))</f>
        <v/>
      </c>
      <c r="G258" s="5"/>
      <c r="H258" s="6"/>
      <c r="I258" s="6"/>
      <c r="J258" s="6"/>
      <c r="K258" s="7"/>
      <c r="L258" s="6"/>
      <c r="M258" s="8" t="str">
        <f t="shared" ref="M258:M321" ca="1" si="29">IF(K258="","",INT(K258)-TODAY())</f>
        <v/>
      </c>
      <c r="N258" s="6"/>
      <c r="O258" s="9"/>
      <c r="P258" s="10"/>
      <c r="Q258" s="6"/>
      <c r="R258" s="6"/>
      <c r="S258" s="6"/>
      <c r="T258" s="6"/>
      <c r="U258" s="6"/>
      <c r="V258" s="6"/>
      <c r="W258" s="6" t="str">
        <f t="shared" ref="W258:W321" si="30">IF(K258="","",K258+Q258/1000000)</f>
        <v/>
      </c>
      <c r="X258" s="6" t="str">
        <f t="shared" ref="X258:X321" si="31">IF(V258="","",IF(K258="",9999999+Q258/1000000,K258+Q258/1000000))</f>
        <v/>
      </c>
      <c r="Y258" s="6" t="str">
        <f t="shared" ref="Y258:Y321" si="32">IF(V258="","",SUMPRODUCT(($V$2:$V$501=V258)*($X$2:$X$501&lt;=X258)))</f>
        <v/>
      </c>
      <c r="Z258" s="6" t="str">
        <f t="shared" ref="Z258:Z321" si="33">IF(V258="","",V258&amp;"|"&amp;Y258)</f>
        <v/>
      </c>
      <c r="AA258" s="5" t="str">
        <f t="shared" ref="AA258:AA321" si="34">IF(O258="","",TEXT(INT(ROUND(O258*60,0)/60),"0")&amp;"h "&amp;TEXT(MOD(ROUND(O258*60,0),60),"00")&amp;"m")</f>
        <v/>
      </c>
    </row>
    <row r="259" spans="1:27" ht="14.5" x14ac:dyDescent="0.35">
      <c r="A259" s="5"/>
      <c r="B259" s="6"/>
      <c r="C259" s="6"/>
      <c r="D259" s="7"/>
      <c r="E259" s="6"/>
      <c r="F259" s="5" t="str">
        <f t="shared" si="28"/>
        <v/>
      </c>
      <c r="G259" s="5"/>
      <c r="H259" s="6"/>
      <c r="I259" s="6"/>
      <c r="J259" s="6"/>
      <c r="K259" s="7"/>
      <c r="L259" s="6"/>
      <c r="M259" s="8" t="str">
        <f t="shared" ca="1" si="29"/>
        <v/>
      </c>
      <c r="N259" s="6"/>
      <c r="O259" s="9"/>
      <c r="P259" s="10"/>
      <c r="Q259" s="6"/>
      <c r="R259" s="6"/>
      <c r="S259" s="6"/>
      <c r="T259" s="6"/>
      <c r="U259" s="6"/>
      <c r="V259" s="6"/>
      <c r="W259" s="6" t="str">
        <f t="shared" si="30"/>
        <v/>
      </c>
      <c r="X259" s="6" t="str">
        <f t="shared" si="31"/>
        <v/>
      </c>
      <c r="Y259" s="6" t="str">
        <f t="shared" si="32"/>
        <v/>
      </c>
      <c r="Z259" s="6" t="str">
        <f t="shared" si="33"/>
        <v/>
      </c>
      <c r="AA259" s="5" t="str">
        <f t="shared" si="34"/>
        <v/>
      </c>
    </row>
    <row r="260" spans="1:27" ht="14.5" x14ac:dyDescent="0.35">
      <c r="A260" s="5"/>
      <c r="B260" s="6"/>
      <c r="C260" s="6"/>
      <c r="D260" s="7"/>
      <c r="E260" s="6"/>
      <c r="F260" s="5" t="str">
        <f t="shared" si="28"/>
        <v/>
      </c>
      <c r="G260" s="5"/>
      <c r="H260" s="6"/>
      <c r="I260" s="6"/>
      <c r="J260" s="6"/>
      <c r="K260" s="7"/>
      <c r="L260" s="6"/>
      <c r="M260" s="8" t="str">
        <f t="shared" ca="1" si="29"/>
        <v/>
      </c>
      <c r="N260" s="6"/>
      <c r="O260" s="9"/>
      <c r="P260" s="10"/>
      <c r="Q260" s="6"/>
      <c r="R260" s="6"/>
      <c r="S260" s="6"/>
      <c r="T260" s="6"/>
      <c r="U260" s="6"/>
      <c r="V260" s="6"/>
      <c r="W260" s="6" t="str">
        <f t="shared" si="30"/>
        <v/>
      </c>
      <c r="X260" s="6" t="str">
        <f t="shared" si="31"/>
        <v/>
      </c>
      <c r="Y260" s="6" t="str">
        <f t="shared" si="32"/>
        <v/>
      </c>
      <c r="Z260" s="6" t="str">
        <f t="shared" si="33"/>
        <v/>
      </c>
      <c r="AA260" s="5" t="str">
        <f t="shared" si="34"/>
        <v/>
      </c>
    </row>
    <row r="261" spans="1:27" ht="14.5" x14ac:dyDescent="0.35">
      <c r="A261" s="5"/>
      <c r="B261" s="6"/>
      <c r="C261" s="6"/>
      <c r="D261" s="7"/>
      <c r="E261" s="6"/>
      <c r="F261" s="5" t="str">
        <f t="shared" si="28"/>
        <v/>
      </c>
      <c r="G261" s="5"/>
      <c r="H261" s="6"/>
      <c r="I261" s="6"/>
      <c r="J261" s="6"/>
      <c r="K261" s="7"/>
      <c r="L261" s="6"/>
      <c r="M261" s="8" t="str">
        <f t="shared" ca="1" si="29"/>
        <v/>
      </c>
      <c r="N261" s="6"/>
      <c r="O261" s="9"/>
      <c r="P261" s="10"/>
      <c r="Q261" s="6"/>
      <c r="R261" s="6"/>
      <c r="S261" s="6"/>
      <c r="T261" s="6"/>
      <c r="U261" s="6"/>
      <c r="V261" s="6"/>
      <c r="W261" s="6" t="str">
        <f t="shared" si="30"/>
        <v/>
      </c>
      <c r="X261" s="6" t="str">
        <f t="shared" si="31"/>
        <v/>
      </c>
      <c r="Y261" s="6" t="str">
        <f t="shared" si="32"/>
        <v/>
      </c>
      <c r="Z261" s="6" t="str">
        <f t="shared" si="33"/>
        <v/>
      </c>
      <c r="AA261" s="5" t="str">
        <f t="shared" si="34"/>
        <v/>
      </c>
    </row>
    <row r="262" spans="1:27" ht="14.5" x14ac:dyDescent="0.35">
      <c r="A262" s="5"/>
      <c r="B262" s="6"/>
      <c r="C262" s="6"/>
      <c r="D262" s="7"/>
      <c r="E262" s="6"/>
      <c r="F262" s="5" t="str">
        <f t="shared" si="28"/>
        <v/>
      </c>
      <c r="G262" s="5"/>
      <c r="H262" s="6"/>
      <c r="I262" s="6"/>
      <c r="J262" s="6"/>
      <c r="K262" s="7"/>
      <c r="L262" s="6"/>
      <c r="M262" s="8" t="str">
        <f t="shared" ca="1" si="29"/>
        <v/>
      </c>
      <c r="N262" s="6"/>
      <c r="O262" s="9"/>
      <c r="P262" s="10"/>
      <c r="Q262" s="6"/>
      <c r="R262" s="6"/>
      <c r="S262" s="6"/>
      <c r="T262" s="6"/>
      <c r="U262" s="6"/>
      <c r="V262" s="6"/>
      <c r="W262" s="6" t="str">
        <f t="shared" si="30"/>
        <v/>
      </c>
      <c r="X262" s="6" t="str">
        <f t="shared" si="31"/>
        <v/>
      </c>
      <c r="Y262" s="6" t="str">
        <f t="shared" si="32"/>
        <v/>
      </c>
      <c r="Z262" s="6" t="str">
        <f t="shared" si="33"/>
        <v/>
      </c>
      <c r="AA262" s="5" t="str">
        <f t="shared" si="34"/>
        <v/>
      </c>
    </row>
    <row r="263" spans="1:27" ht="14.5" x14ac:dyDescent="0.35">
      <c r="A263" s="5"/>
      <c r="B263" s="6"/>
      <c r="C263" s="6"/>
      <c r="D263" s="7"/>
      <c r="E263" s="6"/>
      <c r="F263" s="5" t="str">
        <f t="shared" si="28"/>
        <v/>
      </c>
      <c r="G263" s="5"/>
      <c r="H263" s="6"/>
      <c r="I263" s="6"/>
      <c r="J263" s="6"/>
      <c r="K263" s="7"/>
      <c r="L263" s="6"/>
      <c r="M263" s="8" t="str">
        <f t="shared" ca="1" si="29"/>
        <v/>
      </c>
      <c r="N263" s="6"/>
      <c r="O263" s="9"/>
      <c r="P263" s="10"/>
      <c r="Q263" s="6"/>
      <c r="R263" s="6"/>
      <c r="S263" s="6"/>
      <c r="T263" s="6"/>
      <c r="U263" s="6"/>
      <c r="V263" s="6"/>
      <c r="W263" s="6" t="str">
        <f t="shared" si="30"/>
        <v/>
      </c>
      <c r="X263" s="6" t="str">
        <f t="shared" si="31"/>
        <v/>
      </c>
      <c r="Y263" s="6" t="str">
        <f t="shared" si="32"/>
        <v/>
      </c>
      <c r="Z263" s="6" t="str">
        <f t="shared" si="33"/>
        <v/>
      </c>
      <c r="AA263" s="5" t="str">
        <f t="shared" si="34"/>
        <v/>
      </c>
    </row>
    <row r="264" spans="1:27" ht="14.5" x14ac:dyDescent="0.35">
      <c r="A264" s="5"/>
      <c r="B264" s="6"/>
      <c r="C264" s="6"/>
      <c r="D264" s="7"/>
      <c r="E264" s="6"/>
      <c r="F264" s="5" t="str">
        <f t="shared" si="28"/>
        <v/>
      </c>
      <c r="G264" s="5"/>
      <c r="H264" s="6"/>
      <c r="I264" s="6"/>
      <c r="J264" s="6"/>
      <c r="K264" s="7"/>
      <c r="L264" s="6"/>
      <c r="M264" s="8" t="str">
        <f t="shared" ca="1" si="29"/>
        <v/>
      </c>
      <c r="N264" s="6"/>
      <c r="O264" s="9"/>
      <c r="P264" s="10"/>
      <c r="Q264" s="6"/>
      <c r="R264" s="6"/>
      <c r="S264" s="6"/>
      <c r="T264" s="6"/>
      <c r="U264" s="6"/>
      <c r="V264" s="6"/>
      <c r="W264" s="6" t="str">
        <f t="shared" si="30"/>
        <v/>
      </c>
      <c r="X264" s="6" t="str">
        <f t="shared" si="31"/>
        <v/>
      </c>
      <c r="Y264" s="6" t="str">
        <f t="shared" si="32"/>
        <v/>
      </c>
      <c r="Z264" s="6" t="str">
        <f t="shared" si="33"/>
        <v/>
      </c>
      <c r="AA264" s="5" t="str">
        <f t="shared" si="34"/>
        <v/>
      </c>
    </row>
    <row r="265" spans="1:27" ht="14.5" x14ac:dyDescent="0.35">
      <c r="A265" s="5"/>
      <c r="B265" s="6"/>
      <c r="C265" s="6"/>
      <c r="D265" s="7"/>
      <c r="E265" s="6"/>
      <c r="F265" s="5" t="str">
        <f t="shared" si="28"/>
        <v/>
      </c>
      <c r="G265" s="5"/>
      <c r="H265" s="6"/>
      <c r="I265" s="6"/>
      <c r="J265" s="6"/>
      <c r="K265" s="7"/>
      <c r="L265" s="6"/>
      <c r="M265" s="8" t="str">
        <f t="shared" ca="1" si="29"/>
        <v/>
      </c>
      <c r="N265" s="6"/>
      <c r="O265" s="9"/>
      <c r="P265" s="10"/>
      <c r="Q265" s="6"/>
      <c r="R265" s="6"/>
      <c r="S265" s="6"/>
      <c r="T265" s="6"/>
      <c r="U265" s="6"/>
      <c r="V265" s="6"/>
      <c r="W265" s="6" t="str">
        <f t="shared" si="30"/>
        <v/>
      </c>
      <c r="X265" s="6" t="str">
        <f t="shared" si="31"/>
        <v/>
      </c>
      <c r="Y265" s="6" t="str">
        <f t="shared" si="32"/>
        <v/>
      </c>
      <c r="Z265" s="6" t="str">
        <f t="shared" si="33"/>
        <v/>
      </c>
      <c r="AA265" s="5" t="str">
        <f t="shared" si="34"/>
        <v/>
      </c>
    </row>
    <row r="266" spans="1:27" ht="14.5" x14ac:dyDescent="0.35">
      <c r="A266" s="5"/>
      <c r="B266" s="6"/>
      <c r="C266" s="6"/>
      <c r="D266" s="7"/>
      <c r="E266" s="6"/>
      <c r="F266" s="5" t="str">
        <f t="shared" si="28"/>
        <v/>
      </c>
      <c r="G266" s="5"/>
      <c r="H266" s="6"/>
      <c r="I266" s="6"/>
      <c r="J266" s="6"/>
      <c r="K266" s="7"/>
      <c r="L266" s="6"/>
      <c r="M266" s="8" t="str">
        <f t="shared" ca="1" si="29"/>
        <v/>
      </c>
      <c r="N266" s="6"/>
      <c r="O266" s="9"/>
      <c r="P266" s="10"/>
      <c r="Q266" s="6"/>
      <c r="R266" s="6"/>
      <c r="S266" s="6"/>
      <c r="T266" s="6"/>
      <c r="U266" s="6"/>
      <c r="V266" s="6"/>
      <c r="W266" s="6" t="str">
        <f t="shared" si="30"/>
        <v/>
      </c>
      <c r="X266" s="6" t="str">
        <f t="shared" si="31"/>
        <v/>
      </c>
      <c r="Y266" s="6" t="str">
        <f t="shared" si="32"/>
        <v/>
      </c>
      <c r="Z266" s="6" t="str">
        <f t="shared" si="33"/>
        <v/>
      </c>
      <c r="AA266" s="5" t="str">
        <f t="shared" si="34"/>
        <v/>
      </c>
    </row>
    <row r="267" spans="1:27" ht="14.5" x14ac:dyDescent="0.35">
      <c r="A267" s="5"/>
      <c r="B267" s="6"/>
      <c r="C267" s="6"/>
      <c r="D267" s="7"/>
      <c r="E267" s="6"/>
      <c r="F267" s="5" t="str">
        <f t="shared" si="28"/>
        <v/>
      </c>
      <c r="G267" s="5"/>
      <c r="H267" s="6"/>
      <c r="I267" s="6"/>
      <c r="J267" s="6"/>
      <c r="K267" s="7"/>
      <c r="L267" s="6"/>
      <c r="M267" s="8" t="str">
        <f t="shared" ca="1" si="29"/>
        <v/>
      </c>
      <c r="N267" s="6"/>
      <c r="O267" s="9"/>
      <c r="P267" s="10"/>
      <c r="Q267" s="6"/>
      <c r="R267" s="6"/>
      <c r="S267" s="6"/>
      <c r="T267" s="6"/>
      <c r="U267" s="6"/>
      <c r="V267" s="6"/>
      <c r="W267" s="6" t="str">
        <f t="shared" si="30"/>
        <v/>
      </c>
      <c r="X267" s="6" t="str">
        <f t="shared" si="31"/>
        <v/>
      </c>
      <c r="Y267" s="6" t="str">
        <f t="shared" si="32"/>
        <v/>
      </c>
      <c r="Z267" s="6" t="str">
        <f t="shared" si="33"/>
        <v/>
      </c>
      <c r="AA267" s="5" t="str">
        <f t="shared" si="34"/>
        <v/>
      </c>
    </row>
    <row r="268" spans="1:27" ht="14.5" x14ac:dyDescent="0.35">
      <c r="A268" s="5"/>
      <c r="B268" s="6"/>
      <c r="C268" s="6"/>
      <c r="D268" s="7"/>
      <c r="E268" s="6"/>
      <c r="F268" s="5" t="str">
        <f t="shared" si="28"/>
        <v/>
      </c>
      <c r="G268" s="5"/>
      <c r="H268" s="6"/>
      <c r="I268" s="6"/>
      <c r="J268" s="6"/>
      <c r="K268" s="7"/>
      <c r="L268" s="6"/>
      <c r="M268" s="8" t="str">
        <f t="shared" ca="1" si="29"/>
        <v/>
      </c>
      <c r="N268" s="6"/>
      <c r="O268" s="9"/>
      <c r="P268" s="10"/>
      <c r="Q268" s="6"/>
      <c r="R268" s="6"/>
      <c r="S268" s="6"/>
      <c r="T268" s="6"/>
      <c r="U268" s="6"/>
      <c r="V268" s="6"/>
      <c r="W268" s="6" t="str">
        <f t="shared" si="30"/>
        <v/>
      </c>
      <c r="X268" s="6" t="str">
        <f t="shared" si="31"/>
        <v/>
      </c>
      <c r="Y268" s="6" t="str">
        <f t="shared" si="32"/>
        <v/>
      </c>
      <c r="Z268" s="6" t="str">
        <f t="shared" si="33"/>
        <v/>
      </c>
      <c r="AA268" s="5" t="str">
        <f t="shared" si="34"/>
        <v/>
      </c>
    </row>
    <row r="269" spans="1:27" ht="14.5" x14ac:dyDescent="0.35">
      <c r="A269" s="5"/>
      <c r="B269" s="6"/>
      <c r="C269" s="6"/>
      <c r="D269" s="7"/>
      <c r="E269" s="6"/>
      <c r="F269" s="5" t="str">
        <f t="shared" si="28"/>
        <v/>
      </c>
      <c r="G269" s="5"/>
      <c r="H269" s="6"/>
      <c r="I269" s="6"/>
      <c r="J269" s="6"/>
      <c r="K269" s="7"/>
      <c r="L269" s="6"/>
      <c r="M269" s="8" t="str">
        <f t="shared" ca="1" si="29"/>
        <v/>
      </c>
      <c r="N269" s="6"/>
      <c r="O269" s="9"/>
      <c r="P269" s="10"/>
      <c r="Q269" s="6"/>
      <c r="R269" s="6"/>
      <c r="S269" s="6"/>
      <c r="T269" s="6"/>
      <c r="U269" s="6"/>
      <c r="V269" s="6"/>
      <c r="W269" s="6" t="str">
        <f t="shared" si="30"/>
        <v/>
      </c>
      <c r="X269" s="6" t="str">
        <f t="shared" si="31"/>
        <v/>
      </c>
      <c r="Y269" s="6" t="str">
        <f t="shared" si="32"/>
        <v/>
      </c>
      <c r="Z269" s="6" t="str">
        <f t="shared" si="33"/>
        <v/>
      </c>
      <c r="AA269" s="5" t="str">
        <f t="shared" si="34"/>
        <v/>
      </c>
    </row>
    <row r="270" spans="1:27" ht="14.5" x14ac:dyDescent="0.35">
      <c r="A270" s="5"/>
      <c r="B270" s="6"/>
      <c r="C270" s="6"/>
      <c r="D270" s="7"/>
      <c r="E270" s="6"/>
      <c r="F270" s="5" t="str">
        <f t="shared" si="28"/>
        <v/>
      </c>
      <c r="G270" s="5"/>
      <c r="H270" s="6"/>
      <c r="I270" s="6"/>
      <c r="J270" s="6"/>
      <c r="K270" s="7"/>
      <c r="L270" s="6"/>
      <c r="M270" s="8" t="str">
        <f t="shared" ca="1" si="29"/>
        <v/>
      </c>
      <c r="N270" s="6"/>
      <c r="O270" s="9"/>
      <c r="P270" s="10"/>
      <c r="Q270" s="6"/>
      <c r="R270" s="6"/>
      <c r="S270" s="6"/>
      <c r="T270" s="6"/>
      <c r="U270" s="6"/>
      <c r="V270" s="6"/>
      <c r="W270" s="6" t="str">
        <f t="shared" si="30"/>
        <v/>
      </c>
      <c r="X270" s="6" t="str">
        <f t="shared" si="31"/>
        <v/>
      </c>
      <c r="Y270" s="6" t="str">
        <f t="shared" si="32"/>
        <v/>
      </c>
      <c r="Z270" s="6" t="str">
        <f t="shared" si="33"/>
        <v/>
      </c>
      <c r="AA270" s="5" t="str">
        <f t="shared" si="34"/>
        <v/>
      </c>
    </row>
    <row r="271" spans="1:27" ht="14.5" x14ac:dyDescent="0.35">
      <c r="A271" s="5"/>
      <c r="B271" s="6"/>
      <c r="C271" s="6"/>
      <c r="D271" s="7"/>
      <c r="E271" s="6"/>
      <c r="F271" s="5" t="str">
        <f t="shared" si="28"/>
        <v/>
      </c>
      <c r="G271" s="5"/>
      <c r="H271" s="6"/>
      <c r="I271" s="6"/>
      <c r="J271" s="6"/>
      <c r="K271" s="7"/>
      <c r="L271" s="6"/>
      <c r="M271" s="8" t="str">
        <f t="shared" ca="1" si="29"/>
        <v/>
      </c>
      <c r="N271" s="6"/>
      <c r="O271" s="9"/>
      <c r="P271" s="10"/>
      <c r="Q271" s="6"/>
      <c r="R271" s="6"/>
      <c r="S271" s="6"/>
      <c r="T271" s="6"/>
      <c r="U271" s="6"/>
      <c r="V271" s="6"/>
      <c r="W271" s="6" t="str">
        <f t="shared" si="30"/>
        <v/>
      </c>
      <c r="X271" s="6" t="str">
        <f t="shared" si="31"/>
        <v/>
      </c>
      <c r="Y271" s="6" t="str">
        <f t="shared" si="32"/>
        <v/>
      </c>
      <c r="Z271" s="6" t="str">
        <f t="shared" si="33"/>
        <v/>
      </c>
      <c r="AA271" s="5" t="str">
        <f t="shared" si="34"/>
        <v/>
      </c>
    </row>
    <row r="272" spans="1:27" ht="14.5" x14ac:dyDescent="0.35">
      <c r="A272" s="5"/>
      <c r="B272" s="6"/>
      <c r="C272" s="6"/>
      <c r="D272" s="7"/>
      <c r="E272" s="6"/>
      <c r="F272" s="5" t="str">
        <f t="shared" si="28"/>
        <v/>
      </c>
      <c r="G272" s="5"/>
      <c r="H272" s="6"/>
      <c r="I272" s="6"/>
      <c r="J272" s="6"/>
      <c r="K272" s="7"/>
      <c r="L272" s="6"/>
      <c r="M272" s="8" t="str">
        <f t="shared" ca="1" si="29"/>
        <v/>
      </c>
      <c r="N272" s="6"/>
      <c r="O272" s="9"/>
      <c r="P272" s="10"/>
      <c r="Q272" s="6"/>
      <c r="R272" s="6"/>
      <c r="S272" s="6"/>
      <c r="T272" s="6"/>
      <c r="U272" s="6"/>
      <c r="V272" s="6"/>
      <c r="W272" s="6" t="str">
        <f t="shared" si="30"/>
        <v/>
      </c>
      <c r="X272" s="6" t="str">
        <f t="shared" si="31"/>
        <v/>
      </c>
      <c r="Y272" s="6" t="str">
        <f t="shared" si="32"/>
        <v/>
      </c>
      <c r="Z272" s="6" t="str">
        <f t="shared" si="33"/>
        <v/>
      </c>
      <c r="AA272" s="5" t="str">
        <f t="shared" si="34"/>
        <v/>
      </c>
    </row>
    <row r="273" spans="1:27" ht="14.5" x14ac:dyDescent="0.35">
      <c r="A273" s="5"/>
      <c r="B273" s="6"/>
      <c r="C273" s="6"/>
      <c r="D273" s="7"/>
      <c r="E273" s="6"/>
      <c r="F273" s="5" t="str">
        <f t="shared" si="28"/>
        <v/>
      </c>
      <c r="G273" s="5"/>
      <c r="H273" s="6"/>
      <c r="I273" s="6"/>
      <c r="J273" s="6"/>
      <c r="K273" s="7"/>
      <c r="L273" s="6"/>
      <c r="M273" s="8" t="str">
        <f t="shared" ca="1" si="29"/>
        <v/>
      </c>
      <c r="N273" s="6"/>
      <c r="O273" s="9"/>
      <c r="P273" s="10"/>
      <c r="Q273" s="6"/>
      <c r="R273" s="6"/>
      <c r="S273" s="6"/>
      <c r="T273" s="6"/>
      <c r="U273" s="6"/>
      <c r="V273" s="6"/>
      <c r="W273" s="6" t="str">
        <f t="shared" si="30"/>
        <v/>
      </c>
      <c r="X273" s="6" t="str">
        <f t="shared" si="31"/>
        <v/>
      </c>
      <c r="Y273" s="6" t="str">
        <f t="shared" si="32"/>
        <v/>
      </c>
      <c r="Z273" s="6" t="str">
        <f t="shared" si="33"/>
        <v/>
      </c>
      <c r="AA273" s="5" t="str">
        <f t="shared" si="34"/>
        <v/>
      </c>
    </row>
    <row r="274" spans="1:27" ht="14.5" x14ac:dyDescent="0.35">
      <c r="A274" s="5"/>
      <c r="B274" s="6"/>
      <c r="C274" s="6"/>
      <c r="D274" s="7"/>
      <c r="E274" s="6"/>
      <c r="F274" s="5" t="str">
        <f t="shared" si="28"/>
        <v/>
      </c>
      <c r="G274" s="5"/>
      <c r="H274" s="6"/>
      <c r="I274" s="6"/>
      <c r="J274" s="6"/>
      <c r="K274" s="7"/>
      <c r="L274" s="6"/>
      <c r="M274" s="8" t="str">
        <f t="shared" ca="1" si="29"/>
        <v/>
      </c>
      <c r="N274" s="6"/>
      <c r="O274" s="9"/>
      <c r="P274" s="10"/>
      <c r="Q274" s="6"/>
      <c r="R274" s="6"/>
      <c r="S274" s="6"/>
      <c r="T274" s="6"/>
      <c r="U274" s="6"/>
      <c r="V274" s="6"/>
      <c r="W274" s="6" t="str">
        <f t="shared" si="30"/>
        <v/>
      </c>
      <c r="X274" s="6" t="str">
        <f t="shared" si="31"/>
        <v/>
      </c>
      <c r="Y274" s="6" t="str">
        <f t="shared" si="32"/>
        <v/>
      </c>
      <c r="Z274" s="6" t="str">
        <f t="shared" si="33"/>
        <v/>
      </c>
      <c r="AA274" s="5" t="str">
        <f t="shared" si="34"/>
        <v/>
      </c>
    </row>
    <row r="275" spans="1:27" ht="14.5" x14ac:dyDescent="0.35">
      <c r="A275" s="5"/>
      <c r="B275" s="6"/>
      <c r="C275" s="6"/>
      <c r="D275" s="7"/>
      <c r="E275" s="6"/>
      <c r="F275" s="5" t="str">
        <f t="shared" si="28"/>
        <v/>
      </c>
      <c r="G275" s="5"/>
      <c r="H275" s="6"/>
      <c r="I275" s="6"/>
      <c r="J275" s="6"/>
      <c r="K275" s="7"/>
      <c r="L275" s="6"/>
      <c r="M275" s="8" t="str">
        <f t="shared" ca="1" si="29"/>
        <v/>
      </c>
      <c r="N275" s="6"/>
      <c r="O275" s="9"/>
      <c r="P275" s="10"/>
      <c r="Q275" s="6"/>
      <c r="R275" s="6"/>
      <c r="S275" s="6"/>
      <c r="T275" s="6"/>
      <c r="U275" s="6"/>
      <c r="V275" s="6"/>
      <c r="W275" s="6" t="str">
        <f t="shared" si="30"/>
        <v/>
      </c>
      <c r="X275" s="6" t="str">
        <f t="shared" si="31"/>
        <v/>
      </c>
      <c r="Y275" s="6" t="str">
        <f t="shared" si="32"/>
        <v/>
      </c>
      <c r="Z275" s="6" t="str">
        <f t="shared" si="33"/>
        <v/>
      </c>
      <c r="AA275" s="5" t="str">
        <f t="shared" si="34"/>
        <v/>
      </c>
    </row>
    <row r="276" spans="1:27" ht="14.5" x14ac:dyDescent="0.35">
      <c r="A276" s="5"/>
      <c r="B276" s="6"/>
      <c r="C276" s="6"/>
      <c r="D276" s="7"/>
      <c r="E276" s="6"/>
      <c r="F276" s="5" t="str">
        <f t="shared" si="28"/>
        <v/>
      </c>
      <c r="G276" s="5"/>
      <c r="H276" s="6"/>
      <c r="I276" s="6"/>
      <c r="J276" s="6"/>
      <c r="K276" s="7"/>
      <c r="L276" s="6"/>
      <c r="M276" s="8" t="str">
        <f t="shared" ca="1" si="29"/>
        <v/>
      </c>
      <c r="N276" s="6"/>
      <c r="O276" s="9"/>
      <c r="P276" s="10"/>
      <c r="Q276" s="6"/>
      <c r="R276" s="6"/>
      <c r="S276" s="6"/>
      <c r="T276" s="6"/>
      <c r="U276" s="6"/>
      <c r="V276" s="6"/>
      <c r="W276" s="6" t="str">
        <f t="shared" si="30"/>
        <v/>
      </c>
      <c r="X276" s="6" t="str">
        <f t="shared" si="31"/>
        <v/>
      </c>
      <c r="Y276" s="6" t="str">
        <f t="shared" si="32"/>
        <v/>
      </c>
      <c r="Z276" s="6" t="str">
        <f t="shared" si="33"/>
        <v/>
      </c>
      <c r="AA276" s="5" t="str">
        <f t="shared" si="34"/>
        <v/>
      </c>
    </row>
    <row r="277" spans="1:27" ht="14.5" x14ac:dyDescent="0.35">
      <c r="A277" s="5"/>
      <c r="B277" s="6"/>
      <c r="C277" s="6"/>
      <c r="D277" s="7"/>
      <c r="E277" s="6"/>
      <c r="F277" s="5" t="str">
        <f t="shared" si="28"/>
        <v/>
      </c>
      <c r="G277" s="5"/>
      <c r="H277" s="6"/>
      <c r="I277" s="6"/>
      <c r="J277" s="6"/>
      <c r="K277" s="7"/>
      <c r="L277" s="6"/>
      <c r="M277" s="8" t="str">
        <f t="shared" ca="1" si="29"/>
        <v/>
      </c>
      <c r="N277" s="6"/>
      <c r="O277" s="9"/>
      <c r="P277" s="10"/>
      <c r="Q277" s="6"/>
      <c r="R277" s="6"/>
      <c r="S277" s="6"/>
      <c r="T277" s="6"/>
      <c r="U277" s="6"/>
      <c r="V277" s="6"/>
      <c r="W277" s="6" t="str">
        <f t="shared" si="30"/>
        <v/>
      </c>
      <c r="X277" s="6" t="str">
        <f t="shared" si="31"/>
        <v/>
      </c>
      <c r="Y277" s="6" t="str">
        <f t="shared" si="32"/>
        <v/>
      </c>
      <c r="Z277" s="6" t="str">
        <f t="shared" si="33"/>
        <v/>
      </c>
      <c r="AA277" s="5" t="str">
        <f t="shared" si="34"/>
        <v/>
      </c>
    </row>
    <row r="278" spans="1:27" ht="14.5" x14ac:dyDescent="0.35">
      <c r="A278" s="5"/>
      <c r="B278" s="6"/>
      <c r="C278" s="6"/>
      <c r="D278" s="7"/>
      <c r="E278" s="6"/>
      <c r="F278" s="5" t="str">
        <f t="shared" si="28"/>
        <v/>
      </c>
      <c r="G278" s="5"/>
      <c r="H278" s="6"/>
      <c r="I278" s="6"/>
      <c r="J278" s="6"/>
      <c r="K278" s="7"/>
      <c r="L278" s="6"/>
      <c r="M278" s="8" t="str">
        <f t="shared" ca="1" si="29"/>
        <v/>
      </c>
      <c r="N278" s="6"/>
      <c r="O278" s="9"/>
      <c r="P278" s="10"/>
      <c r="Q278" s="6"/>
      <c r="R278" s="6"/>
      <c r="S278" s="6"/>
      <c r="T278" s="6"/>
      <c r="U278" s="6"/>
      <c r="V278" s="6"/>
      <c r="W278" s="6" t="str">
        <f t="shared" si="30"/>
        <v/>
      </c>
      <c r="X278" s="6" t="str">
        <f t="shared" si="31"/>
        <v/>
      </c>
      <c r="Y278" s="6" t="str">
        <f t="shared" si="32"/>
        <v/>
      </c>
      <c r="Z278" s="6" t="str">
        <f t="shared" si="33"/>
        <v/>
      </c>
      <c r="AA278" s="5" t="str">
        <f t="shared" si="34"/>
        <v/>
      </c>
    </row>
    <row r="279" spans="1:27" ht="14.5" x14ac:dyDescent="0.35">
      <c r="A279" s="5"/>
      <c r="B279" s="6"/>
      <c r="C279" s="6"/>
      <c r="D279" s="7"/>
      <c r="E279" s="6"/>
      <c r="F279" s="5" t="str">
        <f t="shared" si="28"/>
        <v/>
      </c>
      <c r="G279" s="5"/>
      <c r="H279" s="6"/>
      <c r="I279" s="6"/>
      <c r="J279" s="6"/>
      <c r="K279" s="7"/>
      <c r="L279" s="6"/>
      <c r="M279" s="8" t="str">
        <f t="shared" ca="1" si="29"/>
        <v/>
      </c>
      <c r="N279" s="6"/>
      <c r="O279" s="9"/>
      <c r="P279" s="10"/>
      <c r="Q279" s="6"/>
      <c r="R279" s="6"/>
      <c r="S279" s="6"/>
      <c r="T279" s="6"/>
      <c r="U279" s="6"/>
      <c r="V279" s="6"/>
      <c r="W279" s="6" t="str">
        <f t="shared" si="30"/>
        <v/>
      </c>
      <c r="X279" s="6" t="str">
        <f t="shared" si="31"/>
        <v/>
      </c>
      <c r="Y279" s="6" t="str">
        <f t="shared" si="32"/>
        <v/>
      </c>
      <c r="Z279" s="6" t="str">
        <f t="shared" si="33"/>
        <v/>
      </c>
      <c r="AA279" s="5" t="str">
        <f t="shared" si="34"/>
        <v/>
      </c>
    </row>
    <row r="280" spans="1:27" ht="14.5" x14ac:dyDescent="0.35">
      <c r="A280" s="5"/>
      <c r="B280" s="6"/>
      <c r="C280" s="6"/>
      <c r="D280" s="7"/>
      <c r="E280" s="6"/>
      <c r="F280" s="5" t="str">
        <f t="shared" si="28"/>
        <v/>
      </c>
      <c r="G280" s="5"/>
      <c r="H280" s="6"/>
      <c r="I280" s="6"/>
      <c r="J280" s="6"/>
      <c r="K280" s="7"/>
      <c r="L280" s="6"/>
      <c r="M280" s="8" t="str">
        <f t="shared" ca="1" si="29"/>
        <v/>
      </c>
      <c r="N280" s="6"/>
      <c r="O280" s="9"/>
      <c r="P280" s="10"/>
      <c r="Q280" s="6"/>
      <c r="R280" s="6"/>
      <c r="S280" s="6"/>
      <c r="T280" s="6"/>
      <c r="U280" s="6"/>
      <c r="V280" s="6"/>
      <c r="W280" s="6" t="str">
        <f t="shared" si="30"/>
        <v/>
      </c>
      <c r="X280" s="6" t="str">
        <f t="shared" si="31"/>
        <v/>
      </c>
      <c r="Y280" s="6" t="str">
        <f t="shared" si="32"/>
        <v/>
      </c>
      <c r="Z280" s="6" t="str">
        <f t="shared" si="33"/>
        <v/>
      </c>
      <c r="AA280" s="5" t="str">
        <f t="shared" si="34"/>
        <v/>
      </c>
    </row>
    <row r="281" spans="1:27" ht="14.5" x14ac:dyDescent="0.35">
      <c r="A281" s="5"/>
      <c r="B281" s="6"/>
      <c r="C281" s="6"/>
      <c r="D281" s="7"/>
      <c r="E281" s="6"/>
      <c r="F281" s="5" t="str">
        <f t="shared" si="28"/>
        <v/>
      </c>
      <c r="G281" s="5"/>
      <c r="H281" s="6"/>
      <c r="I281" s="6"/>
      <c r="J281" s="6"/>
      <c r="K281" s="7"/>
      <c r="L281" s="6"/>
      <c r="M281" s="8" t="str">
        <f t="shared" ca="1" si="29"/>
        <v/>
      </c>
      <c r="N281" s="6"/>
      <c r="O281" s="9"/>
      <c r="P281" s="10"/>
      <c r="Q281" s="6"/>
      <c r="R281" s="6"/>
      <c r="S281" s="6"/>
      <c r="T281" s="6"/>
      <c r="U281" s="6"/>
      <c r="V281" s="6"/>
      <c r="W281" s="6" t="str">
        <f t="shared" si="30"/>
        <v/>
      </c>
      <c r="X281" s="6" t="str">
        <f t="shared" si="31"/>
        <v/>
      </c>
      <c r="Y281" s="6" t="str">
        <f t="shared" si="32"/>
        <v/>
      </c>
      <c r="Z281" s="6" t="str">
        <f t="shared" si="33"/>
        <v/>
      </c>
      <c r="AA281" s="5" t="str">
        <f t="shared" si="34"/>
        <v/>
      </c>
    </row>
    <row r="282" spans="1:27" ht="14.5" x14ac:dyDescent="0.35">
      <c r="A282" s="5"/>
      <c r="B282" s="6"/>
      <c r="C282" s="6"/>
      <c r="D282" s="7"/>
      <c r="E282" s="6"/>
      <c r="F282" s="5" t="str">
        <f t="shared" si="28"/>
        <v/>
      </c>
      <c r="G282" s="5"/>
      <c r="H282" s="6"/>
      <c r="I282" s="6"/>
      <c r="J282" s="6"/>
      <c r="K282" s="7"/>
      <c r="L282" s="6"/>
      <c r="M282" s="8" t="str">
        <f t="shared" ca="1" si="29"/>
        <v/>
      </c>
      <c r="N282" s="6"/>
      <c r="O282" s="9"/>
      <c r="P282" s="10"/>
      <c r="Q282" s="6"/>
      <c r="R282" s="6"/>
      <c r="S282" s="6"/>
      <c r="T282" s="6"/>
      <c r="U282" s="6"/>
      <c r="V282" s="6"/>
      <c r="W282" s="6" t="str">
        <f t="shared" si="30"/>
        <v/>
      </c>
      <c r="X282" s="6" t="str">
        <f t="shared" si="31"/>
        <v/>
      </c>
      <c r="Y282" s="6" t="str">
        <f t="shared" si="32"/>
        <v/>
      </c>
      <c r="Z282" s="6" t="str">
        <f t="shared" si="33"/>
        <v/>
      </c>
      <c r="AA282" s="5" t="str">
        <f t="shared" si="34"/>
        <v/>
      </c>
    </row>
    <row r="283" spans="1:27" ht="14.5" x14ac:dyDescent="0.35">
      <c r="A283" s="5"/>
      <c r="B283" s="6"/>
      <c r="C283" s="6"/>
      <c r="D283" s="7"/>
      <c r="E283" s="6"/>
      <c r="F283" s="5" t="str">
        <f t="shared" si="28"/>
        <v/>
      </c>
      <c r="G283" s="5"/>
      <c r="H283" s="6"/>
      <c r="I283" s="6"/>
      <c r="J283" s="6"/>
      <c r="K283" s="7"/>
      <c r="L283" s="6"/>
      <c r="M283" s="8" t="str">
        <f t="shared" ca="1" si="29"/>
        <v/>
      </c>
      <c r="N283" s="6"/>
      <c r="O283" s="9"/>
      <c r="P283" s="10"/>
      <c r="Q283" s="6"/>
      <c r="R283" s="6"/>
      <c r="S283" s="6"/>
      <c r="T283" s="6"/>
      <c r="U283" s="6"/>
      <c r="V283" s="6"/>
      <c r="W283" s="6" t="str">
        <f t="shared" si="30"/>
        <v/>
      </c>
      <c r="X283" s="6" t="str">
        <f t="shared" si="31"/>
        <v/>
      </c>
      <c r="Y283" s="6" t="str">
        <f t="shared" si="32"/>
        <v/>
      </c>
      <c r="Z283" s="6" t="str">
        <f t="shared" si="33"/>
        <v/>
      </c>
      <c r="AA283" s="5" t="str">
        <f t="shared" si="34"/>
        <v/>
      </c>
    </row>
    <row r="284" spans="1:27" ht="14.5" x14ac:dyDescent="0.35">
      <c r="A284" s="5"/>
      <c r="B284" s="6"/>
      <c r="C284" s="6"/>
      <c r="D284" s="7"/>
      <c r="E284" s="6"/>
      <c r="F284" s="5" t="str">
        <f t="shared" si="28"/>
        <v/>
      </c>
      <c r="G284" s="5"/>
      <c r="H284" s="6"/>
      <c r="I284" s="6"/>
      <c r="J284" s="6"/>
      <c r="K284" s="7"/>
      <c r="L284" s="6"/>
      <c r="M284" s="8" t="str">
        <f t="shared" ca="1" si="29"/>
        <v/>
      </c>
      <c r="N284" s="6"/>
      <c r="O284" s="9"/>
      <c r="P284" s="10"/>
      <c r="Q284" s="6"/>
      <c r="R284" s="6"/>
      <c r="S284" s="6"/>
      <c r="T284" s="6"/>
      <c r="U284" s="6"/>
      <c r="V284" s="6"/>
      <c r="W284" s="6" t="str">
        <f t="shared" si="30"/>
        <v/>
      </c>
      <c r="X284" s="6" t="str">
        <f t="shared" si="31"/>
        <v/>
      </c>
      <c r="Y284" s="6" t="str">
        <f t="shared" si="32"/>
        <v/>
      </c>
      <c r="Z284" s="6" t="str">
        <f t="shared" si="33"/>
        <v/>
      </c>
      <c r="AA284" s="5" t="str">
        <f t="shared" si="34"/>
        <v/>
      </c>
    </row>
    <row r="285" spans="1:27" ht="14.5" x14ac:dyDescent="0.35">
      <c r="A285" s="5"/>
      <c r="B285" s="6"/>
      <c r="C285" s="6"/>
      <c r="D285" s="7"/>
      <c r="E285" s="6"/>
      <c r="F285" s="5" t="str">
        <f t="shared" si="28"/>
        <v/>
      </c>
      <c r="G285" s="5"/>
      <c r="H285" s="6"/>
      <c r="I285" s="6"/>
      <c r="J285" s="6"/>
      <c r="K285" s="7"/>
      <c r="L285" s="6"/>
      <c r="M285" s="8" t="str">
        <f t="shared" ca="1" si="29"/>
        <v/>
      </c>
      <c r="N285" s="6"/>
      <c r="O285" s="9"/>
      <c r="P285" s="10"/>
      <c r="Q285" s="6"/>
      <c r="R285" s="6"/>
      <c r="S285" s="6"/>
      <c r="T285" s="6"/>
      <c r="U285" s="6"/>
      <c r="V285" s="6"/>
      <c r="W285" s="6" t="str">
        <f t="shared" si="30"/>
        <v/>
      </c>
      <c r="X285" s="6" t="str">
        <f t="shared" si="31"/>
        <v/>
      </c>
      <c r="Y285" s="6" t="str">
        <f t="shared" si="32"/>
        <v/>
      </c>
      <c r="Z285" s="6" t="str">
        <f t="shared" si="33"/>
        <v/>
      </c>
      <c r="AA285" s="5" t="str">
        <f t="shared" si="34"/>
        <v/>
      </c>
    </row>
    <row r="286" spans="1:27" ht="14.5" x14ac:dyDescent="0.35">
      <c r="A286" s="5"/>
      <c r="B286" s="6"/>
      <c r="C286" s="6"/>
      <c r="D286" s="7"/>
      <c r="E286" s="6"/>
      <c r="F286" s="5" t="str">
        <f t="shared" si="28"/>
        <v/>
      </c>
      <c r="G286" s="5"/>
      <c r="H286" s="6"/>
      <c r="I286" s="6"/>
      <c r="J286" s="6"/>
      <c r="K286" s="7"/>
      <c r="L286" s="6"/>
      <c r="M286" s="8" t="str">
        <f t="shared" ca="1" si="29"/>
        <v/>
      </c>
      <c r="N286" s="6"/>
      <c r="O286" s="9"/>
      <c r="P286" s="10"/>
      <c r="Q286" s="6"/>
      <c r="R286" s="6"/>
      <c r="S286" s="6"/>
      <c r="T286" s="6"/>
      <c r="U286" s="6"/>
      <c r="V286" s="6"/>
      <c r="W286" s="6" t="str">
        <f t="shared" si="30"/>
        <v/>
      </c>
      <c r="X286" s="6" t="str">
        <f t="shared" si="31"/>
        <v/>
      </c>
      <c r="Y286" s="6" t="str">
        <f t="shared" si="32"/>
        <v/>
      </c>
      <c r="Z286" s="6" t="str">
        <f t="shared" si="33"/>
        <v/>
      </c>
      <c r="AA286" s="5" t="str">
        <f t="shared" si="34"/>
        <v/>
      </c>
    </row>
    <row r="287" spans="1:27" ht="14.5" x14ac:dyDescent="0.35">
      <c r="A287" s="5"/>
      <c r="B287" s="6"/>
      <c r="C287" s="6"/>
      <c r="D287" s="7"/>
      <c r="E287" s="6"/>
      <c r="F287" s="5" t="str">
        <f t="shared" si="28"/>
        <v/>
      </c>
      <c r="G287" s="5"/>
      <c r="H287" s="6"/>
      <c r="I287" s="6"/>
      <c r="J287" s="6"/>
      <c r="K287" s="7"/>
      <c r="L287" s="6"/>
      <c r="M287" s="8" t="str">
        <f t="shared" ca="1" si="29"/>
        <v/>
      </c>
      <c r="N287" s="6"/>
      <c r="O287" s="9"/>
      <c r="P287" s="10"/>
      <c r="Q287" s="6"/>
      <c r="R287" s="6"/>
      <c r="S287" s="6"/>
      <c r="T287" s="6"/>
      <c r="U287" s="6"/>
      <c r="V287" s="6"/>
      <c r="W287" s="6" t="str">
        <f t="shared" si="30"/>
        <v/>
      </c>
      <c r="X287" s="6" t="str">
        <f t="shared" si="31"/>
        <v/>
      </c>
      <c r="Y287" s="6" t="str">
        <f t="shared" si="32"/>
        <v/>
      </c>
      <c r="Z287" s="6" t="str">
        <f t="shared" si="33"/>
        <v/>
      </c>
      <c r="AA287" s="5" t="str">
        <f t="shared" si="34"/>
        <v/>
      </c>
    </row>
    <row r="288" spans="1:27" ht="14.5" x14ac:dyDescent="0.35">
      <c r="A288" s="5"/>
      <c r="B288" s="6"/>
      <c r="C288" s="6"/>
      <c r="D288" s="7"/>
      <c r="E288" s="6"/>
      <c r="F288" s="5" t="str">
        <f t="shared" si="28"/>
        <v/>
      </c>
      <c r="G288" s="5"/>
      <c r="H288" s="6"/>
      <c r="I288" s="6"/>
      <c r="J288" s="6"/>
      <c r="K288" s="7"/>
      <c r="L288" s="6"/>
      <c r="M288" s="8" t="str">
        <f t="shared" ca="1" si="29"/>
        <v/>
      </c>
      <c r="N288" s="6"/>
      <c r="O288" s="9"/>
      <c r="P288" s="10"/>
      <c r="Q288" s="6"/>
      <c r="R288" s="6"/>
      <c r="S288" s="6"/>
      <c r="T288" s="6"/>
      <c r="U288" s="6"/>
      <c r="V288" s="6"/>
      <c r="W288" s="6" t="str">
        <f t="shared" si="30"/>
        <v/>
      </c>
      <c r="X288" s="6" t="str">
        <f t="shared" si="31"/>
        <v/>
      </c>
      <c r="Y288" s="6" t="str">
        <f t="shared" si="32"/>
        <v/>
      </c>
      <c r="Z288" s="6" t="str">
        <f t="shared" si="33"/>
        <v/>
      </c>
      <c r="AA288" s="5" t="str">
        <f t="shared" si="34"/>
        <v/>
      </c>
    </row>
    <row r="289" spans="1:27" ht="14.5" x14ac:dyDescent="0.35">
      <c r="A289" s="5"/>
      <c r="B289" s="6"/>
      <c r="C289" s="6"/>
      <c r="D289" s="7"/>
      <c r="E289" s="6"/>
      <c r="F289" s="5" t="str">
        <f t="shared" si="28"/>
        <v/>
      </c>
      <c r="G289" s="5"/>
      <c r="H289" s="6"/>
      <c r="I289" s="6"/>
      <c r="J289" s="6"/>
      <c r="K289" s="7"/>
      <c r="L289" s="6"/>
      <c r="M289" s="8" t="str">
        <f t="shared" ca="1" si="29"/>
        <v/>
      </c>
      <c r="N289" s="6"/>
      <c r="O289" s="9"/>
      <c r="P289" s="10"/>
      <c r="Q289" s="6"/>
      <c r="R289" s="6"/>
      <c r="S289" s="6"/>
      <c r="T289" s="6"/>
      <c r="U289" s="6"/>
      <c r="V289" s="6"/>
      <c r="W289" s="6" t="str">
        <f t="shared" si="30"/>
        <v/>
      </c>
      <c r="X289" s="6" t="str">
        <f t="shared" si="31"/>
        <v/>
      </c>
      <c r="Y289" s="6" t="str">
        <f t="shared" si="32"/>
        <v/>
      </c>
      <c r="Z289" s="6" t="str">
        <f t="shared" si="33"/>
        <v/>
      </c>
      <c r="AA289" s="5" t="str">
        <f t="shared" si="34"/>
        <v/>
      </c>
    </row>
    <row r="290" spans="1:27" ht="14.5" x14ac:dyDescent="0.35">
      <c r="A290" s="5"/>
      <c r="B290" s="6"/>
      <c r="C290" s="6"/>
      <c r="D290" s="7"/>
      <c r="E290" s="6"/>
      <c r="F290" s="5" t="str">
        <f t="shared" si="28"/>
        <v/>
      </c>
      <c r="G290" s="5"/>
      <c r="H290" s="6"/>
      <c r="I290" s="6"/>
      <c r="J290" s="6"/>
      <c r="K290" s="7"/>
      <c r="L290" s="6"/>
      <c r="M290" s="8" t="str">
        <f t="shared" ca="1" si="29"/>
        <v/>
      </c>
      <c r="N290" s="6"/>
      <c r="O290" s="9"/>
      <c r="P290" s="10"/>
      <c r="Q290" s="6"/>
      <c r="R290" s="6"/>
      <c r="S290" s="6"/>
      <c r="T290" s="6"/>
      <c r="U290" s="6"/>
      <c r="V290" s="6"/>
      <c r="W290" s="6" t="str">
        <f t="shared" si="30"/>
        <v/>
      </c>
      <c r="X290" s="6" t="str">
        <f t="shared" si="31"/>
        <v/>
      </c>
      <c r="Y290" s="6" t="str">
        <f t="shared" si="32"/>
        <v/>
      </c>
      <c r="Z290" s="6" t="str">
        <f t="shared" si="33"/>
        <v/>
      </c>
      <c r="AA290" s="5" t="str">
        <f t="shared" si="34"/>
        <v/>
      </c>
    </row>
    <row r="291" spans="1:27" ht="14.5" x14ac:dyDescent="0.35">
      <c r="A291" s="5"/>
      <c r="B291" s="6"/>
      <c r="C291" s="6"/>
      <c r="D291" s="7"/>
      <c r="E291" s="6"/>
      <c r="F291" s="5" t="str">
        <f t="shared" si="28"/>
        <v/>
      </c>
      <c r="G291" s="5"/>
      <c r="H291" s="6"/>
      <c r="I291" s="6"/>
      <c r="J291" s="6"/>
      <c r="K291" s="7"/>
      <c r="L291" s="6"/>
      <c r="M291" s="8" t="str">
        <f t="shared" ca="1" si="29"/>
        <v/>
      </c>
      <c r="N291" s="6"/>
      <c r="O291" s="9"/>
      <c r="P291" s="10"/>
      <c r="Q291" s="6"/>
      <c r="R291" s="6"/>
      <c r="S291" s="6"/>
      <c r="T291" s="6"/>
      <c r="U291" s="6"/>
      <c r="V291" s="6"/>
      <c r="W291" s="6" t="str">
        <f t="shared" si="30"/>
        <v/>
      </c>
      <c r="X291" s="6" t="str">
        <f t="shared" si="31"/>
        <v/>
      </c>
      <c r="Y291" s="6" t="str">
        <f t="shared" si="32"/>
        <v/>
      </c>
      <c r="Z291" s="6" t="str">
        <f t="shared" si="33"/>
        <v/>
      </c>
      <c r="AA291" s="5" t="str">
        <f t="shared" si="34"/>
        <v/>
      </c>
    </row>
    <row r="292" spans="1:27" ht="14.5" x14ac:dyDescent="0.35">
      <c r="A292" s="5"/>
      <c r="B292" s="6"/>
      <c r="C292" s="6"/>
      <c r="D292" s="7"/>
      <c r="E292" s="6"/>
      <c r="F292" s="5" t="str">
        <f t="shared" si="28"/>
        <v/>
      </c>
      <c r="G292" s="5"/>
      <c r="H292" s="6"/>
      <c r="I292" s="6"/>
      <c r="J292" s="6"/>
      <c r="K292" s="7"/>
      <c r="L292" s="6"/>
      <c r="M292" s="8" t="str">
        <f t="shared" ca="1" si="29"/>
        <v/>
      </c>
      <c r="N292" s="6"/>
      <c r="O292" s="9"/>
      <c r="P292" s="10"/>
      <c r="Q292" s="6"/>
      <c r="R292" s="6"/>
      <c r="S292" s="6"/>
      <c r="T292" s="6"/>
      <c r="U292" s="6"/>
      <c r="V292" s="6"/>
      <c r="W292" s="6" t="str">
        <f t="shared" si="30"/>
        <v/>
      </c>
      <c r="X292" s="6" t="str">
        <f t="shared" si="31"/>
        <v/>
      </c>
      <c r="Y292" s="6" t="str">
        <f t="shared" si="32"/>
        <v/>
      </c>
      <c r="Z292" s="6" t="str">
        <f t="shared" si="33"/>
        <v/>
      </c>
      <c r="AA292" s="5" t="str">
        <f t="shared" si="34"/>
        <v/>
      </c>
    </row>
    <row r="293" spans="1:27" ht="14.5" x14ac:dyDescent="0.35">
      <c r="A293" s="5"/>
      <c r="B293" s="6"/>
      <c r="C293" s="6"/>
      <c r="D293" s="7"/>
      <c r="E293" s="6"/>
      <c r="F293" s="5" t="str">
        <f t="shared" si="28"/>
        <v/>
      </c>
      <c r="G293" s="5"/>
      <c r="H293" s="6"/>
      <c r="I293" s="6"/>
      <c r="J293" s="6"/>
      <c r="K293" s="7"/>
      <c r="L293" s="6"/>
      <c r="M293" s="8" t="str">
        <f t="shared" ca="1" si="29"/>
        <v/>
      </c>
      <c r="N293" s="6"/>
      <c r="O293" s="9"/>
      <c r="P293" s="10"/>
      <c r="Q293" s="6"/>
      <c r="R293" s="6"/>
      <c r="S293" s="6"/>
      <c r="T293" s="6"/>
      <c r="U293" s="6"/>
      <c r="V293" s="6"/>
      <c r="W293" s="6" t="str">
        <f t="shared" si="30"/>
        <v/>
      </c>
      <c r="X293" s="6" t="str">
        <f t="shared" si="31"/>
        <v/>
      </c>
      <c r="Y293" s="6" t="str">
        <f t="shared" si="32"/>
        <v/>
      </c>
      <c r="Z293" s="6" t="str">
        <f t="shared" si="33"/>
        <v/>
      </c>
      <c r="AA293" s="5" t="str">
        <f t="shared" si="34"/>
        <v/>
      </c>
    </row>
    <row r="294" spans="1:27" ht="14.5" x14ac:dyDescent="0.35">
      <c r="A294" s="5"/>
      <c r="B294" s="6"/>
      <c r="C294" s="6"/>
      <c r="D294" s="7"/>
      <c r="E294" s="6"/>
      <c r="F294" s="5" t="str">
        <f t="shared" si="28"/>
        <v/>
      </c>
      <c r="G294" s="5"/>
      <c r="H294" s="6"/>
      <c r="I294" s="6"/>
      <c r="J294" s="6"/>
      <c r="K294" s="7"/>
      <c r="L294" s="6"/>
      <c r="M294" s="8" t="str">
        <f t="shared" ca="1" si="29"/>
        <v/>
      </c>
      <c r="N294" s="6"/>
      <c r="O294" s="9"/>
      <c r="P294" s="10"/>
      <c r="Q294" s="6"/>
      <c r="R294" s="6"/>
      <c r="S294" s="6"/>
      <c r="T294" s="6"/>
      <c r="U294" s="6"/>
      <c r="V294" s="6"/>
      <c r="W294" s="6" t="str">
        <f t="shared" si="30"/>
        <v/>
      </c>
      <c r="X294" s="6" t="str">
        <f t="shared" si="31"/>
        <v/>
      </c>
      <c r="Y294" s="6" t="str">
        <f t="shared" si="32"/>
        <v/>
      </c>
      <c r="Z294" s="6" t="str">
        <f t="shared" si="33"/>
        <v/>
      </c>
      <c r="AA294" s="5" t="str">
        <f t="shared" si="34"/>
        <v/>
      </c>
    </row>
    <row r="295" spans="1:27" ht="14.5" x14ac:dyDescent="0.35">
      <c r="A295" s="5"/>
      <c r="B295" s="6"/>
      <c r="C295" s="6"/>
      <c r="D295" s="7"/>
      <c r="E295" s="6"/>
      <c r="F295" s="5" t="str">
        <f t="shared" si="28"/>
        <v/>
      </c>
      <c r="G295" s="5"/>
      <c r="H295" s="6"/>
      <c r="I295" s="6"/>
      <c r="J295" s="6"/>
      <c r="K295" s="7"/>
      <c r="L295" s="6"/>
      <c r="M295" s="8" t="str">
        <f t="shared" ca="1" si="29"/>
        <v/>
      </c>
      <c r="N295" s="6"/>
      <c r="O295" s="9"/>
      <c r="P295" s="10"/>
      <c r="Q295" s="6"/>
      <c r="R295" s="6"/>
      <c r="S295" s="6"/>
      <c r="T295" s="6"/>
      <c r="U295" s="6"/>
      <c r="V295" s="6"/>
      <c r="W295" s="6" t="str">
        <f t="shared" si="30"/>
        <v/>
      </c>
      <c r="X295" s="6" t="str">
        <f t="shared" si="31"/>
        <v/>
      </c>
      <c r="Y295" s="6" t="str">
        <f t="shared" si="32"/>
        <v/>
      </c>
      <c r="Z295" s="6" t="str">
        <f t="shared" si="33"/>
        <v/>
      </c>
      <c r="AA295" s="5" t="str">
        <f t="shared" si="34"/>
        <v/>
      </c>
    </row>
    <row r="296" spans="1:27" ht="14.5" x14ac:dyDescent="0.35">
      <c r="A296" s="5"/>
      <c r="B296" s="6"/>
      <c r="C296" s="6"/>
      <c r="D296" s="7"/>
      <c r="E296" s="6"/>
      <c r="F296" s="5" t="str">
        <f t="shared" si="28"/>
        <v/>
      </c>
      <c r="G296" s="5"/>
      <c r="H296" s="6"/>
      <c r="I296" s="6"/>
      <c r="J296" s="6"/>
      <c r="K296" s="7"/>
      <c r="L296" s="6"/>
      <c r="M296" s="8" t="str">
        <f t="shared" ca="1" si="29"/>
        <v/>
      </c>
      <c r="N296" s="6"/>
      <c r="O296" s="9"/>
      <c r="P296" s="10"/>
      <c r="Q296" s="6"/>
      <c r="R296" s="6"/>
      <c r="S296" s="6"/>
      <c r="T296" s="6"/>
      <c r="U296" s="6"/>
      <c r="V296" s="6"/>
      <c r="W296" s="6" t="str">
        <f t="shared" si="30"/>
        <v/>
      </c>
      <c r="X296" s="6" t="str">
        <f t="shared" si="31"/>
        <v/>
      </c>
      <c r="Y296" s="6" t="str">
        <f t="shared" si="32"/>
        <v/>
      </c>
      <c r="Z296" s="6" t="str">
        <f t="shared" si="33"/>
        <v/>
      </c>
      <c r="AA296" s="5" t="str">
        <f t="shared" si="34"/>
        <v/>
      </c>
    </row>
    <row r="297" spans="1:27" ht="14.5" x14ac:dyDescent="0.35">
      <c r="A297" s="5"/>
      <c r="B297" s="6"/>
      <c r="C297" s="6"/>
      <c r="D297" s="7"/>
      <c r="E297" s="6"/>
      <c r="F297" s="5" t="str">
        <f t="shared" si="28"/>
        <v/>
      </c>
      <c r="G297" s="5"/>
      <c r="H297" s="6"/>
      <c r="I297" s="6"/>
      <c r="J297" s="6"/>
      <c r="K297" s="7"/>
      <c r="L297" s="6"/>
      <c r="M297" s="8" t="str">
        <f t="shared" ca="1" si="29"/>
        <v/>
      </c>
      <c r="N297" s="6"/>
      <c r="O297" s="9"/>
      <c r="P297" s="10"/>
      <c r="Q297" s="6"/>
      <c r="R297" s="6"/>
      <c r="S297" s="6"/>
      <c r="T297" s="6"/>
      <c r="U297" s="6"/>
      <c r="V297" s="6"/>
      <c r="W297" s="6" t="str">
        <f t="shared" si="30"/>
        <v/>
      </c>
      <c r="X297" s="6" t="str">
        <f t="shared" si="31"/>
        <v/>
      </c>
      <c r="Y297" s="6" t="str">
        <f t="shared" si="32"/>
        <v/>
      </c>
      <c r="Z297" s="6" t="str">
        <f t="shared" si="33"/>
        <v/>
      </c>
      <c r="AA297" s="5" t="str">
        <f t="shared" si="34"/>
        <v/>
      </c>
    </row>
    <row r="298" spans="1:27" ht="14.5" x14ac:dyDescent="0.35">
      <c r="A298" s="5"/>
      <c r="B298" s="6"/>
      <c r="C298" s="6"/>
      <c r="D298" s="7"/>
      <c r="E298" s="6"/>
      <c r="F298" s="5" t="str">
        <f t="shared" si="28"/>
        <v/>
      </c>
      <c r="G298" s="5"/>
      <c r="H298" s="6"/>
      <c r="I298" s="6"/>
      <c r="J298" s="6"/>
      <c r="K298" s="7"/>
      <c r="L298" s="6"/>
      <c r="M298" s="8" t="str">
        <f t="shared" ca="1" si="29"/>
        <v/>
      </c>
      <c r="N298" s="6"/>
      <c r="O298" s="9"/>
      <c r="P298" s="10"/>
      <c r="Q298" s="6"/>
      <c r="R298" s="6"/>
      <c r="S298" s="6"/>
      <c r="T298" s="6"/>
      <c r="U298" s="6"/>
      <c r="V298" s="6"/>
      <c r="W298" s="6" t="str">
        <f t="shared" si="30"/>
        <v/>
      </c>
      <c r="X298" s="6" t="str">
        <f t="shared" si="31"/>
        <v/>
      </c>
      <c r="Y298" s="6" t="str">
        <f t="shared" si="32"/>
        <v/>
      </c>
      <c r="Z298" s="6" t="str">
        <f t="shared" si="33"/>
        <v/>
      </c>
      <c r="AA298" s="5" t="str">
        <f t="shared" si="34"/>
        <v/>
      </c>
    </row>
    <row r="299" spans="1:27" ht="14.5" x14ac:dyDescent="0.35">
      <c r="A299" s="5"/>
      <c r="B299" s="6"/>
      <c r="C299" s="6"/>
      <c r="D299" s="7"/>
      <c r="E299" s="6"/>
      <c r="F299" s="5" t="str">
        <f t="shared" si="28"/>
        <v/>
      </c>
      <c r="G299" s="5"/>
      <c r="H299" s="6"/>
      <c r="I299" s="6"/>
      <c r="J299" s="6"/>
      <c r="K299" s="7"/>
      <c r="L299" s="6"/>
      <c r="M299" s="8" t="str">
        <f t="shared" ca="1" si="29"/>
        <v/>
      </c>
      <c r="N299" s="6"/>
      <c r="O299" s="9"/>
      <c r="P299" s="10"/>
      <c r="Q299" s="6"/>
      <c r="R299" s="6"/>
      <c r="S299" s="6"/>
      <c r="T299" s="6"/>
      <c r="U299" s="6"/>
      <c r="V299" s="6"/>
      <c r="W299" s="6" t="str">
        <f t="shared" si="30"/>
        <v/>
      </c>
      <c r="X299" s="6" t="str">
        <f t="shared" si="31"/>
        <v/>
      </c>
      <c r="Y299" s="6" t="str">
        <f t="shared" si="32"/>
        <v/>
      </c>
      <c r="Z299" s="6" t="str">
        <f t="shared" si="33"/>
        <v/>
      </c>
      <c r="AA299" s="5" t="str">
        <f t="shared" si="34"/>
        <v/>
      </c>
    </row>
    <row r="300" spans="1:27" ht="14.5" x14ac:dyDescent="0.35">
      <c r="A300" s="5"/>
      <c r="B300" s="6"/>
      <c r="C300" s="6"/>
      <c r="D300" s="7"/>
      <c r="E300" s="6"/>
      <c r="F300" s="5" t="str">
        <f t="shared" si="28"/>
        <v/>
      </c>
      <c r="G300" s="5"/>
      <c r="H300" s="6"/>
      <c r="I300" s="6"/>
      <c r="J300" s="6"/>
      <c r="K300" s="7"/>
      <c r="L300" s="6"/>
      <c r="M300" s="8" t="str">
        <f t="shared" ca="1" si="29"/>
        <v/>
      </c>
      <c r="N300" s="6"/>
      <c r="O300" s="9"/>
      <c r="P300" s="10"/>
      <c r="Q300" s="6"/>
      <c r="R300" s="6"/>
      <c r="S300" s="6"/>
      <c r="T300" s="6"/>
      <c r="U300" s="6"/>
      <c r="V300" s="6"/>
      <c r="W300" s="6" t="str">
        <f t="shared" si="30"/>
        <v/>
      </c>
      <c r="X300" s="6" t="str">
        <f t="shared" si="31"/>
        <v/>
      </c>
      <c r="Y300" s="6" t="str">
        <f t="shared" si="32"/>
        <v/>
      </c>
      <c r="Z300" s="6" t="str">
        <f t="shared" si="33"/>
        <v/>
      </c>
      <c r="AA300" s="5" t="str">
        <f t="shared" si="34"/>
        <v/>
      </c>
    </row>
    <row r="301" spans="1:27" ht="14.5" x14ac:dyDescent="0.35">
      <c r="A301" s="5"/>
      <c r="B301" s="6"/>
      <c r="C301" s="6"/>
      <c r="D301" s="7"/>
      <c r="E301" s="6"/>
      <c r="F301" s="5" t="str">
        <f t="shared" si="28"/>
        <v/>
      </c>
      <c r="G301" s="5"/>
      <c r="H301" s="6"/>
      <c r="I301" s="6"/>
      <c r="J301" s="6"/>
      <c r="K301" s="7"/>
      <c r="L301" s="6"/>
      <c r="M301" s="8" t="str">
        <f t="shared" ca="1" si="29"/>
        <v/>
      </c>
      <c r="N301" s="6"/>
      <c r="O301" s="9"/>
      <c r="P301" s="10"/>
      <c r="Q301" s="6"/>
      <c r="R301" s="6"/>
      <c r="S301" s="6"/>
      <c r="T301" s="6"/>
      <c r="U301" s="6"/>
      <c r="V301" s="6"/>
      <c r="W301" s="6" t="str">
        <f t="shared" si="30"/>
        <v/>
      </c>
      <c r="X301" s="6" t="str">
        <f t="shared" si="31"/>
        <v/>
      </c>
      <c r="Y301" s="6" t="str">
        <f t="shared" si="32"/>
        <v/>
      </c>
      <c r="Z301" s="6" t="str">
        <f t="shared" si="33"/>
        <v/>
      </c>
      <c r="AA301" s="5" t="str">
        <f t="shared" si="34"/>
        <v/>
      </c>
    </row>
    <row r="302" spans="1:27" ht="14.5" x14ac:dyDescent="0.35">
      <c r="A302" s="5"/>
      <c r="B302" s="6"/>
      <c r="C302" s="6"/>
      <c r="D302" s="7"/>
      <c r="E302" s="6"/>
      <c r="F302" s="5" t="str">
        <f t="shared" si="28"/>
        <v/>
      </c>
      <c r="G302" s="5"/>
      <c r="H302" s="6"/>
      <c r="I302" s="6"/>
      <c r="J302" s="6"/>
      <c r="K302" s="7"/>
      <c r="L302" s="6"/>
      <c r="M302" s="8" t="str">
        <f t="shared" ca="1" si="29"/>
        <v/>
      </c>
      <c r="N302" s="6"/>
      <c r="O302" s="9"/>
      <c r="P302" s="10"/>
      <c r="Q302" s="6"/>
      <c r="R302" s="6"/>
      <c r="S302" s="6"/>
      <c r="T302" s="6"/>
      <c r="U302" s="6"/>
      <c r="V302" s="6"/>
      <c r="W302" s="6" t="str">
        <f t="shared" si="30"/>
        <v/>
      </c>
      <c r="X302" s="6" t="str">
        <f t="shared" si="31"/>
        <v/>
      </c>
      <c r="Y302" s="6" t="str">
        <f t="shared" si="32"/>
        <v/>
      </c>
      <c r="Z302" s="6" t="str">
        <f t="shared" si="33"/>
        <v/>
      </c>
      <c r="AA302" s="5" t="str">
        <f t="shared" si="34"/>
        <v/>
      </c>
    </row>
    <row r="303" spans="1:27" ht="14.5" x14ac:dyDescent="0.35">
      <c r="A303" s="5"/>
      <c r="B303" s="6"/>
      <c r="C303" s="6"/>
      <c r="D303" s="7"/>
      <c r="E303" s="6"/>
      <c r="F303" s="5" t="str">
        <f t="shared" si="28"/>
        <v/>
      </c>
      <c r="G303" s="5"/>
      <c r="H303" s="6"/>
      <c r="I303" s="6"/>
      <c r="J303" s="6"/>
      <c r="K303" s="7"/>
      <c r="L303" s="6"/>
      <c r="M303" s="8" t="str">
        <f t="shared" ca="1" si="29"/>
        <v/>
      </c>
      <c r="N303" s="6"/>
      <c r="O303" s="9"/>
      <c r="P303" s="10"/>
      <c r="Q303" s="6"/>
      <c r="R303" s="6"/>
      <c r="S303" s="6"/>
      <c r="T303" s="6"/>
      <c r="U303" s="6"/>
      <c r="V303" s="6"/>
      <c r="W303" s="6" t="str">
        <f t="shared" si="30"/>
        <v/>
      </c>
      <c r="X303" s="6" t="str">
        <f t="shared" si="31"/>
        <v/>
      </c>
      <c r="Y303" s="6" t="str">
        <f t="shared" si="32"/>
        <v/>
      </c>
      <c r="Z303" s="6" t="str">
        <f t="shared" si="33"/>
        <v/>
      </c>
      <c r="AA303" s="5" t="str">
        <f t="shared" si="34"/>
        <v/>
      </c>
    </row>
    <row r="304" spans="1:27" ht="14.5" x14ac:dyDescent="0.35">
      <c r="A304" s="5"/>
      <c r="B304" s="6"/>
      <c r="C304" s="6"/>
      <c r="D304" s="7"/>
      <c r="E304" s="6"/>
      <c r="F304" s="5" t="str">
        <f t="shared" si="28"/>
        <v/>
      </c>
      <c r="G304" s="5"/>
      <c r="H304" s="6"/>
      <c r="I304" s="6"/>
      <c r="J304" s="6"/>
      <c r="K304" s="7"/>
      <c r="L304" s="6"/>
      <c r="M304" s="8" t="str">
        <f t="shared" ca="1" si="29"/>
        <v/>
      </c>
      <c r="N304" s="6"/>
      <c r="O304" s="9"/>
      <c r="P304" s="10"/>
      <c r="Q304" s="6"/>
      <c r="R304" s="6"/>
      <c r="S304" s="6"/>
      <c r="T304" s="6"/>
      <c r="U304" s="6"/>
      <c r="V304" s="6"/>
      <c r="W304" s="6" t="str">
        <f t="shared" si="30"/>
        <v/>
      </c>
      <c r="X304" s="6" t="str">
        <f t="shared" si="31"/>
        <v/>
      </c>
      <c r="Y304" s="6" t="str">
        <f t="shared" si="32"/>
        <v/>
      </c>
      <c r="Z304" s="6" t="str">
        <f t="shared" si="33"/>
        <v/>
      </c>
      <c r="AA304" s="5" t="str">
        <f t="shared" si="34"/>
        <v/>
      </c>
    </row>
    <row r="305" spans="1:27" ht="14.5" x14ac:dyDescent="0.35">
      <c r="A305" s="5"/>
      <c r="B305" s="6"/>
      <c r="C305" s="6"/>
      <c r="D305" s="7"/>
      <c r="E305" s="6"/>
      <c r="F305" s="5" t="str">
        <f t="shared" si="28"/>
        <v/>
      </c>
      <c r="G305" s="5"/>
      <c r="H305" s="6"/>
      <c r="I305" s="6"/>
      <c r="J305" s="6"/>
      <c r="K305" s="7"/>
      <c r="L305" s="6"/>
      <c r="M305" s="8" t="str">
        <f t="shared" ca="1" si="29"/>
        <v/>
      </c>
      <c r="N305" s="6"/>
      <c r="O305" s="9"/>
      <c r="P305" s="10"/>
      <c r="Q305" s="6"/>
      <c r="R305" s="6"/>
      <c r="S305" s="6"/>
      <c r="T305" s="6"/>
      <c r="U305" s="6"/>
      <c r="V305" s="6"/>
      <c r="W305" s="6" t="str">
        <f t="shared" si="30"/>
        <v/>
      </c>
      <c r="X305" s="6" t="str">
        <f t="shared" si="31"/>
        <v/>
      </c>
      <c r="Y305" s="6" t="str">
        <f t="shared" si="32"/>
        <v/>
      </c>
      <c r="Z305" s="6" t="str">
        <f t="shared" si="33"/>
        <v/>
      </c>
      <c r="AA305" s="5" t="str">
        <f t="shared" si="34"/>
        <v/>
      </c>
    </row>
    <row r="306" spans="1:27" ht="14.5" x14ac:dyDescent="0.35">
      <c r="A306" s="5"/>
      <c r="B306" s="6"/>
      <c r="C306" s="6"/>
      <c r="D306" s="7"/>
      <c r="E306" s="6"/>
      <c r="F306" s="5" t="str">
        <f t="shared" si="28"/>
        <v/>
      </c>
      <c r="G306" s="5"/>
      <c r="H306" s="6"/>
      <c r="I306" s="6"/>
      <c r="J306" s="6"/>
      <c r="K306" s="7"/>
      <c r="L306" s="6"/>
      <c r="M306" s="8" t="str">
        <f t="shared" ca="1" si="29"/>
        <v/>
      </c>
      <c r="N306" s="6"/>
      <c r="O306" s="9"/>
      <c r="P306" s="10"/>
      <c r="Q306" s="6"/>
      <c r="R306" s="6"/>
      <c r="S306" s="6"/>
      <c r="T306" s="6"/>
      <c r="U306" s="6"/>
      <c r="V306" s="6"/>
      <c r="W306" s="6" t="str">
        <f t="shared" si="30"/>
        <v/>
      </c>
      <c r="X306" s="6" t="str">
        <f t="shared" si="31"/>
        <v/>
      </c>
      <c r="Y306" s="6" t="str">
        <f t="shared" si="32"/>
        <v/>
      </c>
      <c r="Z306" s="6" t="str">
        <f t="shared" si="33"/>
        <v/>
      </c>
      <c r="AA306" s="5" t="str">
        <f t="shared" si="34"/>
        <v/>
      </c>
    </row>
    <row r="307" spans="1:27" ht="14.5" x14ac:dyDescent="0.35">
      <c r="A307" s="5"/>
      <c r="B307" s="6"/>
      <c r="C307" s="6"/>
      <c r="D307" s="7"/>
      <c r="E307" s="6"/>
      <c r="F307" s="5" t="str">
        <f t="shared" si="28"/>
        <v/>
      </c>
      <c r="G307" s="5"/>
      <c r="H307" s="6"/>
      <c r="I307" s="6"/>
      <c r="J307" s="6"/>
      <c r="K307" s="7"/>
      <c r="L307" s="6"/>
      <c r="M307" s="8" t="str">
        <f t="shared" ca="1" si="29"/>
        <v/>
      </c>
      <c r="N307" s="6"/>
      <c r="O307" s="9"/>
      <c r="P307" s="10"/>
      <c r="Q307" s="6"/>
      <c r="R307" s="6"/>
      <c r="S307" s="6"/>
      <c r="T307" s="6"/>
      <c r="U307" s="6"/>
      <c r="V307" s="6"/>
      <c r="W307" s="6" t="str">
        <f t="shared" si="30"/>
        <v/>
      </c>
      <c r="X307" s="6" t="str">
        <f t="shared" si="31"/>
        <v/>
      </c>
      <c r="Y307" s="6" t="str">
        <f t="shared" si="32"/>
        <v/>
      </c>
      <c r="Z307" s="6" t="str">
        <f t="shared" si="33"/>
        <v/>
      </c>
      <c r="AA307" s="5" t="str">
        <f t="shared" si="34"/>
        <v/>
      </c>
    </row>
    <row r="308" spans="1:27" ht="14.5" x14ac:dyDescent="0.35">
      <c r="A308" s="5"/>
      <c r="B308" s="6"/>
      <c r="C308" s="6"/>
      <c r="D308" s="7"/>
      <c r="E308" s="6"/>
      <c r="F308" s="5" t="str">
        <f t="shared" si="28"/>
        <v/>
      </c>
      <c r="G308" s="5"/>
      <c r="H308" s="6"/>
      <c r="I308" s="6"/>
      <c r="J308" s="6"/>
      <c r="K308" s="7"/>
      <c r="L308" s="6"/>
      <c r="M308" s="8" t="str">
        <f t="shared" ca="1" si="29"/>
        <v/>
      </c>
      <c r="N308" s="6"/>
      <c r="O308" s="9"/>
      <c r="P308" s="10"/>
      <c r="Q308" s="6"/>
      <c r="R308" s="6"/>
      <c r="S308" s="6"/>
      <c r="T308" s="6"/>
      <c r="U308" s="6"/>
      <c r="V308" s="6"/>
      <c r="W308" s="6" t="str">
        <f t="shared" si="30"/>
        <v/>
      </c>
      <c r="X308" s="6" t="str">
        <f t="shared" si="31"/>
        <v/>
      </c>
      <c r="Y308" s="6" t="str">
        <f t="shared" si="32"/>
        <v/>
      </c>
      <c r="Z308" s="6" t="str">
        <f t="shared" si="33"/>
        <v/>
      </c>
      <c r="AA308" s="5" t="str">
        <f t="shared" si="34"/>
        <v/>
      </c>
    </row>
    <row r="309" spans="1:27" ht="14.5" x14ac:dyDescent="0.35">
      <c r="A309" s="5"/>
      <c r="B309" s="6"/>
      <c r="C309" s="6"/>
      <c r="D309" s="7"/>
      <c r="E309" s="6"/>
      <c r="F309" s="5" t="str">
        <f t="shared" si="28"/>
        <v/>
      </c>
      <c r="G309" s="5"/>
      <c r="H309" s="6"/>
      <c r="I309" s="6"/>
      <c r="J309" s="6"/>
      <c r="K309" s="7"/>
      <c r="L309" s="6"/>
      <c r="M309" s="8" t="str">
        <f t="shared" ca="1" si="29"/>
        <v/>
      </c>
      <c r="N309" s="6"/>
      <c r="O309" s="9"/>
      <c r="P309" s="10"/>
      <c r="Q309" s="6"/>
      <c r="R309" s="6"/>
      <c r="S309" s="6"/>
      <c r="T309" s="6"/>
      <c r="U309" s="6"/>
      <c r="V309" s="6"/>
      <c r="W309" s="6" t="str">
        <f t="shared" si="30"/>
        <v/>
      </c>
      <c r="X309" s="6" t="str">
        <f t="shared" si="31"/>
        <v/>
      </c>
      <c r="Y309" s="6" t="str">
        <f t="shared" si="32"/>
        <v/>
      </c>
      <c r="Z309" s="6" t="str">
        <f t="shared" si="33"/>
        <v/>
      </c>
      <c r="AA309" s="5" t="str">
        <f t="shared" si="34"/>
        <v/>
      </c>
    </row>
    <row r="310" spans="1:27" ht="14.5" x14ac:dyDescent="0.35">
      <c r="A310" s="5"/>
      <c r="B310" s="6"/>
      <c r="C310" s="6"/>
      <c r="D310" s="7"/>
      <c r="E310" s="6"/>
      <c r="F310" s="5" t="str">
        <f t="shared" si="28"/>
        <v/>
      </c>
      <c r="G310" s="5"/>
      <c r="H310" s="6"/>
      <c r="I310" s="6"/>
      <c r="J310" s="6"/>
      <c r="K310" s="7"/>
      <c r="L310" s="6"/>
      <c r="M310" s="8" t="str">
        <f t="shared" ca="1" si="29"/>
        <v/>
      </c>
      <c r="N310" s="6"/>
      <c r="O310" s="9"/>
      <c r="P310" s="10"/>
      <c r="Q310" s="6"/>
      <c r="R310" s="6"/>
      <c r="S310" s="6"/>
      <c r="T310" s="6"/>
      <c r="U310" s="6"/>
      <c r="V310" s="6"/>
      <c r="W310" s="6" t="str">
        <f t="shared" si="30"/>
        <v/>
      </c>
      <c r="X310" s="6" t="str">
        <f t="shared" si="31"/>
        <v/>
      </c>
      <c r="Y310" s="6" t="str">
        <f t="shared" si="32"/>
        <v/>
      </c>
      <c r="Z310" s="6" t="str">
        <f t="shared" si="33"/>
        <v/>
      </c>
      <c r="AA310" s="5" t="str">
        <f t="shared" si="34"/>
        <v/>
      </c>
    </row>
    <row r="311" spans="1:27" ht="14.5" x14ac:dyDescent="0.35">
      <c r="A311" s="5"/>
      <c r="B311" s="6"/>
      <c r="C311" s="6"/>
      <c r="D311" s="7"/>
      <c r="E311" s="6"/>
      <c r="F311" s="5" t="str">
        <f t="shared" si="28"/>
        <v/>
      </c>
      <c r="G311" s="5"/>
      <c r="H311" s="6"/>
      <c r="I311" s="6"/>
      <c r="J311" s="6"/>
      <c r="K311" s="7"/>
      <c r="L311" s="6"/>
      <c r="M311" s="8" t="str">
        <f t="shared" ca="1" si="29"/>
        <v/>
      </c>
      <c r="N311" s="6"/>
      <c r="O311" s="9"/>
      <c r="P311" s="10"/>
      <c r="Q311" s="6"/>
      <c r="R311" s="6"/>
      <c r="S311" s="6"/>
      <c r="T311" s="6"/>
      <c r="U311" s="6"/>
      <c r="V311" s="6"/>
      <c r="W311" s="6" t="str">
        <f t="shared" si="30"/>
        <v/>
      </c>
      <c r="X311" s="6" t="str">
        <f t="shared" si="31"/>
        <v/>
      </c>
      <c r="Y311" s="6" t="str">
        <f t="shared" si="32"/>
        <v/>
      </c>
      <c r="Z311" s="6" t="str">
        <f t="shared" si="33"/>
        <v/>
      </c>
      <c r="AA311" s="5" t="str">
        <f t="shared" si="34"/>
        <v/>
      </c>
    </row>
    <row r="312" spans="1:27" ht="14.5" x14ac:dyDescent="0.35">
      <c r="A312" s="5"/>
      <c r="B312" s="6"/>
      <c r="C312" s="6"/>
      <c r="D312" s="7"/>
      <c r="E312" s="6"/>
      <c r="F312" s="5" t="str">
        <f t="shared" si="28"/>
        <v/>
      </c>
      <c r="G312" s="5"/>
      <c r="H312" s="6"/>
      <c r="I312" s="6"/>
      <c r="J312" s="6"/>
      <c r="K312" s="7"/>
      <c r="L312" s="6"/>
      <c r="M312" s="8" t="str">
        <f t="shared" ca="1" si="29"/>
        <v/>
      </c>
      <c r="N312" s="6"/>
      <c r="O312" s="9"/>
      <c r="P312" s="10"/>
      <c r="Q312" s="6"/>
      <c r="R312" s="6"/>
      <c r="S312" s="6"/>
      <c r="T312" s="6"/>
      <c r="U312" s="6"/>
      <c r="V312" s="6"/>
      <c r="W312" s="6" t="str">
        <f t="shared" si="30"/>
        <v/>
      </c>
      <c r="X312" s="6" t="str">
        <f t="shared" si="31"/>
        <v/>
      </c>
      <c r="Y312" s="6" t="str">
        <f t="shared" si="32"/>
        <v/>
      </c>
      <c r="Z312" s="6" t="str">
        <f t="shared" si="33"/>
        <v/>
      </c>
      <c r="AA312" s="5" t="str">
        <f t="shared" si="34"/>
        <v/>
      </c>
    </row>
    <row r="313" spans="1:27" ht="14.5" x14ac:dyDescent="0.35">
      <c r="A313" s="5"/>
      <c r="B313" s="6"/>
      <c r="C313" s="6"/>
      <c r="D313" s="7"/>
      <c r="E313" s="6"/>
      <c r="F313" s="5" t="str">
        <f t="shared" si="28"/>
        <v/>
      </c>
      <c r="G313" s="5"/>
      <c r="H313" s="6"/>
      <c r="I313" s="6"/>
      <c r="J313" s="6"/>
      <c r="K313" s="7"/>
      <c r="L313" s="6"/>
      <c r="M313" s="8" t="str">
        <f t="shared" ca="1" si="29"/>
        <v/>
      </c>
      <c r="N313" s="6"/>
      <c r="O313" s="9"/>
      <c r="P313" s="10"/>
      <c r="Q313" s="6"/>
      <c r="R313" s="6"/>
      <c r="S313" s="6"/>
      <c r="T313" s="6"/>
      <c r="U313" s="6"/>
      <c r="V313" s="6"/>
      <c r="W313" s="6" t="str">
        <f t="shared" si="30"/>
        <v/>
      </c>
      <c r="X313" s="6" t="str">
        <f t="shared" si="31"/>
        <v/>
      </c>
      <c r="Y313" s="6" t="str">
        <f t="shared" si="32"/>
        <v/>
      </c>
      <c r="Z313" s="6" t="str">
        <f t="shared" si="33"/>
        <v/>
      </c>
      <c r="AA313" s="5" t="str">
        <f t="shared" si="34"/>
        <v/>
      </c>
    </row>
    <row r="314" spans="1:27" ht="14.5" x14ac:dyDescent="0.35">
      <c r="A314" s="5"/>
      <c r="B314" s="6"/>
      <c r="C314" s="6"/>
      <c r="D314" s="7"/>
      <c r="E314" s="6"/>
      <c r="F314" s="5" t="str">
        <f t="shared" si="28"/>
        <v/>
      </c>
      <c r="G314" s="5"/>
      <c r="H314" s="6"/>
      <c r="I314" s="6"/>
      <c r="J314" s="6"/>
      <c r="K314" s="7"/>
      <c r="L314" s="6"/>
      <c r="M314" s="8" t="str">
        <f t="shared" ca="1" si="29"/>
        <v/>
      </c>
      <c r="N314" s="6"/>
      <c r="O314" s="9"/>
      <c r="P314" s="10"/>
      <c r="Q314" s="6"/>
      <c r="R314" s="6"/>
      <c r="S314" s="6"/>
      <c r="T314" s="6"/>
      <c r="U314" s="6"/>
      <c r="V314" s="6"/>
      <c r="W314" s="6" t="str">
        <f t="shared" si="30"/>
        <v/>
      </c>
      <c r="X314" s="6" t="str">
        <f t="shared" si="31"/>
        <v/>
      </c>
      <c r="Y314" s="6" t="str">
        <f t="shared" si="32"/>
        <v/>
      </c>
      <c r="Z314" s="6" t="str">
        <f t="shared" si="33"/>
        <v/>
      </c>
      <c r="AA314" s="5" t="str">
        <f t="shared" si="34"/>
        <v/>
      </c>
    </row>
    <row r="315" spans="1:27" ht="14.5" x14ac:dyDescent="0.35">
      <c r="A315" s="5"/>
      <c r="B315" s="6"/>
      <c r="C315" s="6"/>
      <c r="D315" s="7"/>
      <c r="E315" s="6"/>
      <c r="F315" s="5" t="str">
        <f t="shared" si="28"/>
        <v/>
      </c>
      <c r="G315" s="5"/>
      <c r="H315" s="6"/>
      <c r="I315" s="6"/>
      <c r="J315" s="6"/>
      <c r="K315" s="7"/>
      <c r="L315" s="6"/>
      <c r="M315" s="8" t="str">
        <f t="shared" ca="1" si="29"/>
        <v/>
      </c>
      <c r="N315" s="6"/>
      <c r="O315" s="9"/>
      <c r="P315" s="10"/>
      <c r="Q315" s="6"/>
      <c r="R315" s="6"/>
      <c r="S315" s="6"/>
      <c r="T315" s="6"/>
      <c r="U315" s="6"/>
      <c r="V315" s="6"/>
      <c r="W315" s="6" t="str">
        <f t="shared" si="30"/>
        <v/>
      </c>
      <c r="X315" s="6" t="str">
        <f t="shared" si="31"/>
        <v/>
      </c>
      <c r="Y315" s="6" t="str">
        <f t="shared" si="32"/>
        <v/>
      </c>
      <c r="Z315" s="6" t="str">
        <f t="shared" si="33"/>
        <v/>
      </c>
      <c r="AA315" s="5" t="str">
        <f t="shared" si="34"/>
        <v/>
      </c>
    </row>
    <row r="316" spans="1:27" ht="14.5" x14ac:dyDescent="0.35">
      <c r="A316" s="5"/>
      <c r="B316" s="6"/>
      <c r="C316" s="6"/>
      <c r="D316" s="7"/>
      <c r="E316" s="6"/>
      <c r="F316" s="5" t="str">
        <f t="shared" si="28"/>
        <v/>
      </c>
      <c r="G316" s="5"/>
      <c r="H316" s="6"/>
      <c r="I316" s="6"/>
      <c r="J316" s="6"/>
      <c r="K316" s="7"/>
      <c r="L316" s="6"/>
      <c r="M316" s="8" t="str">
        <f t="shared" ca="1" si="29"/>
        <v/>
      </c>
      <c r="N316" s="6"/>
      <c r="O316" s="9"/>
      <c r="P316" s="10"/>
      <c r="Q316" s="6"/>
      <c r="R316" s="6"/>
      <c r="S316" s="6"/>
      <c r="T316" s="6"/>
      <c r="U316" s="6"/>
      <c r="V316" s="6"/>
      <c r="W316" s="6" t="str">
        <f t="shared" si="30"/>
        <v/>
      </c>
      <c r="X316" s="6" t="str">
        <f t="shared" si="31"/>
        <v/>
      </c>
      <c r="Y316" s="6" t="str">
        <f t="shared" si="32"/>
        <v/>
      </c>
      <c r="Z316" s="6" t="str">
        <f t="shared" si="33"/>
        <v/>
      </c>
      <c r="AA316" s="5" t="str">
        <f t="shared" si="34"/>
        <v/>
      </c>
    </row>
    <row r="317" spans="1:27" ht="14.5" x14ac:dyDescent="0.35">
      <c r="A317" s="5"/>
      <c r="B317" s="6"/>
      <c r="C317" s="6"/>
      <c r="D317" s="7"/>
      <c r="E317" s="6"/>
      <c r="F317" s="5" t="str">
        <f t="shared" si="28"/>
        <v/>
      </c>
      <c r="G317" s="5"/>
      <c r="H317" s="6"/>
      <c r="I317" s="6"/>
      <c r="J317" s="6"/>
      <c r="K317" s="7"/>
      <c r="L317" s="6"/>
      <c r="M317" s="8" t="str">
        <f t="shared" ca="1" si="29"/>
        <v/>
      </c>
      <c r="N317" s="6"/>
      <c r="O317" s="9"/>
      <c r="P317" s="10"/>
      <c r="Q317" s="6"/>
      <c r="R317" s="6"/>
      <c r="S317" s="6"/>
      <c r="T317" s="6"/>
      <c r="U317" s="6"/>
      <c r="V317" s="6"/>
      <c r="W317" s="6" t="str">
        <f t="shared" si="30"/>
        <v/>
      </c>
      <c r="X317" s="6" t="str">
        <f t="shared" si="31"/>
        <v/>
      </c>
      <c r="Y317" s="6" t="str">
        <f t="shared" si="32"/>
        <v/>
      </c>
      <c r="Z317" s="6" t="str">
        <f t="shared" si="33"/>
        <v/>
      </c>
      <c r="AA317" s="5" t="str">
        <f t="shared" si="34"/>
        <v/>
      </c>
    </row>
    <row r="318" spans="1:27" ht="14.5" x14ac:dyDescent="0.35">
      <c r="A318" s="5"/>
      <c r="B318" s="6"/>
      <c r="C318" s="6"/>
      <c r="D318" s="7"/>
      <c r="E318" s="6"/>
      <c r="F318" s="5" t="str">
        <f t="shared" si="28"/>
        <v/>
      </c>
      <c r="G318" s="5"/>
      <c r="H318" s="6"/>
      <c r="I318" s="6"/>
      <c r="J318" s="6"/>
      <c r="K318" s="7"/>
      <c r="L318" s="6"/>
      <c r="M318" s="8" t="str">
        <f t="shared" ca="1" si="29"/>
        <v/>
      </c>
      <c r="N318" s="6"/>
      <c r="O318" s="9"/>
      <c r="P318" s="10"/>
      <c r="Q318" s="6"/>
      <c r="R318" s="6"/>
      <c r="S318" s="6"/>
      <c r="T318" s="6"/>
      <c r="U318" s="6"/>
      <c r="V318" s="6"/>
      <c r="W318" s="6" t="str">
        <f t="shared" si="30"/>
        <v/>
      </c>
      <c r="X318" s="6" t="str">
        <f t="shared" si="31"/>
        <v/>
      </c>
      <c r="Y318" s="6" t="str">
        <f t="shared" si="32"/>
        <v/>
      </c>
      <c r="Z318" s="6" t="str">
        <f t="shared" si="33"/>
        <v/>
      </c>
      <c r="AA318" s="5" t="str">
        <f t="shared" si="34"/>
        <v/>
      </c>
    </row>
    <row r="319" spans="1:27" ht="14.5" x14ac:dyDescent="0.35">
      <c r="A319" s="5"/>
      <c r="B319" s="6"/>
      <c r="C319" s="6"/>
      <c r="D319" s="7"/>
      <c r="E319" s="6"/>
      <c r="F319" s="5" t="str">
        <f t="shared" si="28"/>
        <v/>
      </c>
      <c r="G319" s="5"/>
      <c r="H319" s="6"/>
      <c r="I319" s="6"/>
      <c r="J319" s="6"/>
      <c r="K319" s="7"/>
      <c r="L319" s="6"/>
      <c r="M319" s="8" t="str">
        <f t="shared" ca="1" si="29"/>
        <v/>
      </c>
      <c r="N319" s="6"/>
      <c r="O319" s="9"/>
      <c r="P319" s="10"/>
      <c r="Q319" s="6"/>
      <c r="R319" s="6"/>
      <c r="S319" s="6"/>
      <c r="T319" s="6"/>
      <c r="U319" s="6"/>
      <c r="V319" s="6"/>
      <c r="W319" s="6" t="str">
        <f t="shared" si="30"/>
        <v/>
      </c>
      <c r="X319" s="6" t="str">
        <f t="shared" si="31"/>
        <v/>
      </c>
      <c r="Y319" s="6" t="str">
        <f t="shared" si="32"/>
        <v/>
      </c>
      <c r="Z319" s="6" t="str">
        <f t="shared" si="33"/>
        <v/>
      </c>
      <c r="AA319" s="5" t="str">
        <f t="shared" si="34"/>
        <v/>
      </c>
    </row>
    <row r="320" spans="1:27" ht="14.5" x14ac:dyDescent="0.35">
      <c r="A320" s="5"/>
      <c r="B320" s="6"/>
      <c r="C320" s="6"/>
      <c r="D320" s="7"/>
      <c r="E320" s="6"/>
      <c r="F320" s="5" t="str">
        <f t="shared" si="28"/>
        <v/>
      </c>
      <c r="G320" s="5"/>
      <c r="H320" s="6"/>
      <c r="I320" s="6"/>
      <c r="J320" s="6"/>
      <c r="K320" s="7"/>
      <c r="L320" s="6"/>
      <c r="M320" s="8" t="str">
        <f t="shared" ca="1" si="29"/>
        <v/>
      </c>
      <c r="N320" s="6"/>
      <c r="O320" s="9"/>
      <c r="P320" s="10"/>
      <c r="Q320" s="6"/>
      <c r="R320" s="6"/>
      <c r="S320" s="6"/>
      <c r="T320" s="6"/>
      <c r="U320" s="6"/>
      <c r="V320" s="6"/>
      <c r="W320" s="6" t="str">
        <f t="shared" si="30"/>
        <v/>
      </c>
      <c r="X320" s="6" t="str">
        <f t="shared" si="31"/>
        <v/>
      </c>
      <c r="Y320" s="6" t="str">
        <f t="shared" si="32"/>
        <v/>
      </c>
      <c r="Z320" s="6" t="str">
        <f t="shared" si="33"/>
        <v/>
      </c>
      <c r="AA320" s="5" t="str">
        <f t="shared" si="34"/>
        <v/>
      </c>
    </row>
    <row r="321" spans="1:27" ht="14.5" x14ac:dyDescent="0.35">
      <c r="A321" s="5"/>
      <c r="B321" s="6"/>
      <c r="C321" s="6"/>
      <c r="D321" s="7"/>
      <c r="E321" s="6"/>
      <c r="F321" s="5" t="str">
        <f t="shared" si="28"/>
        <v/>
      </c>
      <c r="G321" s="5"/>
      <c r="H321" s="6"/>
      <c r="I321" s="6"/>
      <c r="J321" s="6"/>
      <c r="K321" s="7"/>
      <c r="L321" s="6"/>
      <c r="M321" s="8" t="str">
        <f t="shared" ca="1" si="29"/>
        <v/>
      </c>
      <c r="N321" s="6"/>
      <c r="O321" s="9"/>
      <c r="P321" s="10"/>
      <c r="Q321" s="6"/>
      <c r="R321" s="6"/>
      <c r="S321" s="6"/>
      <c r="T321" s="6"/>
      <c r="U321" s="6"/>
      <c r="V321" s="6"/>
      <c r="W321" s="6" t="str">
        <f t="shared" si="30"/>
        <v/>
      </c>
      <c r="X321" s="6" t="str">
        <f t="shared" si="31"/>
        <v/>
      </c>
      <c r="Y321" s="6" t="str">
        <f t="shared" si="32"/>
        <v/>
      </c>
      <c r="Z321" s="6" t="str">
        <f t="shared" si="33"/>
        <v/>
      </c>
      <c r="AA321" s="5" t="str">
        <f t="shared" si="34"/>
        <v/>
      </c>
    </row>
    <row r="322" spans="1:27" ht="14.5" x14ac:dyDescent="0.35">
      <c r="A322" s="5"/>
      <c r="B322" s="6"/>
      <c r="C322" s="6"/>
      <c r="D322" s="7"/>
      <c r="E322" s="6"/>
      <c r="F322" s="5" t="str">
        <f t="shared" ref="F322:F385" si="35">IF(COUNTIF($A$2:$A$501,A322&amp;".*")=0,"",COUNTIF($A$2:$A$501,A322&amp;".*"))</f>
        <v/>
      </c>
      <c r="G322" s="5"/>
      <c r="H322" s="6"/>
      <c r="I322" s="6"/>
      <c r="J322" s="6"/>
      <c r="K322" s="7"/>
      <c r="L322" s="6"/>
      <c r="M322" s="8" t="str">
        <f t="shared" ref="M322:M385" ca="1" si="36">IF(K322="","",INT(K322)-TODAY())</f>
        <v/>
      </c>
      <c r="N322" s="6"/>
      <c r="O322" s="9"/>
      <c r="P322" s="10"/>
      <c r="Q322" s="6"/>
      <c r="R322" s="6"/>
      <c r="S322" s="6"/>
      <c r="T322" s="6"/>
      <c r="U322" s="6"/>
      <c r="V322" s="6"/>
      <c r="W322" s="6" t="str">
        <f t="shared" ref="W322:W385" si="37">IF(K322="","",K322+Q322/1000000)</f>
        <v/>
      </c>
      <c r="X322" s="6" t="str">
        <f t="shared" ref="X322:X385" si="38">IF(V322="","",IF(K322="",9999999+Q322/1000000,K322+Q322/1000000))</f>
        <v/>
      </c>
      <c r="Y322" s="6" t="str">
        <f t="shared" ref="Y322:Y385" si="39">IF(V322="","",SUMPRODUCT(($V$2:$V$501=V322)*($X$2:$X$501&lt;=X322)))</f>
        <v/>
      </c>
      <c r="Z322" s="6" t="str">
        <f t="shared" ref="Z322:Z385" si="40">IF(V322="","",V322&amp;"|"&amp;Y322)</f>
        <v/>
      </c>
      <c r="AA322" s="5" t="str">
        <f t="shared" ref="AA322:AA385" si="41">IF(O322="","",TEXT(INT(ROUND(O322*60,0)/60),"0")&amp;"h "&amp;TEXT(MOD(ROUND(O322*60,0),60),"00")&amp;"m")</f>
        <v/>
      </c>
    </row>
    <row r="323" spans="1:27" ht="14.5" x14ac:dyDescent="0.35">
      <c r="A323" s="5"/>
      <c r="B323" s="6"/>
      <c r="C323" s="6"/>
      <c r="D323" s="7"/>
      <c r="E323" s="6"/>
      <c r="F323" s="5" t="str">
        <f t="shared" si="35"/>
        <v/>
      </c>
      <c r="G323" s="5"/>
      <c r="H323" s="6"/>
      <c r="I323" s="6"/>
      <c r="J323" s="6"/>
      <c r="K323" s="7"/>
      <c r="L323" s="6"/>
      <c r="M323" s="8" t="str">
        <f t="shared" ca="1" si="36"/>
        <v/>
      </c>
      <c r="N323" s="6"/>
      <c r="O323" s="9"/>
      <c r="P323" s="10"/>
      <c r="Q323" s="6"/>
      <c r="R323" s="6"/>
      <c r="S323" s="6"/>
      <c r="T323" s="6"/>
      <c r="U323" s="6"/>
      <c r="V323" s="6"/>
      <c r="W323" s="6" t="str">
        <f t="shared" si="37"/>
        <v/>
      </c>
      <c r="X323" s="6" t="str">
        <f t="shared" si="38"/>
        <v/>
      </c>
      <c r="Y323" s="6" t="str">
        <f t="shared" si="39"/>
        <v/>
      </c>
      <c r="Z323" s="6" t="str">
        <f t="shared" si="40"/>
        <v/>
      </c>
      <c r="AA323" s="5" t="str">
        <f t="shared" si="41"/>
        <v/>
      </c>
    </row>
    <row r="324" spans="1:27" ht="14.5" x14ac:dyDescent="0.35">
      <c r="A324" s="5"/>
      <c r="B324" s="6"/>
      <c r="C324" s="6"/>
      <c r="D324" s="7"/>
      <c r="E324" s="6"/>
      <c r="F324" s="5" t="str">
        <f t="shared" si="35"/>
        <v/>
      </c>
      <c r="G324" s="5"/>
      <c r="H324" s="6"/>
      <c r="I324" s="6"/>
      <c r="J324" s="6"/>
      <c r="K324" s="7"/>
      <c r="L324" s="6"/>
      <c r="M324" s="8" t="str">
        <f t="shared" ca="1" si="36"/>
        <v/>
      </c>
      <c r="N324" s="6"/>
      <c r="O324" s="9"/>
      <c r="P324" s="10"/>
      <c r="Q324" s="6"/>
      <c r="R324" s="6"/>
      <c r="S324" s="6"/>
      <c r="T324" s="6"/>
      <c r="U324" s="6"/>
      <c r="V324" s="6"/>
      <c r="W324" s="6" t="str">
        <f t="shared" si="37"/>
        <v/>
      </c>
      <c r="X324" s="6" t="str">
        <f t="shared" si="38"/>
        <v/>
      </c>
      <c r="Y324" s="6" t="str">
        <f t="shared" si="39"/>
        <v/>
      </c>
      <c r="Z324" s="6" t="str">
        <f t="shared" si="40"/>
        <v/>
      </c>
      <c r="AA324" s="5" t="str">
        <f t="shared" si="41"/>
        <v/>
      </c>
    </row>
    <row r="325" spans="1:27" ht="14.5" x14ac:dyDescent="0.35">
      <c r="A325" s="5"/>
      <c r="B325" s="6"/>
      <c r="C325" s="6"/>
      <c r="D325" s="7"/>
      <c r="E325" s="6"/>
      <c r="F325" s="5" t="str">
        <f t="shared" si="35"/>
        <v/>
      </c>
      <c r="G325" s="5"/>
      <c r="H325" s="6"/>
      <c r="I325" s="6"/>
      <c r="J325" s="6"/>
      <c r="K325" s="7"/>
      <c r="L325" s="6"/>
      <c r="M325" s="8" t="str">
        <f t="shared" ca="1" si="36"/>
        <v/>
      </c>
      <c r="N325" s="6"/>
      <c r="O325" s="9"/>
      <c r="P325" s="10"/>
      <c r="Q325" s="6"/>
      <c r="R325" s="6"/>
      <c r="S325" s="6"/>
      <c r="T325" s="6"/>
      <c r="U325" s="6"/>
      <c r="V325" s="6"/>
      <c r="W325" s="6" t="str">
        <f t="shared" si="37"/>
        <v/>
      </c>
      <c r="X325" s="6" t="str">
        <f t="shared" si="38"/>
        <v/>
      </c>
      <c r="Y325" s="6" t="str">
        <f t="shared" si="39"/>
        <v/>
      </c>
      <c r="Z325" s="6" t="str">
        <f t="shared" si="40"/>
        <v/>
      </c>
      <c r="AA325" s="5" t="str">
        <f t="shared" si="41"/>
        <v/>
      </c>
    </row>
    <row r="326" spans="1:27" ht="14.5" x14ac:dyDescent="0.35">
      <c r="A326" s="5"/>
      <c r="B326" s="6"/>
      <c r="C326" s="6"/>
      <c r="D326" s="7"/>
      <c r="E326" s="6"/>
      <c r="F326" s="5" t="str">
        <f t="shared" si="35"/>
        <v/>
      </c>
      <c r="G326" s="5"/>
      <c r="H326" s="6"/>
      <c r="I326" s="6"/>
      <c r="J326" s="6"/>
      <c r="K326" s="7"/>
      <c r="L326" s="6"/>
      <c r="M326" s="8" t="str">
        <f t="shared" ca="1" si="36"/>
        <v/>
      </c>
      <c r="N326" s="6"/>
      <c r="O326" s="9"/>
      <c r="P326" s="10"/>
      <c r="Q326" s="6"/>
      <c r="R326" s="6"/>
      <c r="S326" s="6"/>
      <c r="T326" s="6"/>
      <c r="U326" s="6"/>
      <c r="V326" s="6"/>
      <c r="W326" s="6" t="str">
        <f t="shared" si="37"/>
        <v/>
      </c>
      <c r="X326" s="6" t="str">
        <f t="shared" si="38"/>
        <v/>
      </c>
      <c r="Y326" s="6" t="str">
        <f t="shared" si="39"/>
        <v/>
      </c>
      <c r="Z326" s="6" t="str">
        <f t="shared" si="40"/>
        <v/>
      </c>
      <c r="AA326" s="5" t="str">
        <f t="shared" si="41"/>
        <v/>
      </c>
    </row>
    <row r="327" spans="1:27" ht="14.5" x14ac:dyDescent="0.35">
      <c r="A327" s="5"/>
      <c r="B327" s="6"/>
      <c r="C327" s="6"/>
      <c r="D327" s="7"/>
      <c r="E327" s="6"/>
      <c r="F327" s="5" t="str">
        <f t="shared" si="35"/>
        <v/>
      </c>
      <c r="G327" s="5"/>
      <c r="H327" s="6"/>
      <c r="I327" s="6"/>
      <c r="J327" s="6"/>
      <c r="K327" s="7"/>
      <c r="L327" s="6"/>
      <c r="M327" s="8" t="str">
        <f t="shared" ca="1" si="36"/>
        <v/>
      </c>
      <c r="N327" s="6"/>
      <c r="O327" s="9"/>
      <c r="P327" s="10"/>
      <c r="Q327" s="6"/>
      <c r="R327" s="6"/>
      <c r="S327" s="6"/>
      <c r="T327" s="6"/>
      <c r="U327" s="6"/>
      <c r="V327" s="6"/>
      <c r="W327" s="6" t="str">
        <f t="shared" si="37"/>
        <v/>
      </c>
      <c r="X327" s="6" t="str">
        <f t="shared" si="38"/>
        <v/>
      </c>
      <c r="Y327" s="6" t="str">
        <f t="shared" si="39"/>
        <v/>
      </c>
      <c r="Z327" s="6" t="str">
        <f t="shared" si="40"/>
        <v/>
      </c>
      <c r="AA327" s="5" t="str">
        <f t="shared" si="41"/>
        <v/>
      </c>
    </row>
    <row r="328" spans="1:27" ht="14.5" x14ac:dyDescent="0.35">
      <c r="A328" s="5"/>
      <c r="B328" s="6"/>
      <c r="C328" s="6"/>
      <c r="D328" s="7"/>
      <c r="E328" s="6"/>
      <c r="F328" s="5" t="str">
        <f t="shared" si="35"/>
        <v/>
      </c>
      <c r="G328" s="5"/>
      <c r="H328" s="6"/>
      <c r="I328" s="6"/>
      <c r="J328" s="6"/>
      <c r="K328" s="7"/>
      <c r="L328" s="6"/>
      <c r="M328" s="8" t="str">
        <f t="shared" ca="1" si="36"/>
        <v/>
      </c>
      <c r="N328" s="6"/>
      <c r="O328" s="9"/>
      <c r="P328" s="10"/>
      <c r="Q328" s="6"/>
      <c r="R328" s="6"/>
      <c r="S328" s="6"/>
      <c r="T328" s="6"/>
      <c r="U328" s="6"/>
      <c r="V328" s="6"/>
      <c r="W328" s="6" t="str">
        <f t="shared" si="37"/>
        <v/>
      </c>
      <c r="X328" s="6" t="str">
        <f t="shared" si="38"/>
        <v/>
      </c>
      <c r="Y328" s="6" t="str">
        <f t="shared" si="39"/>
        <v/>
      </c>
      <c r="Z328" s="6" t="str">
        <f t="shared" si="40"/>
        <v/>
      </c>
      <c r="AA328" s="5" t="str">
        <f t="shared" si="41"/>
        <v/>
      </c>
    </row>
    <row r="329" spans="1:27" ht="14.5" x14ac:dyDescent="0.35">
      <c r="A329" s="5"/>
      <c r="B329" s="6"/>
      <c r="C329" s="6"/>
      <c r="D329" s="7"/>
      <c r="E329" s="6"/>
      <c r="F329" s="5" t="str">
        <f t="shared" si="35"/>
        <v/>
      </c>
      <c r="G329" s="5"/>
      <c r="H329" s="6"/>
      <c r="I329" s="6"/>
      <c r="J329" s="6"/>
      <c r="K329" s="7"/>
      <c r="L329" s="6"/>
      <c r="M329" s="8" t="str">
        <f t="shared" ca="1" si="36"/>
        <v/>
      </c>
      <c r="N329" s="6"/>
      <c r="O329" s="9"/>
      <c r="P329" s="10"/>
      <c r="Q329" s="6"/>
      <c r="R329" s="6"/>
      <c r="S329" s="6"/>
      <c r="T329" s="6"/>
      <c r="U329" s="6"/>
      <c r="V329" s="6"/>
      <c r="W329" s="6" t="str">
        <f t="shared" si="37"/>
        <v/>
      </c>
      <c r="X329" s="6" t="str">
        <f t="shared" si="38"/>
        <v/>
      </c>
      <c r="Y329" s="6" t="str">
        <f t="shared" si="39"/>
        <v/>
      </c>
      <c r="Z329" s="6" t="str">
        <f t="shared" si="40"/>
        <v/>
      </c>
      <c r="AA329" s="5" t="str">
        <f t="shared" si="41"/>
        <v/>
      </c>
    </row>
    <row r="330" spans="1:27" ht="14.5" x14ac:dyDescent="0.35">
      <c r="A330" s="5"/>
      <c r="B330" s="6"/>
      <c r="C330" s="6"/>
      <c r="D330" s="7"/>
      <c r="E330" s="6"/>
      <c r="F330" s="5" t="str">
        <f t="shared" si="35"/>
        <v/>
      </c>
      <c r="G330" s="5"/>
      <c r="H330" s="6"/>
      <c r="I330" s="6"/>
      <c r="J330" s="6"/>
      <c r="K330" s="7"/>
      <c r="L330" s="6"/>
      <c r="M330" s="8" t="str">
        <f t="shared" ca="1" si="36"/>
        <v/>
      </c>
      <c r="N330" s="6"/>
      <c r="O330" s="9"/>
      <c r="P330" s="10"/>
      <c r="Q330" s="6"/>
      <c r="R330" s="6"/>
      <c r="S330" s="6"/>
      <c r="T330" s="6"/>
      <c r="U330" s="6"/>
      <c r="V330" s="6"/>
      <c r="W330" s="6" t="str">
        <f t="shared" si="37"/>
        <v/>
      </c>
      <c r="X330" s="6" t="str">
        <f t="shared" si="38"/>
        <v/>
      </c>
      <c r="Y330" s="6" t="str">
        <f t="shared" si="39"/>
        <v/>
      </c>
      <c r="Z330" s="6" t="str">
        <f t="shared" si="40"/>
        <v/>
      </c>
      <c r="AA330" s="5" t="str">
        <f t="shared" si="41"/>
        <v/>
      </c>
    </row>
    <row r="331" spans="1:27" ht="14.5" x14ac:dyDescent="0.35">
      <c r="A331" s="5"/>
      <c r="B331" s="6"/>
      <c r="C331" s="6"/>
      <c r="D331" s="7"/>
      <c r="E331" s="6"/>
      <c r="F331" s="5" t="str">
        <f t="shared" si="35"/>
        <v/>
      </c>
      <c r="G331" s="5"/>
      <c r="H331" s="6"/>
      <c r="I331" s="6"/>
      <c r="J331" s="6"/>
      <c r="K331" s="7"/>
      <c r="L331" s="6"/>
      <c r="M331" s="8" t="str">
        <f t="shared" ca="1" si="36"/>
        <v/>
      </c>
      <c r="N331" s="6"/>
      <c r="O331" s="9"/>
      <c r="P331" s="10"/>
      <c r="Q331" s="6"/>
      <c r="R331" s="6"/>
      <c r="S331" s="6"/>
      <c r="T331" s="6"/>
      <c r="U331" s="6"/>
      <c r="V331" s="6"/>
      <c r="W331" s="6" t="str">
        <f t="shared" si="37"/>
        <v/>
      </c>
      <c r="X331" s="6" t="str">
        <f t="shared" si="38"/>
        <v/>
      </c>
      <c r="Y331" s="6" t="str">
        <f t="shared" si="39"/>
        <v/>
      </c>
      <c r="Z331" s="6" t="str">
        <f t="shared" si="40"/>
        <v/>
      </c>
      <c r="AA331" s="5" t="str">
        <f t="shared" si="41"/>
        <v/>
      </c>
    </row>
    <row r="332" spans="1:27" ht="14.5" x14ac:dyDescent="0.35">
      <c r="A332" s="5"/>
      <c r="B332" s="6"/>
      <c r="C332" s="6"/>
      <c r="D332" s="7"/>
      <c r="E332" s="6"/>
      <c r="F332" s="5" t="str">
        <f t="shared" si="35"/>
        <v/>
      </c>
      <c r="G332" s="5"/>
      <c r="H332" s="6"/>
      <c r="I332" s="6"/>
      <c r="J332" s="6"/>
      <c r="K332" s="7"/>
      <c r="L332" s="6"/>
      <c r="M332" s="8" t="str">
        <f t="shared" ca="1" si="36"/>
        <v/>
      </c>
      <c r="N332" s="6"/>
      <c r="O332" s="9"/>
      <c r="P332" s="10"/>
      <c r="Q332" s="6"/>
      <c r="R332" s="6"/>
      <c r="S332" s="6"/>
      <c r="T332" s="6"/>
      <c r="U332" s="6"/>
      <c r="V332" s="6"/>
      <c r="W332" s="6" t="str">
        <f t="shared" si="37"/>
        <v/>
      </c>
      <c r="X332" s="6" t="str">
        <f t="shared" si="38"/>
        <v/>
      </c>
      <c r="Y332" s="6" t="str">
        <f t="shared" si="39"/>
        <v/>
      </c>
      <c r="Z332" s="6" t="str">
        <f t="shared" si="40"/>
        <v/>
      </c>
      <c r="AA332" s="5" t="str">
        <f t="shared" si="41"/>
        <v/>
      </c>
    </row>
    <row r="333" spans="1:27" ht="14.5" x14ac:dyDescent="0.35">
      <c r="A333" s="5"/>
      <c r="B333" s="6"/>
      <c r="C333" s="6"/>
      <c r="D333" s="7"/>
      <c r="E333" s="6"/>
      <c r="F333" s="5" t="str">
        <f t="shared" si="35"/>
        <v/>
      </c>
      <c r="G333" s="5"/>
      <c r="H333" s="6"/>
      <c r="I333" s="6"/>
      <c r="J333" s="6"/>
      <c r="K333" s="7"/>
      <c r="L333" s="6"/>
      <c r="M333" s="8" t="str">
        <f t="shared" ca="1" si="36"/>
        <v/>
      </c>
      <c r="N333" s="6"/>
      <c r="O333" s="9"/>
      <c r="P333" s="10"/>
      <c r="Q333" s="6"/>
      <c r="R333" s="6"/>
      <c r="S333" s="6"/>
      <c r="T333" s="6"/>
      <c r="U333" s="6"/>
      <c r="V333" s="6"/>
      <c r="W333" s="6" t="str">
        <f t="shared" si="37"/>
        <v/>
      </c>
      <c r="X333" s="6" t="str">
        <f t="shared" si="38"/>
        <v/>
      </c>
      <c r="Y333" s="6" t="str">
        <f t="shared" si="39"/>
        <v/>
      </c>
      <c r="Z333" s="6" t="str">
        <f t="shared" si="40"/>
        <v/>
      </c>
      <c r="AA333" s="5" t="str">
        <f t="shared" si="41"/>
        <v/>
      </c>
    </row>
    <row r="334" spans="1:27" ht="14.5" x14ac:dyDescent="0.35">
      <c r="A334" s="5"/>
      <c r="B334" s="6"/>
      <c r="C334" s="6"/>
      <c r="D334" s="7"/>
      <c r="E334" s="6"/>
      <c r="F334" s="5" t="str">
        <f t="shared" si="35"/>
        <v/>
      </c>
      <c r="G334" s="5"/>
      <c r="H334" s="6"/>
      <c r="I334" s="6"/>
      <c r="J334" s="6"/>
      <c r="K334" s="7"/>
      <c r="L334" s="6"/>
      <c r="M334" s="8" t="str">
        <f t="shared" ca="1" si="36"/>
        <v/>
      </c>
      <c r="N334" s="6"/>
      <c r="O334" s="9"/>
      <c r="P334" s="10"/>
      <c r="Q334" s="6"/>
      <c r="R334" s="6"/>
      <c r="S334" s="6"/>
      <c r="T334" s="6"/>
      <c r="U334" s="6"/>
      <c r="V334" s="6"/>
      <c r="W334" s="6" t="str">
        <f t="shared" si="37"/>
        <v/>
      </c>
      <c r="X334" s="6" t="str">
        <f t="shared" si="38"/>
        <v/>
      </c>
      <c r="Y334" s="6" t="str">
        <f t="shared" si="39"/>
        <v/>
      </c>
      <c r="Z334" s="6" t="str">
        <f t="shared" si="40"/>
        <v/>
      </c>
      <c r="AA334" s="5" t="str">
        <f t="shared" si="41"/>
        <v/>
      </c>
    </row>
    <row r="335" spans="1:27" ht="14.5" x14ac:dyDescent="0.35">
      <c r="A335" s="5"/>
      <c r="B335" s="6"/>
      <c r="C335" s="6"/>
      <c r="D335" s="7"/>
      <c r="E335" s="6"/>
      <c r="F335" s="5" t="str">
        <f t="shared" si="35"/>
        <v/>
      </c>
      <c r="G335" s="5"/>
      <c r="H335" s="6"/>
      <c r="I335" s="6"/>
      <c r="J335" s="6"/>
      <c r="K335" s="7"/>
      <c r="L335" s="6"/>
      <c r="M335" s="8" t="str">
        <f t="shared" ca="1" si="36"/>
        <v/>
      </c>
      <c r="N335" s="6"/>
      <c r="O335" s="9"/>
      <c r="P335" s="10"/>
      <c r="Q335" s="6"/>
      <c r="R335" s="6"/>
      <c r="S335" s="6"/>
      <c r="T335" s="6"/>
      <c r="U335" s="6"/>
      <c r="V335" s="6"/>
      <c r="W335" s="6" t="str">
        <f t="shared" si="37"/>
        <v/>
      </c>
      <c r="X335" s="6" t="str">
        <f t="shared" si="38"/>
        <v/>
      </c>
      <c r="Y335" s="6" t="str">
        <f t="shared" si="39"/>
        <v/>
      </c>
      <c r="Z335" s="6" t="str">
        <f t="shared" si="40"/>
        <v/>
      </c>
      <c r="AA335" s="5" t="str">
        <f t="shared" si="41"/>
        <v/>
      </c>
    </row>
    <row r="336" spans="1:27" ht="14.5" x14ac:dyDescent="0.35">
      <c r="A336" s="5"/>
      <c r="B336" s="6"/>
      <c r="C336" s="6"/>
      <c r="D336" s="7"/>
      <c r="E336" s="6"/>
      <c r="F336" s="5" t="str">
        <f t="shared" si="35"/>
        <v/>
      </c>
      <c r="G336" s="5"/>
      <c r="H336" s="6"/>
      <c r="I336" s="6"/>
      <c r="J336" s="6"/>
      <c r="K336" s="7"/>
      <c r="L336" s="6"/>
      <c r="M336" s="8" t="str">
        <f t="shared" ca="1" si="36"/>
        <v/>
      </c>
      <c r="N336" s="6"/>
      <c r="O336" s="9"/>
      <c r="P336" s="10"/>
      <c r="Q336" s="6"/>
      <c r="R336" s="6"/>
      <c r="S336" s="6"/>
      <c r="T336" s="6"/>
      <c r="U336" s="6"/>
      <c r="V336" s="6"/>
      <c r="W336" s="6" t="str">
        <f t="shared" si="37"/>
        <v/>
      </c>
      <c r="X336" s="6" t="str">
        <f t="shared" si="38"/>
        <v/>
      </c>
      <c r="Y336" s="6" t="str">
        <f t="shared" si="39"/>
        <v/>
      </c>
      <c r="Z336" s="6" t="str">
        <f t="shared" si="40"/>
        <v/>
      </c>
      <c r="AA336" s="5" t="str">
        <f t="shared" si="41"/>
        <v/>
      </c>
    </row>
    <row r="337" spans="1:27" ht="14.5" x14ac:dyDescent="0.35">
      <c r="A337" s="5"/>
      <c r="B337" s="6"/>
      <c r="C337" s="6"/>
      <c r="D337" s="7"/>
      <c r="E337" s="6"/>
      <c r="F337" s="5" t="str">
        <f t="shared" si="35"/>
        <v/>
      </c>
      <c r="G337" s="5"/>
      <c r="H337" s="6"/>
      <c r="I337" s="6"/>
      <c r="J337" s="6"/>
      <c r="K337" s="7"/>
      <c r="L337" s="6"/>
      <c r="M337" s="8" t="str">
        <f t="shared" ca="1" si="36"/>
        <v/>
      </c>
      <c r="N337" s="6"/>
      <c r="O337" s="9"/>
      <c r="P337" s="10"/>
      <c r="Q337" s="6"/>
      <c r="R337" s="6"/>
      <c r="S337" s="6"/>
      <c r="T337" s="6"/>
      <c r="U337" s="6"/>
      <c r="V337" s="6"/>
      <c r="W337" s="6" t="str">
        <f t="shared" si="37"/>
        <v/>
      </c>
      <c r="X337" s="6" t="str">
        <f t="shared" si="38"/>
        <v/>
      </c>
      <c r="Y337" s="6" t="str">
        <f t="shared" si="39"/>
        <v/>
      </c>
      <c r="Z337" s="6" t="str">
        <f t="shared" si="40"/>
        <v/>
      </c>
      <c r="AA337" s="5" t="str">
        <f t="shared" si="41"/>
        <v/>
      </c>
    </row>
    <row r="338" spans="1:27" ht="14.5" x14ac:dyDescent="0.35">
      <c r="A338" s="5"/>
      <c r="B338" s="6"/>
      <c r="C338" s="6"/>
      <c r="D338" s="7"/>
      <c r="E338" s="6"/>
      <c r="F338" s="5" t="str">
        <f t="shared" si="35"/>
        <v/>
      </c>
      <c r="G338" s="5"/>
      <c r="H338" s="6"/>
      <c r="I338" s="6"/>
      <c r="J338" s="6"/>
      <c r="K338" s="7"/>
      <c r="L338" s="6"/>
      <c r="M338" s="8" t="str">
        <f t="shared" ca="1" si="36"/>
        <v/>
      </c>
      <c r="N338" s="6"/>
      <c r="O338" s="9"/>
      <c r="P338" s="10"/>
      <c r="Q338" s="6"/>
      <c r="R338" s="6"/>
      <c r="S338" s="6"/>
      <c r="T338" s="6"/>
      <c r="U338" s="6"/>
      <c r="V338" s="6"/>
      <c r="W338" s="6" t="str">
        <f t="shared" si="37"/>
        <v/>
      </c>
      <c r="X338" s="6" t="str">
        <f t="shared" si="38"/>
        <v/>
      </c>
      <c r="Y338" s="6" t="str">
        <f t="shared" si="39"/>
        <v/>
      </c>
      <c r="Z338" s="6" t="str">
        <f t="shared" si="40"/>
        <v/>
      </c>
      <c r="AA338" s="5" t="str">
        <f t="shared" si="41"/>
        <v/>
      </c>
    </row>
    <row r="339" spans="1:27" ht="14.5" x14ac:dyDescent="0.35">
      <c r="A339" s="5"/>
      <c r="B339" s="6"/>
      <c r="C339" s="6"/>
      <c r="D339" s="7"/>
      <c r="E339" s="6"/>
      <c r="F339" s="5" t="str">
        <f t="shared" si="35"/>
        <v/>
      </c>
      <c r="G339" s="5"/>
      <c r="H339" s="6"/>
      <c r="I339" s="6"/>
      <c r="J339" s="6"/>
      <c r="K339" s="7"/>
      <c r="L339" s="6"/>
      <c r="M339" s="8" t="str">
        <f t="shared" ca="1" si="36"/>
        <v/>
      </c>
      <c r="N339" s="6"/>
      <c r="O339" s="9"/>
      <c r="P339" s="10"/>
      <c r="Q339" s="6"/>
      <c r="R339" s="6"/>
      <c r="S339" s="6"/>
      <c r="T339" s="6"/>
      <c r="U339" s="6"/>
      <c r="V339" s="6"/>
      <c r="W339" s="6" t="str">
        <f t="shared" si="37"/>
        <v/>
      </c>
      <c r="X339" s="6" t="str">
        <f t="shared" si="38"/>
        <v/>
      </c>
      <c r="Y339" s="6" t="str">
        <f t="shared" si="39"/>
        <v/>
      </c>
      <c r="Z339" s="6" t="str">
        <f t="shared" si="40"/>
        <v/>
      </c>
      <c r="AA339" s="5" t="str">
        <f t="shared" si="41"/>
        <v/>
      </c>
    </row>
    <row r="340" spans="1:27" ht="14.5" x14ac:dyDescent="0.35">
      <c r="A340" s="5"/>
      <c r="B340" s="6"/>
      <c r="C340" s="6"/>
      <c r="D340" s="7"/>
      <c r="E340" s="6"/>
      <c r="F340" s="5" t="str">
        <f t="shared" si="35"/>
        <v/>
      </c>
      <c r="G340" s="5"/>
      <c r="H340" s="6"/>
      <c r="I340" s="6"/>
      <c r="J340" s="6"/>
      <c r="K340" s="7"/>
      <c r="L340" s="6"/>
      <c r="M340" s="8" t="str">
        <f t="shared" ca="1" si="36"/>
        <v/>
      </c>
      <c r="N340" s="6"/>
      <c r="O340" s="9"/>
      <c r="P340" s="10"/>
      <c r="Q340" s="6"/>
      <c r="R340" s="6"/>
      <c r="S340" s="6"/>
      <c r="T340" s="6"/>
      <c r="U340" s="6"/>
      <c r="V340" s="6"/>
      <c r="W340" s="6" t="str">
        <f t="shared" si="37"/>
        <v/>
      </c>
      <c r="X340" s="6" t="str">
        <f t="shared" si="38"/>
        <v/>
      </c>
      <c r="Y340" s="6" t="str">
        <f t="shared" si="39"/>
        <v/>
      </c>
      <c r="Z340" s="6" t="str">
        <f t="shared" si="40"/>
        <v/>
      </c>
      <c r="AA340" s="5" t="str">
        <f t="shared" si="41"/>
        <v/>
      </c>
    </row>
    <row r="341" spans="1:27" ht="14.5" x14ac:dyDescent="0.35">
      <c r="A341" s="5"/>
      <c r="B341" s="6"/>
      <c r="C341" s="6"/>
      <c r="D341" s="7"/>
      <c r="E341" s="6"/>
      <c r="F341" s="5" t="str">
        <f t="shared" si="35"/>
        <v/>
      </c>
      <c r="G341" s="5"/>
      <c r="H341" s="6"/>
      <c r="I341" s="6"/>
      <c r="J341" s="6"/>
      <c r="K341" s="7"/>
      <c r="L341" s="6"/>
      <c r="M341" s="8" t="str">
        <f t="shared" ca="1" si="36"/>
        <v/>
      </c>
      <c r="N341" s="6"/>
      <c r="O341" s="9"/>
      <c r="P341" s="10"/>
      <c r="Q341" s="6"/>
      <c r="R341" s="6"/>
      <c r="S341" s="6"/>
      <c r="T341" s="6"/>
      <c r="U341" s="6"/>
      <c r="V341" s="6"/>
      <c r="W341" s="6" t="str">
        <f t="shared" si="37"/>
        <v/>
      </c>
      <c r="X341" s="6" t="str">
        <f t="shared" si="38"/>
        <v/>
      </c>
      <c r="Y341" s="6" t="str">
        <f t="shared" si="39"/>
        <v/>
      </c>
      <c r="Z341" s="6" t="str">
        <f t="shared" si="40"/>
        <v/>
      </c>
      <c r="AA341" s="5" t="str">
        <f t="shared" si="41"/>
        <v/>
      </c>
    </row>
    <row r="342" spans="1:27" ht="14.5" x14ac:dyDescent="0.35">
      <c r="A342" s="5"/>
      <c r="B342" s="6"/>
      <c r="C342" s="6"/>
      <c r="D342" s="7"/>
      <c r="E342" s="6"/>
      <c r="F342" s="5" t="str">
        <f t="shared" si="35"/>
        <v/>
      </c>
      <c r="G342" s="5"/>
      <c r="H342" s="6"/>
      <c r="I342" s="6"/>
      <c r="J342" s="6"/>
      <c r="K342" s="7"/>
      <c r="L342" s="6"/>
      <c r="M342" s="8" t="str">
        <f t="shared" ca="1" si="36"/>
        <v/>
      </c>
      <c r="N342" s="6"/>
      <c r="O342" s="9"/>
      <c r="P342" s="10"/>
      <c r="Q342" s="6"/>
      <c r="R342" s="6"/>
      <c r="S342" s="6"/>
      <c r="T342" s="6"/>
      <c r="U342" s="6"/>
      <c r="V342" s="6"/>
      <c r="W342" s="6" t="str">
        <f t="shared" si="37"/>
        <v/>
      </c>
      <c r="X342" s="6" t="str">
        <f t="shared" si="38"/>
        <v/>
      </c>
      <c r="Y342" s="6" t="str">
        <f t="shared" si="39"/>
        <v/>
      </c>
      <c r="Z342" s="6" t="str">
        <f t="shared" si="40"/>
        <v/>
      </c>
      <c r="AA342" s="5" t="str">
        <f t="shared" si="41"/>
        <v/>
      </c>
    </row>
    <row r="343" spans="1:27" ht="14.5" x14ac:dyDescent="0.35">
      <c r="A343" s="5"/>
      <c r="B343" s="6"/>
      <c r="C343" s="6"/>
      <c r="D343" s="7"/>
      <c r="E343" s="6"/>
      <c r="F343" s="5" t="str">
        <f t="shared" si="35"/>
        <v/>
      </c>
      <c r="G343" s="5"/>
      <c r="H343" s="6"/>
      <c r="I343" s="6"/>
      <c r="J343" s="6"/>
      <c r="K343" s="7"/>
      <c r="L343" s="6"/>
      <c r="M343" s="8" t="str">
        <f t="shared" ca="1" si="36"/>
        <v/>
      </c>
      <c r="N343" s="6"/>
      <c r="O343" s="9"/>
      <c r="P343" s="10"/>
      <c r="Q343" s="6"/>
      <c r="R343" s="6"/>
      <c r="S343" s="6"/>
      <c r="T343" s="6"/>
      <c r="U343" s="6"/>
      <c r="V343" s="6"/>
      <c r="W343" s="6" t="str">
        <f t="shared" si="37"/>
        <v/>
      </c>
      <c r="X343" s="6" t="str">
        <f t="shared" si="38"/>
        <v/>
      </c>
      <c r="Y343" s="6" t="str">
        <f t="shared" si="39"/>
        <v/>
      </c>
      <c r="Z343" s="6" t="str">
        <f t="shared" si="40"/>
        <v/>
      </c>
      <c r="AA343" s="5" t="str">
        <f t="shared" si="41"/>
        <v/>
      </c>
    </row>
    <row r="344" spans="1:27" ht="14.5" x14ac:dyDescent="0.35">
      <c r="A344" s="5"/>
      <c r="B344" s="6"/>
      <c r="C344" s="6"/>
      <c r="D344" s="7"/>
      <c r="E344" s="6"/>
      <c r="F344" s="5" t="str">
        <f t="shared" si="35"/>
        <v/>
      </c>
      <c r="G344" s="5"/>
      <c r="H344" s="6"/>
      <c r="I344" s="6"/>
      <c r="J344" s="6"/>
      <c r="K344" s="7"/>
      <c r="L344" s="6"/>
      <c r="M344" s="8" t="str">
        <f t="shared" ca="1" si="36"/>
        <v/>
      </c>
      <c r="N344" s="6"/>
      <c r="O344" s="9"/>
      <c r="P344" s="10"/>
      <c r="Q344" s="6"/>
      <c r="R344" s="6"/>
      <c r="S344" s="6"/>
      <c r="T344" s="6"/>
      <c r="U344" s="6"/>
      <c r="V344" s="6"/>
      <c r="W344" s="6" t="str">
        <f t="shared" si="37"/>
        <v/>
      </c>
      <c r="X344" s="6" t="str">
        <f t="shared" si="38"/>
        <v/>
      </c>
      <c r="Y344" s="6" t="str">
        <f t="shared" si="39"/>
        <v/>
      </c>
      <c r="Z344" s="6" t="str">
        <f t="shared" si="40"/>
        <v/>
      </c>
      <c r="AA344" s="5" t="str">
        <f t="shared" si="41"/>
        <v/>
      </c>
    </row>
    <row r="345" spans="1:27" ht="14.5" x14ac:dyDescent="0.35">
      <c r="A345" s="5"/>
      <c r="B345" s="6"/>
      <c r="C345" s="6"/>
      <c r="D345" s="7"/>
      <c r="E345" s="6"/>
      <c r="F345" s="5" t="str">
        <f t="shared" si="35"/>
        <v/>
      </c>
      <c r="G345" s="5"/>
      <c r="H345" s="6"/>
      <c r="I345" s="6"/>
      <c r="J345" s="6"/>
      <c r="K345" s="7"/>
      <c r="L345" s="6"/>
      <c r="M345" s="8" t="str">
        <f t="shared" ca="1" si="36"/>
        <v/>
      </c>
      <c r="N345" s="6"/>
      <c r="O345" s="9"/>
      <c r="P345" s="10"/>
      <c r="Q345" s="6"/>
      <c r="R345" s="6"/>
      <c r="S345" s="6"/>
      <c r="T345" s="6"/>
      <c r="U345" s="6"/>
      <c r="V345" s="6"/>
      <c r="W345" s="6" t="str">
        <f t="shared" si="37"/>
        <v/>
      </c>
      <c r="X345" s="6" t="str">
        <f t="shared" si="38"/>
        <v/>
      </c>
      <c r="Y345" s="6" t="str">
        <f t="shared" si="39"/>
        <v/>
      </c>
      <c r="Z345" s="6" t="str">
        <f t="shared" si="40"/>
        <v/>
      </c>
      <c r="AA345" s="5" t="str">
        <f t="shared" si="41"/>
        <v/>
      </c>
    </row>
    <row r="346" spans="1:27" ht="14.5" x14ac:dyDescent="0.35">
      <c r="A346" s="5"/>
      <c r="B346" s="6"/>
      <c r="C346" s="6"/>
      <c r="D346" s="7"/>
      <c r="E346" s="6"/>
      <c r="F346" s="5" t="str">
        <f t="shared" si="35"/>
        <v/>
      </c>
      <c r="G346" s="5"/>
      <c r="H346" s="6"/>
      <c r="I346" s="6"/>
      <c r="J346" s="6"/>
      <c r="K346" s="7"/>
      <c r="L346" s="6"/>
      <c r="M346" s="8" t="str">
        <f t="shared" ca="1" si="36"/>
        <v/>
      </c>
      <c r="N346" s="6"/>
      <c r="O346" s="9"/>
      <c r="P346" s="10"/>
      <c r="Q346" s="6"/>
      <c r="R346" s="6"/>
      <c r="S346" s="6"/>
      <c r="T346" s="6"/>
      <c r="U346" s="6"/>
      <c r="V346" s="6"/>
      <c r="W346" s="6" t="str">
        <f t="shared" si="37"/>
        <v/>
      </c>
      <c r="X346" s="6" t="str">
        <f t="shared" si="38"/>
        <v/>
      </c>
      <c r="Y346" s="6" t="str">
        <f t="shared" si="39"/>
        <v/>
      </c>
      <c r="Z346" s="6" t="str">
        <f t="shared" si="40"/>
        <v/>
      </c>
      <c r="AA346" s="5" t="str">
        <f t="shared" si="41"/>
        <v/>
      </c>
    </row>
    <row r="347" spans="1:27" ht="14.5" x14ac:dyDescent="0.35">
      <c r="A347" s="5"/>
      <c r="B347" s="6"/>
      <c r="C347" s="6"/>
      <c r="D347" s="7"/>
      <c r="E347" s="6"/>
      <c r="F347" s="5" t="str">
        <f t="shared" si="35"/>
        <v/>
      </c>
      <c r="G347" s="5"/>
      <c r="H347" s="6"/>
      <c r="I347" s="6"/>
      <c r="J347" s="6"/>
      <c r="K347" s="7"/>
      <c r="L347" s="6"/>
      <c r="M347" s="8" t="str">
        <f t="shared" ca="1" si="36"/>
        <v/>
      </c>
      <c r="N347" s="6"/>
      <c r="O347" s="9"/>
      <c r="P347" s="10"/>
      <c r="Q347" s="6"/>
      <c r="R347" s="6"/>
      <c r="S347" s="6"/>
      <c r="T347" s="6"/>
      <c r="U347" s="6"/>
      <c r="V347" s="6"/>
      <c r="W347" s="6" t="str">
        <f t="shared" si="37"/>
        <v/>
      </c>
      <c r="X347" s="6" t="str">
        <f t="shared" si="38"/>
        <v/>
      </c>
      <c r="Y347" s="6" t="str">
        <f t="shared" si="39"/>
        <v/>
      </c>
      <c r="Z347" s="6" t="str">
        <f t="shared" si="40"/>
        <v/>
      </c>
      <c r="AA347" s="5" t="str">
        <f t="shared" si="41"/>
        <v/>
      </c>
    </row>
    <row r="348" spans="1:27" ht="14.5" x14ac:dyDescent="0.35">
      <c r="A348" s="5"/>
      <c r="B348" s="6"/>
      <c r="C348" s="6"/>
      <c r="D348" s="7"/>
      <c r="E348" s="6"/>
      <c r="F348" s="5" t="str">
        <f t="shared" si="35"/>
        <v/>
      </c>
      <c r="G348" s="5"/>
      <c r="H348" s="6"/>
      <c r="I348" s="6"/>
      <c r="J348" s="6"/>
      <c r="K348" s="7"/>
      <c r="L348" s="6"/>
      <c r="M348" s="8" t="str">
        <f t="shared" ca="1" si="36"/>
        <v/>
      </c>
      <c r="N348" s="6"/>
      <c r="O348" s="9"/>
      <c r="P348" s="10"/>
      <c r="Q348" s="6"/>
      <c r="R348" s="6"/>
      <c r="S348" s="6"/>
      <c r="T348" s="6"/>
      <c r="U348" s="6"/>
      <c r="V348" s="6"/>
      <c r="W348" s="6" t="str">
        <f t="shared" si="37"/>
        <v/>
      </c>
      <c r="X348" s="6" t="str">
        <f t="shared" si="38"/>
        <v/>
      </c>
      <c r="Y348" s="6" t="str">
        <f t="shared" si="39"/>
        <v/>
      </c>
      <c r="Z348" s="6" t="str">
        <f t="shared" si="40"/>
        <v/>
      </c>
      <c r="AA348" s="5" t="str">
        <f t="shared" si="41"/>
        <v/>
      </c>
    </row>
    <row r="349" spans="1:27" ht="14.5" x14ac:dyDescent="0.35">
      <c r="A349" s="5"/>
      <c r="B349" s="6"/>
      <c r="C349" s="6"/>
      <c r="D349" s="7"/>
      <c r="E349" s="6"/>
      <c r="F349" s="5" t="str">
        <f t="shared" si="35"/>
        <v/>
      </c>
      <c r="G349" s="5"/>
      <c r="H349" s="6"/>
      <c r="I349" s="6"/>
      <c r="J349" s="6"/>
      <c r="K349" s="7"/>
      <c r="L349" s="6"/>
      <c r="M349" s="8" t="str">
        <f t="shared" ca="1" si="36"/>
        <v/>
      </c>
      <c r="N349" s="6"/>
      <c r="O349" s="9"/>
      <c r="P349" s="10"/>
      <c r="Q349" s="6"/>
      <c r="R349" s="6"/>
      <c r="S349" s="6"/>
      <c r="T349" s="6"/>
      <c r="U349" s="6"/>
      <c r="V349" s="6"/>
      <c r="W349" s="6" t="str">
        <f t="shared" si="37"/>
        <v/>
      </c>
      <c r="X349" s="6" t="str">
        <f t="shared" si="38"/>
        <v/>
      </c>
      <c r="Y349" s="6" t="str">
        <f t="shared" si="39"/>
        <v/>
      </c>
      <c r="Z349" s="6" t="str">
        <f t="shared" si="40"/>
        <v/>
      </c>
      <c r="AA349" s="5" t="str">
        <f t="shared" si="41"/>
        <v/>
      </c>
    </row>
    <row r="350" spans="1:27" ht="14.5" x14ac:dyDescent="0.35">
      <c r="A350" s="5"/>
      <c r="B350" s="6"/>
      <c r="C350" s="6"/>
      <c r="D350" s="7"/>
      <c r="E350" s="6"/>
      <c r="F350" s="5" t="str">
        <f t="shared" si="35"/>
        <v/>
      </c>
      <c r="G350" s="5"/>
      <c r="H350" s="6"/>
      <c r="I350" s="6"/>
      <c r="J350" s="6"/>
      <c r="K350" s="7"/>
      <c r="L350" s="6"/>
      <c r="M350" s="8" t="str">
        <f t="shared" ca="1" si="36"/>
        <v/>
      </c>
      <c r="N350" s="6"/>
      <c r="O350" s="9"/>
      <c r="P350" s="10"/>
      <c r="Q350" s="6"/>
      <c r="R350" s="6"/>
      <c r="S350" s="6"/>
      <c r="T350" s="6"/>
      <c r="U350" s="6"/>
      <c r="V350" s="6"/>
      <c r="W350" s="6" t="str">
        <f t="shared" si="37"/>
        <v/>
      </c>
      <c r="X350" s="6" t="str">
        <f t="shared" si="38"/>
        <v/>
      </c>
      <c r="Y350" s="6" t="str">
        <f t="shared" si="39"/>
        <v/>
      </c>
      <c r="Z350" s="6" t="str">
        <f t="shared" si="40"/>
        <v/>
      </c>
      <c r="AA350" s="5" t="str">
        <f t="shared" si="41"/>
        <v/>
      </c>
    </row>
    <row r="351" spans="1:27" ht="14.5" x14ac:dyDescent="0.35">
      <c r="A351" s="5"/>
      <c r="B351" s="6"/>
      <c r="C351" s="6"/>
      <c r="D351" s="7"/>
      <c r="E351" s="6"/>
      <c r="F351" s="5" t="str">
        <f t="shared" si="35"/>
        <v/>
      </c>
      <c r="G351" s="5"/>
      <c r="H351" s="6"/>
      <c r="I351" s="6"/>
      <c r="J351" s="6"/>
      <c r="K351" s="7"/>
      <c r="L351" s="6"/>
      <c r="M351" s="8" t="str">
        <f t="shared" ca="1" si="36"/>
        <v/>
      </c>
      <c r="N351" s="6"/>
      <c r="O351" s="9"/>
      <c r="P351" s="10"/>
      <c r="Q351" s="6"/>
      <c r="R351" s="6"/>
      <c r="S351" s="6"/>
      <c r="T351" s="6"/>
      <c r="U351" s="6"/>
      <c r="V351" s="6"/>
      <c r="W351" s="6" t="str">
        <f t="shared" si="37"/>
        <v/>
      </c>
      <c r="X351" s="6" t="str">
        <f t="shared" si="38"/>
        <v/>
      </c>
      <c r="Y351" s="6" t="str">
        <f t="shared" si="39"/>
        <v/>
      </c>
      <c r="Z351" s="6" t="str">
        <f t="shared" si="40"/>
        <v/>
      </c>
      <c r="AA351" s="5" t="str">
        <f t="shared" si="41"/>
        <v/>
      </c>
    </row>
    <row r="352" spans="1:27" ht="14.5" x14ac:dyDescent="0.35">
      <c r="A352" s="5"/>
      <c r="B352" s="6"/>
      <c r="C352" s="6"/>
      <c r="D352" s="7"/>
      <c r="E352" s="6"/>
      <c r="F352" s="5" t="str">
        <f t="shared" si="35"/>
        <v/>
      </c>
      <c r="G352" s="5"/>
      <c r="H352" s="6"/>
      <c r="I352" s="6"/>
      <c r="J352" s="6"/>
      <c r="K352" s="7"/>
      <c r="L352" s="6"/>
      <c r="M352" s="8" t="str">
        <f t="shared" ca="1" si="36"/>
        <v/>
      </c>
      <c r="N352" s="6"/>
      <c r="O352" s="9"/>
      <c r="P352" s="10"/>
      <c r="Q352" s="6"/>
      <c r="R352" s="6"/>
      <c r="S352" s="6"/>
      <c r="T352" s="6"/>
      <c r="U352" s="6"/>
      <c r="V352" s="6"/>
      <c r="W352" s="6" t="str">
        <f t="shared" si="37"/>
        <v/>
      </c>
      <c r="X352" s="6" t="str">
        <f t="shared" si="38"/>
        <v/>
      </c>
      <c r="Y352" s="6" t="str">
        <f t="shared" si="39"/>
        <v/>
      </c>
      <c r="Z352" s="6" t="str">
        <f t="shared" si="40"/>
        <v/>
      </c>
      <c r="AA352" s="5" t="str">
        <f t="shared" si="41"/>
        <v/>
      </c>
    </row>
    <row r="353" spans="1:27" ht="14.5" x14ac:dyDescent="0.35">
      <c r="A353" s="5"/>
      <c r="B353" s="6"/>
      <c r="C353" s="6"/>
      <c r="D353" s="7"/>
      <c r="E353" s="6"/>
      <c r="F353" s="5" t="str">
        <f t="shared" si="35"/>
        <v/>
      </c>
      <c r="G353" s="5"/>
      <c r="H353" s="6"/>
      <c r="I353" s="6"/>
      <c r="J353" s="6"/>
      <c r="K353" s="7"/>
      <c r="L353" s="6"/>
      <c r="M353" s="8" t="str">
        <f t="shared" ca="1" si="36"/>
        <v/>
      </c>
      <c r="N353" s="6"/>
      <c r="O353" s="9"/>
      <c r="P353" s="10"/>
      <c r="Q353" s="6"/>
      <c r="R353" s="6"/>
      <c r="S353" s="6"/>
      <c r="T353" s="6"/>
      <c r="U353" s="6"/>
      <c r="V353" s="6"/>
      <c r="W353" s="6" t="str">
        <f t="shared" si="37"/>
        <v/>
      </c>
      <c r="X353" s="6" t="str">
        <f t="shared" si="38"/>
        <v/>
      </c>
      <c r="Y353" s="6" t="str">
        <f t="shared" si="39"/>
        <v/>
      </c>
      <c r="Z353" s="6" t="str">
        <f t="shared" si="40"/>
        <v/>
      </c>
      <c r="AA353" s="5" t="str">
        <f t="shared" si="41"/>
        <v/>
      </c>
    </row>
    <row r="354" spans="1:27" ht="14.5" x14ac:dyDescent="0.35">
      <c r="A354" s="5"/>
      <c r="B354" s="6"/>
      <c r="C354" s="6"/>
      <c r="D354" s="7"/>
      <c r="E354" s="6"/>
      <c r="F354" s="5" t="str">
        <f t="shared" si="35"/>
        <v/>
      </c>
      <c r="G354" s="5"/>
      <c r="H354" s="6"/>
      <c r="I354" s="6"/>
      <c r="J354" s="6"/>
      <c r="K354" s="7"/>
      <c r="L354" s="6"/>
      <c r="M354" s="8" t="str">
        <f t="shared" ca="1" si="36"/>
        <v/>
      </c>
      <c r="N354" s="6"/>
      <c r="O354" s="9"/>
      <c r="P354" s="10"/>
      <c r="Q354" s="6"/>
      <c r="R354" s="6"/>
      <c r="S354" s="6"/>
      <c r="T354" s="6"/>
      <c r="U354" s="6"/>
      <c r="V354" s="6"/>
      <c r="W354" s="6" t="str">
        <f t="shared" si="37"/>
        <v/>
      </c>
      <c r="X354" s="6" t="str">
        <f t="shared" si="38"/>
        <v/>
      </c>
      <c r="Y354" s="6" t="str">
        <f t="shared" si="39"/>
        <v/>
      </c>
      <c r="Z354" s="6" t="str">
        <f t="shared" si="40"/>
        <v/>
      </c>
      <c r="AA354" s="5" t="str">
        <f t="shared" si="41"/>
        <v/>
      </c>
    </row>
    <row r="355" spans="1:27" ht="14.5" x14ac:dyDescent="0.35">
      <c r="A355" s="5"/>
      <c r="B355" s="6"/>
      <c r="C355" s="6"/>
      <c r="D355" s="7"/>
      <c r="E355" s="6"/>
      <c r="F355" s="5" t="str">
        <f t="shared" si="35"/>
        <v/>
      </c>
      <c r="G355" s="5"/>
      <c r="H355" s="6"/>
      <c r="I355" s="6"/>
      <c r="J355" s="6"/>
      <c r="K355" s="7"/>
      <c r="L355" s="6"/>
      <c r="M355" s="8" t="str">
        <f t="shared" ca="1" si="36"/>
        <v/>
      </c>
      <c r="N355" s="6"/>
      <c r="O355" s="9"/>
      <c r="P355" s="10"/>
      <c r="Q355" s="6"/>
      <c r="R355" s="6"/>
      <c r="S355" s="6"/>
      <c r="T355" s="6"/>
      <c r="U355" s="6"/>
      <c r="V355" s="6"/>
      <c r="W355" s="6" t="str">
        <f t="shared" si="37"/>
        <v/>
      </c>
      <c r="X355" s="6" t="str">
        <f t="shared" si="38"/>
        <v/>
      </c>
      <c r="Y355" s="6" t="str">
        <f t="shared" si="39"/>
        <v/>
      </c>
      <c r="Z355" s="6" t="str">
        <f t="shared" si="40"/>
        <v/>
      </c>
      <c r="AA355" s="5" t="str">
        <f t="shared" si="41"/>
        <v/>
      </c>
    </row>
    <row r="356" spans="1:27" ht="14.5" x14ac:dyDescent="0.35">
      <c r="A356" s="5"/>
      <c r="B356" s="6"/>
      <c r="C356" s="6"/>
      <c r="D356" s="7"/>
      <c r="E356" s="6"/>
      <c r="F356" s="5" t="str">
        <f t="shared" si="35"/>
        <v/>
      </c>
      <c r="G356" s="5"/>
      <c r="H356" s="6"/>
      <c r="I356" s="6"/>
      <c r="J356" s="6"/>
      <c r="K356" s="7"/>
      <c r="L356" s="6"/>
      <c r="M356" s="8" t="str">
        <f t="shared" ca="1" si="36"/>
        <v/>
      </c>
      <c r="N356" s="6"/>
      <c r="O356" s="9"/>
      <c r="P356" s="10"/>
      <c r="Q356" s="6"/>
      <c r="R356" s="6"/>
      <c r="S356" s="6"/>
      <c r="T356" s="6"/>
      <c r="U356" s="6"/>
      <c r="V356" s="6"/>
      <c r="W356" s="6" t="str">
        <f t="shared" si="37"/>
        <v/>
      </c>
      <c r="X356" s="6" t="str">
        <f t="shared" si="38"/>
        <v/>
      </c>
      <c r="Y356" s="6" t="str">
        <f t="shared" si="39"/>
        <v/>
      </c>
      <c r="Z356" s="6" t="str">
        <f t="shared" si="40"/>
        <v/>
      </c>
      <c r="AA356" s="5" t="str">
        <f t="shared" si="41"/>
        <v/>
      </c>
    </row>
    <row r="357" spans="1:27" ht="14.5" x14ac:dyDescent="0.35">
      <c r="A357" s="5"/>
      <c r="B357" s="6"/>
      <c r="C357" s="6"/>
      <c r="D357" s="7"/>
      <c r="E357" s="6"/>
      <c r="F357" s="5" t="str">
        <f t="shared" si="35"/>
        <v/>
      </c>
      <c r="G357" s="5"/>
      <c r="H357" s="6"/>
      <c r="I357" s="6"/>
      <c r="J357" s="6"/>
      <c r="K357" s="7"/>
      <c r="L357" s="6"/>
      <c r="M357" s="8" t="str">
        <f t="shared" ca="1" si="36"/>
        <v/>
      </c>
      <c r="N357" s="6"/>
      <c r="O357" s="9"/>
      <c r="P357" s="10"/>
      <c r="Q357" s="6"/>
      <c r="R357" s="6"/>
      <c r="S357" s="6"/>
      <c r="T357" s="6"/>
      <c r="U357" s="6"/>
      <c r="V357" s="6"/>
      <c r="W357" s="6" t="str">
        <f t="shared" si="37"/>
        <v/>
      </c>
      <c r="X357" s="6" t="str">
        <f t="shared" si="38"/>
        <v/>
      </c>
      <c r="Y357" s="6" t="str">
        <f t="shared" si="39"/>
        <v/>
      </c>
      <c r="Z357" s="6" t="str">
        <f t="shared" si="40"/>
        <v/>
      </c>
      <c r="AA357" s="5" t="str">
        <f t="shared" si="41"/>
        <v/>
      </c>
    </row>
    <row r="358" spans="1:27" ht="14.5" x14ac:dyDescent="0.35">
      <c r="A358" s="5"/>
      <c r="B358" s="6"/>
      <c r="C358" s="6"/>
      <c r="D358" s="7"/>
      <c r="E358" s="6"/>
      <c r="F358" s="5" t="str">
        <f t="shared" si="35"/>
        <v/>
      </c>
      <c r="G358" s="5"/>
      <c r="H358" s="6"/>
      <c r="I358" s="6"/>
      <c r="J358" s="6"/>
      <c r="K358" s="7"/>
      <c r="L358" s="6"/>
      <c r="M358" s="8" t="str">
        <f t="shared" ca="1" si="36"/>
        <v/>
      </c>
      <c r="N358" s="6"/>
      <c r="O358" s="9"/>
      <c r="P358" s="10"/>
      <c r="Q358" s="6"/>
      <c r="R358" s="6"/>
      <c r="S358" s="6"/>
      <c r="T358" s="6"/>
      <c r="U358" s="6"/>
      <c r="V358" s="6"/>
      <c r="W358" s="6" t="str">
        <f t="shared" si="37"/>
        <v/>
      </c>
      <c r="X358" s="6" t="str">
        <f t="shared" si="38"/>
        <v/>
      </c>
      <c r="Y358" s="6" t="str">
        <f t="shared" si="39"/>
        <v/>
      </c>
      <c r="Z358" s="6" t="str">
        <f t="shared" si="40"/>
        <v/>
      </c>
      <c r="AA358" s="5" t="str">
        <f t="shared" si="41"/>
        <v/>
      </c>
    </row>
    <row r="359" spans="1:27" ht="14.5" x14ac:dyDescent="0.35">
      <c r="A359" s="5"/>
      <c r="B359" s="6"/>
      <c r="C359" s="6"/>
      <c r="D359" s="7"/>
      <c r="E359" s="6"/>
      <c r="F359" s="5" t="str">
        <f t="shared" si="35"/>
        <v/>
      </c>
      <c r="G359" s="5"/>
      <c r="H359" s="6"/>
      <c r="I359" s="6"/>
      <c r="J359" s="6"/>
      <c r="K359" s="7"/>
      <c r="L359" s="6"/>
      <c r="M359" s="8" t="str">
        <f t="shared" ca="1" si="36"/>
        <v/>
      </c>
      <c r="N359" s="6"/>
      <c r="O359" s="9"/>
      <c r="P359" s="10"/>
      <c r="Q359" s="6"/>
      <c r="R359" s="6"/>
      <c r="S359" s="6"/>
      <c r="T359" s="6"/>
      <c r="U359" s="6"/>
      <c r="V359" s="6"/>
      <c r="W359" s="6" t="str">
        <f t="shared" si="37"/>
        <v/>
      </c>
      <c r="X359" s="6" t="str">
        <f t="shared" si="38"/>
        <v/>
      </c>
      <c r="Y359" s="6" t="str">
        <f t="shared" si="39"/>
        <v/>
      </c>
      <c r="Z359" s="6" t="str">
        <f t="shared" si="40"/>
        <v/>
      </c>
      <c r="AA359" s="5" t="str">
        <f t="shared" si="41"/>
        <v/>
      </c>
    </row>
    <row r="360" spans="1:27" ht="14.5" x14ac:dyDescent="0.35">
      <c r="A360" s="5"/>
      <c r="B360" s="6"/>
      <c r="C360" s="6"/>
      <c r="D360" s="7"/>
      <c r="E360" s="6"/>
      <c r="F360" s="5" t="str">
        <f t="shared" si="35"/>
        <v/>
      </c>
      <c r="G360" s="5"/>
      <c r="H360" s="6"/>
      <c r="I360" s="6"/>
      <c r="J360" s="6"/>
      <c r="K360" s="7"/>
      <c r="L360" s="6"/>
      <c r="M360" s="8" t="str">
        <f t="shared" ca="1" si="36"/>
        <v/>
      </c>
      <c r="N360" s="6"/>
      <c r="O360" s="9"/>
      <c r="P360" s="10"/>
      <c r="Q360" s="6"/>
      <c r="R360" s="6"/>
      <c r="S360" s="6"/>
      <c r="T360" s="6"/>
      <c r="U360" s="6"/>
      <c r="V360" s="6"/>
      <c r="W360" s="6" t="str">
        <f t="shared" si="37"/>
        <v/>
      </c>
      <c r="X360" s="6" t="str">
        <f t="shared" si="38"/>
        <v/>
      </c>
      <c r="Y360" s="6" t="str">
        <f t="shared" si="39"/>
        <v/>
      </c>
      <c r="Z360" s="6" t="str">
        <f t="shared" si="40"/>
        <v/>
      </c>
      <c r="AA360" s="5" t="str">
        <f t="shared" si="41"/>
        <v/>
      </c>
    </row>
    <row r="361" spans="1:27" ht="14.5" x14ac:dyDescent="0.35">
      <c r="A361" s="5"/>
      <c r="B361" s="6"/>
      <c r="C361" s="6"/>
      <c r="D361" s="7"/>
      <c r="E361" s="6"/>
      <c r="F361" s="5" t="str">
        <f t="shared" si="35"/>
        <v/>
      </c>
      <c r="G361" s="5"/>
      <c r="H361" s="6"/>
      <c r="I361" s="6"/>
      <c r="J361" s="6"/>
      <c r="K361" s="7"/>
      <c r="L361" s="6"/>
      <c r="M361" s="8" t="str">
        <f t="shared" ca="1" si="36"/>
        <v/>
      </c>
      <c r="N361" s="6"/>
      <c r="O361" s="9"/>
      <c r="P361" s="10"/>
      <c r="Q361" s="6"/>
      <c r="R361" s="6"/>
      <c r="S361" s="6"/>
      <c r="T361" s="6"/>
      <c r="U361" s="6"/>
      <c r="V361" s="6"/>
      <c r="W361" s="6" t="str">
        <f t="shared" si="37"/>
        <v/>
      </c>
      <c r="X361" s="6" t="str">
        <f t="shared" si="38"/>
        <v/>
      </c>
      <c r="Y361" s="6" t="str">
        <f t="shared" si="39"/>
        <v/>
      </c>
      <c r="Z361" s="6" t="str">
        <f t="shared" si="40"/>
        <v/>
      </c>
      <c r="AA361" s="5" t="str">
        <f t="shared" si="41"/>
        <v/>
      </c>
    </row>
    <row r="362" spans="1:27" ht="14.5" x14ac:dyDescent="0.35">
      <c r="A362" s="5"/>
      <c r="B362" s="6"/>
      <c r="C362" s="6"/>
      <c r="D362" s="7"/>
      <c r="E362" s="6"/>
      <c r="F362" s="5" t="str">
        <f t="shared" si="35"/>
        <v/>
      </c>
      <c r="G362" s="5"/>
      <c r="H362" s="6"/>
      <c r="I362" s="6"/>
      <c r="J362" s="6"/>
      <c r="K362" s="7"/>
      <c r="L362" s="6"/>
      <c r="M362" s="8" t="str">
        <f t="shared" ca="1" si="36"/>
        <v/>
      </c>
      <c r="N362" s="6"/>
      <c r="O362" s="9"/>
      <c r="P362" s="10"/>
      <c r="Q362" s="6"/>
      <c r="R362" s="6"/>
      <c r="S362" s="6"/>
      <c r="T362" s="6"/>
      <c r="U362" s="6"/>
      <c r="V362" s="6"/>
      <c r="W362" s="6" t="str">
        <f t="shared" si="37"/>
        <v/>
      </c>
      <c r="X362" s="6" t="str">
        <f t="shared" si="38"/>
        <v/>
      </c>
      <c r="Y362" s="6" t="str">
        <f t="shared" si="39"/>
        <v/>
      </c>
      <c r="Z362" s="6" t="str">
        <f t="shared" si="40"/>
        <v/>
      </c>
      <c r="AA362" s="5" t="str">
        <f t="shared" si="41"/>
        <v/>
      </c>
    </row>
    <row r="363" spans="1:27" ht="14.5" x14ac:dyDescent="0.35">
      <c r="A363" s="5"/>
      <c r="B363" s="6"/>
      <c r="C363" s="6"/>
      <c r="D363" s="7"/>
      <c r="E363" s="6"/>
      <c r="F363" s="5" t="str">
        <f t="shared" si="35"/>
        <v/>
      </c>
      <c r="G363" s="5"/>
      <c r="H363" s="6"/>
      <c r="I363" s="6"/>
      <c r="J363" s="6"/>
      <c r="K363" s="7"/>
      <c r="L363" s="6"/>
      <c r="M363" s="8" t="str">
        <f t="shared" ca="1" si="36"/>
        <v/>
      </c>
      <c r="N363" s="6"/>
      <c r="O363" s="9"/>
      <c r="P363" s="10"/>
      <c r="Q363" s="6"/>
      <c r="R363" s="6"/>
      <c r="S363" s="6"/>
      <c r="T363" s="6"/>
      <c r="U363" s="6"/>
      <c r="V363" s="6"/>
      <c r="W363" s="6" t="str">
        <f t="shared" si="37"/>
        <v/>
      </c>
      <c r="X363" s="6" t="str">
        <f t="shared" si="38"/>
        <v/>
      </c>
      <c r="Y363" s="6" t="str">
        <f t="shared" si="39"/>
        <v/>
      </c>
      <c r="Z363" s="6" t="str">
        <f t="shared" si="40"/>
        <v/>
      </c>
      <c r="AA363" s="5" t="str">
        <f t="shared" si="41"/>
        <v/>
      </c>
    </row>
    <row r="364" spans="1:27" ht="14.5" x14ac:dyDescent="0.35">
      <c r="A364" s="5"/>
      <c r="B364" s="6"/>
      <c r="C364" s="6"/>
      <c r="D364" s="7"/>
      <c r="E364" s="6"/>
      <c r="F364" s="5" t="str">
        <f t="shared" si="35"/>
        <v/>
      </c>
      <c r="G364" s="5"/>
      <c r="H364" s="6"/>
      <c r="I364" s="6"/>
      <c r="J364" s="6"/>
      <c r="K364" s="7"/>
      <c r="L364" s="6"/>
      <c r="M364" s="8" t="str">
        <f t="shared" ca="1" si="36"/>
        <v/>
      </c>
      <c r="N364" s="6"/>
      <c r="O364" s="9"/>
      <c r="P364" s="10"/>
      <c r="Q364" s="6"/>
      <c r="R364" s="6"/>
      <c r="S364" s="6"/>
      <c r="T364" s="6"/>
      <c r="U364" s="6"/>
      <c r="V364" s="6"/>
      <c r="W364" s="6" t="str">
        <f t="shared" si="37"/>
        <v/>
      </c>
      <c r="X364" s="6" t="str">
        <f t="shared" si="38"/>
        <v/>
      </c>
      <c r="Y364" s="6" t="str">
        <f t="shared" si="39"/>
        <v/>
      </c>
      <c r="Z364" s="6" t="str">
        <f t="shared" si="40"/>
        <v/>
      </c>
      <c r="AA364" s="5" t="str">
        <f t="shared" si="41"/>
        <v/>
      </c>
    </row>
    <row r="365" spans="1:27" ht="14.5" x14ac:dyDescent="0.35">
      <c r="A365" s="5"/>
      <c r="B365" s="6"/>
      <c r="C365" s="6"/>
      <c r="D365" s="7"/>
      <c r="E365" s="6"/>
      <c r="F365" s="5" t="str">
        <f t="shared" si="35"/>
        <v/>
      </c>
      <c r="G365" s="5"/>
      <c r="H365" s="6"/>
      <c r="I365" s="6"/>
      <c r="J365" s="6"/>
      <c r="K365" s="7"/>
      <c r="L365" s="6"/>
      <c r="M365" s="8" t="str">
        <f t="shared" ca="1" si="36"/>
        <v/>
      </c>
      <c r="N365" s="6"/>
      <c r="O365" s="9"/>
      <c r="P365" s="10"/>
      <c r="Q365" s="6"/>
      <c r="R365" s="6"/>
      <c r="S365" s="6"/>
      <c r="T365" s="6"/>
      <c r="U365" s="6"/>
      <c r="V365" s="6"/>
      <c r="W365" s="6" t="str">
        <f t="shared" si="37"/>
        <v/>
      </c>
      <c r="X365" s="6" t="str">
        <f t="shared" si="38"/>
        <v/>
      </c>
      <c r="Y365" s="6" t="str">
        <f t="shared" si="39"/>
        <v/>
      </c>
      <c r="Z365" s="6" t="str">
        <f t="shared" si="40"/>
        <v/>
      </c>
      <c r="AA365" s="5" t="str">
        <f t="shared" si="41"/>
        <v/>
      </c>
    </row>
    <row r="366" spans="1:27" ht="14.5" x14ac:dyDescent="0.35">
      <c r="A366" s="5"/>
      <c r="B366" s="6"/>
      <c r="C366" s="6"/>
      <c r="D366" s="7"/>
      <c r="E366" s="6"/>
      <c r="F366" s="5" t="str">
        <f t="shared" si="35"/>
        <v/>
      </c>
      <c r="G366" s="5"/>
      <c r="H366" s="6"/>
      <c r="I366" s="6"/>
      <c r="J366" s="6"/>
      <c r="K366" s="7"/>
      <c r="L366" s="6"/>
      <c r="M366" s="8" t="str">
        <f t="shared" ca="1" si="36"/>
        <v/>
      </c>
      <c r="N366" s="6"/>
      <c r="O366" s="9"/>
      <c r="P366" s="10"/>
      <c r="Q366" s="6"/>
      <c r="R366" s="6"/>
      <c r="S366" s="6"/>
      <c r="T366" s="6"/>
      <c r="U366" s="6"/>
      <c r="V366" s="6"/>
      <c r="W366" s="6" t="str">
        <f t="shared" si="37"/>
        <v/>
      </c>
      <c r="X366" s="6" t="str">
        <f t="shared" si="38"/>
        <v/>
      </c>
      <c r="Y366" s="6" t="str">
        <f t="shared" si="39"/>
        <v/>
      </c>
      <c r="Z366" s="6" t="str">
        <f t="shared" si="40"/>
        <v/>
      </c>
      <c r="AA366" s="5" t="str">
        <f t="shared" si="41"/>
        <v/>
      </c>
    </row>
    <row r="367" spans="1:27" ht="14.5" x14ac:dyDescent="0.35">
      <c r="A367" s="5"/>
      <c r="B367" s="6"/>
      <c r="C367" s="6"/>
      <c r="D367" s="7"/>
      <c r="E367" s="6"/>
      <c r="F367" s="5" t="str">
        <f t="shared" si="35"/>
        <v/>
      </c>
      <c r="G367" s="5"/>
      <c r="H367" s="6"/>
      <c r="I367" s="6"/>
      <c r="J367" s="6"/>
      <c r="K367" s="7"/>
      <c r="L367" s="6"/>
      <c r="M367" s="8" t="str">
        <f t="shared" ca="1" si="36"/>
        <v/>
      </c>
      <c r="N367" s="6"/>
      <c r="O367" s="9"/>
      <c r="P367" s="10"/>
      <c r="Q367" s="6"/>
      <c r="R367" s="6"/>
      <c r="S367" s="6"/>
      <c r="T367" s="6"/>
      <c r="U367" s="6"/>
      <c r="V367" s="6"/>
      <c r="W367" s="6" t="str">
        <f t="shared" si="37"/>
        <v/>
      </c>
      <c r="X367" s="6" t="str">
        <f t="shared" si="38"/>
        <v/>
      </c>
      <c r="Y367" s="6" t="str">
        <f t="shared" si="39"/>
        <v/>
      </c>
      <c r="Z367" s="6" t="str">
        <f t="shared" si="40"/>
        <v/>
      </c>
      <c r="AA367" s="5" t="str">
        <f t="shared" si="41"/>
        <v/>
      </c>
    </row>
    <row r="368" spans="1:27" ht="14.5" x14ac:dyDescent="0.35">
      <c r="A368" s="5"/>
      <c r="B368" s="6"/>
      <c r="C368" s="6"/>
      <c r="D368" s="7"/>
      <c r="E368" s="6"/>
      <c r="F368" s="5" t="str">
        <f t="shared" si="35"/>
        <v/>
      </c>
      <c r="G368" s="5"/>
      <c r="H368" s="6"/>
      <c r="I368" s="6"/>
      <c r="J368" s="6"/>
      <c r="K368" s="7"/>
      <c r="L368" s="6"/>
      <c r="M368" s="8" t="str">
        <f t="shared" ca="1" si="36"/>
        <v/>
      </c>
      <c r="N368" s="6"/>
      <c r="O368" s="9"/>
      <c r="P368" s="10"/>
      <c r="Q368" s="6"/>
      <c r="R368" s="6"/>
      <c r="S368" s="6"/>
      <c r="T368" s="6"/>
      <c r="U368" s="6"/>
      <c r="V368" s="6"/>
      <c r="W368" s="6" t="str">
        <f t="shared" si="37"/>
        <v/>
      </c>
      <c r="X368" s="6" t="str">
        <f t="shared" si="38"/>
        <v/>
      </c>
      <c r="Y368" s="6" t="str">
        <f t="shared" si="39"/>
        <v/>
      </c>
      <c r="Z368" s="6" t="str">
        <f t="shared" si="40"/>
        <v/>
      </c>
      <c r="AA368" s="5" t="str">
        <f t="shared" si="41"/>
        <v/>
      </c>
    </row>
    <row r="369" spans="1:27" ht="14.5" x14ac:dyDescent="0.35">
      <c r="A369" s="5"/>
      <c r="B369" s="6"/>
      <c r="C369" s="6"/>
      <c r="D369" s="7"/>
      <c r="E369" s="6"/>
      <c r="F369" s="5" t="str">
        <f t="shared" si="35"/>
        <v/>
      </c>
      <c r="G369" s="5"/>
      <c r="H369" s="6"/>
      <c r="I369" s="6"/>
      <c r="J369" s="6"/>
      <c r="K369" s="7"/>
      <c r="L369" s="6"/>
      <c r="M369" s="8" t="str">
        <f t="shared" ca="1" si="36"/>
        <v/>
      </c>
      <c r="N369" s="6"/>
      <c r="O369" s="9"/>
      <c r="P369" s="10"/>
      <c r="Q369" s="6"/>
      <c r="R369" s="6"/>
      <c r="S369" s="6"/>
      <c r="T369" s="6"/>
      <c r="U369" s="6"/>
      <c r="V369" s="6"/>
      <c r="W369" s="6" t="str">
        <f t="shared" si="37"/>
        <v/>
      </c>
      <c r="X369" s="6" t="str">
        <f t="shared" si="38"/>
        <v/>
      </c>
      <c r="Y369" s="6" t="str">
        <f t="shared" si="39"/>
        <v/>
      </c>
      <c r="Z369" s="6" t="str">
        <f t="shared" si="40"/>
        <v/>
      </c>
      <c r="AA369" s="5" t="str">
        <f t="shared" si="41"/>
        <v/>
      </c>
    </row>
    <row r="370" spans="1:27" ht="14.5" x14ac:dyDescent="0.35">
      <c r="A370" s="5"/>
      <c r="B370" s="6"/>
      <c r="C370" s="6"/>
      <c r="D370" s="7"/>
      <c r="E370" s="6"/>
      <c r="F370" s="5" t="str">
        <f t="shared" si="35"/>
        <v/>
      </c>
      <c r="G370" s="5"/>
      <c r="H370" s="6"/>
      <c r="I370" s="6"/>
      <c r="J370" s="6"/>
      <c r="K370" s="7"/>
      <c r="L370" s="6"/>
      <c r="M370" s="8" t="str">
        <f t="shared" ca="1" si="36"/>
        <v/>
      </c>
      <c r="N370" s="6"/>
      <c r="O370" s="9"/>
      <c r="P370" s="10"/>
      <c r="Q370" s="6"/>
      <c r="R370" s="6"/>
      <c r="S370" s="6"/>
      <c r="T370" s="6"/>
      <c r="U370" s="6"/>
      <c r="V370" s="6"/>
      <c r="W370" s="6" t="str">
        <f t="shared" si="37"/>
        <v/>
      </c>
      <c r="X370" s="6" t="str">
        <f t="shared" si="38"/>
        <v/>
      </c>
      <c r="Y370" s="6" t="str">
        <f t="shared" si="39"/>
        <v/>
      </c>
      <c r="Z370" s="6" t="str">
        <f t="shared" si="40"/>
        <v/>
      </c>
      <c r="AA370" s="5" t="str">
        <f t="shared" si="41"/>
        <v/>
      </c>
    </row>
    <row r="371" spans="1:27" ht="14.5" x14ac:dyDescent="0.35">
      <c r="A371" s="5"/>
      <c r="B371" s="6"/>
      <c r="C371" s="6"/>
      <c r="D371" s="7"/>
      <c r="E371" s="6"/>
      <c r="F371" s="5" t="str">
        <f t="shared" si="35"/>
        <v/>
      </c>
      <c r="G371" s="5"/>
      <c r="H371" s="6"/>
      <c r="I371" s="6"/>
      <c r="J371" s="6"/>
      <c r="K371" s="7"/>
      <c r="L371" s="6"/>
      <c r="M371" s="8" t="str">
        <f t="shared" ca="1" si="36"/>
        <v/>
      </c>
      <c r="N371" s="6"/>
      <c r="O371" s="9"/>
      <c r="P371" s="10"/>
      <c r="Q371" s="6"/>
      <c r="R371" s="6"/>
      <c r="S371" s="6"/>
      <c r="T371" s="6"/>
      <c r="U371" s="6"/>
      <c r="V371" s="6"/>
      <c r="W371" s="6" t="str">
        <f t="shared" si="37"/>
        <v/>
      </c>
      <c r="X371" s="6" t="str">
        <f t="shared" si="38"/>
        <v/>
      </c>
      <c r="Y371" s="6" t="str">
        <f t="shared" si="39"/>
        <v/>
      </c>
      <c r="Z371" s="6" t="str">
        <f t="shared" si="40"/>
        <v/>
      </c>
      <c r="AA371" s="5" t="str">
        <f t="shared" si="41"/>
        <v/>
      </c>
    </row>
    <row r="372" spans="1:27" ht="14.5" x14ac:dyDescent="0.35">
      <c r="A372" s="5"/>
      <c r="B372" s="6"/>
      <c r="C372" s="6"/>
      <c r="D372" s="7"/>
      <c r="E372" s="6"/>
      <c r="F372" s="5" t="str">
        <f t="shared" si="35"/>
        <v/>
      </c>
      <c r="G372" s="5"/>
      <c r="H372" s="6"/>
      <c r="I372" s="6"/>
      <c r="J372" s="6"/>
      <c r="K372" s="7"/>
      <c r="L372" s="6"/>
      <c r="M372" s="8" t="str">
        <f t="shared" ca="1" si="36"/>
        <v/>
      </c>
      <c r="N372" s="6"/>
      <c r="O372" s="9"/>
      <c r="P372" s="10"/>
      <c r="Q372" s="6"/>
      <c r="R372" s="6"/>
      <c r="S372" s="6"/>
      <c r="T372" s="6"/>
      <c r="U372" s="6"/>
      <c r="V372" s="6"/>
      <c r="W372" s="6" t="str">
        <f t="shared" si="37"/>
        <v/>
      </c>
      <c r="X372" s="6" t="str">
        <f t="shared" si="38"/>
        <v/>
      </c>
      <c r="Y372" s="6" t="str">
        <f t="shared" si="39"/>
        <v/>
      </c>
      <c r="Z372" s="6" t="str">
        <f t="shared" si="40"/>
        <v/>
      </c>
      <c r="AA372" s="5" t="str">
        <f t="shared" si="41"/>
        <v/>
      </c>
    </row>
    <row r="373" spans="1:27" ht="14.5" x14ac:dyDescent="0.35">
      <c r="A373" s="5"/>
      <c r="B373" s="6"/>
      <c r="C373" s="6"/>
      <c r="D373" s="7"/>
      <c r="E373" s="6"/>
      <c r="F373" s="5" t="str">
        <f t="shared" si="35"/>
        <v/>
      </c>
      <c r="G373" s="5"/>
      <c r="H373" s="6"/>
      <c r="I373" s="6"/>
      <c r="J373" s="6"/>
      <c r="K373" s="7"/>
      <c r="L373" s="6"/>
      <c r="M373" s="8" t="str">
        <f t="shared" ca="1" si="36"/>
        <v/>
      </c>
      <c r="N373" s="6"/>
      <c r="O373" s="9"/>
      <c r="P373" s="10"/>
      <c r="Q373" s="6"/>
      <c r="R373" s="6"/>
      <c r="S373" s="6"/>
      <c r="T373" s="6"/>
      <c r="U373" s="6"/>
      <c r="V373" s="6"/>
      <c r="W373" s="6" t="str">
        <f t="shared" si="37"/>
        <v/>
      </c>
      <c r="X373" s="6" t="str">
        <f t="shared" si="38"/>
        <v/>
      </c>
      <c r="Y373" s="6" t="str">
        <f t="shared" si="39"/>
        <v/>
      </c>
      <c r="Z373" s="6" t="str">
        <f t="shared" si="40"/>
        <v/>
      </c>
      <c r="AA373" s="5" t="str">
        <f t="shared" si="41"/>
        <v/>
      </c>
    </row>
    <row r="374" spans="1:27" ht="14.5" x14ac:dyDescent="0.35">
      <c r="A374" s="5"/>
      <c r="B374" s="6"/>
      <c r="C374" s="6"/>
      <c r="D374" s="7"/>
      <c r="E374" s="6"/>
      <c r="F374" s="5" t="str">
        <f t="shared" si="35"/>
        <v/>
      </c>
      <c r="G374" s="5"/>
      <c r="H374" s="6"/>
      <c r="I374" s="6"/>
      <c r="J374" s="6"/>
      <c r="K374" s="7"/>
      <c r="L374" s="6"/>
      <c r="M374" s="8" t="str">
        <f t="shared" ca="1" si="36"/>
        <v/>
      </c>
      <c r="N374" s="6"/>
      <c r="O374" s="9"/>
      <c r="P374" s="10"/>
      <c r="Q374" s="6"/>
      <c r="R374" s="6"/>
      <c r="S374" s="6"/>
      <c r="T374" s="6"/>
      <c r="U374" s="6"/>
      <c r="V374" s="6"/>
      <c r="W374" s="6" t="str">
        <f t="shared" si="37"/>
        <v/>
      </c>
      <c r="X374" s="6" t="str">
        <f t="shared" si="38"/>
        <v/>
      </c>
      <c r="Y374" s="6" t="str">
        <f t="shared" si="39"/>
        <v/>
      </c>
      <c r="Z374" s="6" t="str">
        <f t="shared" si="40"/>
        <v/>
      </c>
      <c r="AA374" s="5" t="str">
        <f t="shared" si="41"/>
        <v/>
      </c>
    </row>
    <row r="375" spans="1:27" ht="14.5" x14ac:dyDescent="0.35">
      <c r="A375" s="5"/>
      <c r="B375" s="6"/>
      <c r="C375" s="6"/>
      <c r="D375" s="7"/>
      <c r="E375" s="6"/>
      <c r="F375" s="5" t="str">
        <f t="shared" si="35"/>
        <v/>
      </c>
      <c r="G375" s="5"/>
      <c r="H375" s="6"/>
      <c r="I375" s="6"/>
      <c r="J375" s="6"/>
      <c r="K375" s="7"/>
      <c r="L375" s="6"/>
      <c r="M375" s="8" t="str">
        <f t="shared" ca="1" si="36"/>
        <v/>
      </c>
      <c r="N375" s="6"/>
      <c r="O375" s="9"/>
      <c r="P375" s="10"/>
      <c r="Q375" s="6"/>
      <c r="R375" s="6"/>
      <c r="S375" s="6"/>
      <c r="T375" s="6"/>
      <c r="U375" s="6"/>
      <c r="V375" s="6"/>
      <c r="W375" s="6" t="str">
        <f t="shared" si="37"/>
        <v/>
      </c>
      <c r="X375" s="6" t="str">
        <f t="shared" si="38"/>
        <v/>
      </c>
      <c r="Y375" s="6" t="str">
        <f t="shared" si="39"/>
        <v/>
      </c>
      <c r="Z375" s="6" t="str">
        <f t="shared" si="40"/>
        <v/>
      </c>
      <c r="AA375" s="5" t="str">
        <f t="shared" si="41"/>
        <v/>
      </c>
    </row>
    <row r="376" spans="1:27" ht="14.5" x14ac:dyDescent="0.35">
      <c r="A376" s="5"/>
      <c r="B376" s="6"/>
      <c r="C376" s="6"/>
      <c r="D376" s="7"/>
      <c r="E376" s="6"/>
      <c r="F376" s="5" t="str">
        <f t="shared" si="35"/>
        <v/>
      </c>
      <c r="G376" s="5"/>
      <c r="H376" s="6"/>
      <c r="I376" s="6"/>
      <c r="J376" s="6"/>
      <c r="K376" s="7"/>
      <c r="L376" s="6"/>
      <c r="M376" s="8" t="str">
        <f t="shared" ca="1" si="36"/>
        <v/>
      </c>
      <c r="N376" s="6"/>
      <c r="O376" s="9"/>
      <c r="P376" s="10"/>
      <c r="Q376" s="6"/>
      <c r="R376" s="6"/>
      <c r="S376" s="6"/>
      <c r="T376" s="6"/>
      <c r="U376" s="6"/>
      <c r="V376" s="6"/>
      <c r="W376" s="6" t="str">
        <f t="shared" si="37"/>
        <v/>
      </c>
      <c r="X376" s="6" t="str">
        <f t="shared" si="38"/>
        <v/>
      </c>
      <c r="Y376" s="6" t="str">
        <f t="shared" si="39"/>
        <v/>
      </c>
      <c r="Z376" s="6" t="str">
        <f t="shared" si="40"/>
        <v/>
      </c>
      <c r="AA376" s="5" t="str">
        <f t="shared" si="41"/>
        <v/>
      </c>
    </row>
    <row r="377" spans="1:27" ht="14.5" x14ac:dyDescent="0.35">
      <c r="A377" s="5"/>
      <c r="B377" s="6"/>
      <c r="C377" s="6"/>
      <c r="D377" s="7"/>
      <c r="E377" s="6"/>
      <c r="F377" s="5" t="str">
        <f t="shared" si="35"/>
        <v/>
      </c>
      <c r="G377" s="5"/>
      <c r="H377" s="6"/>
      <c r="I377" s="6"/>
      <c r="J377" s="6"/>
      <c r="K377" s="7"/>
      <c r="L377" s="6"/>
      <c r="M377" s="8" t="str">
        <f t="shared" ca="1" si="36"/>
        <v/>
      </c>
      <c r="N377" s="6"/>
      <c r="O377" s="9"/>
      <c r="P377" s="10"/>
      <c r="Q377" s="6"/>
      <c r="R377" s="6"/>
      <c r="S377" s="6"/>
      <c r="T377" s="6"/>
      <c r="U377" s="6"/>
      <c r="V377" s="6"/>
      <c r="W377" s="6" t="str">
        <f t="shared" si="37"/>
        <v/>
      </c>
      <c r="X377" s="6" t="str">
        <f t="shared" si="38"/>
        <v/>
      </c>
      <c r="Y377" s="6" t="str">
        <f t="shared" si="39"/>
        <v/>
      </c>
      <c r="Z377" s="6" t="str">
        <f t="shared" si="40"/>
        <v/>
      </c>
      <c r="AA377" s="5" t="str">
        <f t="shared" si="41"/>
        <v/>
      </c>
    </row>
    <row r="378" spans="1:27" ht="14.5" x14ac:dyDescent="0.35">
      <c r="A378" s="5"/>
      <c r="B378" s="6"/>
      <c r="C378" s="6"/>
      <c r="D378" s="7"/>
      <c r="E378" s="6"/>
      <c r="F378" s="5" t="str">
        <f t="shared" si="35"/>
        <v/>
      </c>
      <c r="G378" s="5"/>
      <c r="H378" s="6"/>
      <c r="I378" s="6"/>
      <c r="J378" s="6"/>
      <c r="K378" s="7"/>
      <c r="L378" s="6"/>
      <c r="M378" s="8" t="str">
        <f t="shared" ca="1" si="36"/>
        <v/>
      </c>
      <c r="N378" s="6"/>
      <c r="O378" s="9"/>
      <c r="P378" s="10"/>
      <c r="Q378" s="6"/>
      <c r="R378" s="6"/>
      <c r="S378" s="6"/>
      <c r="T378" s="6"/>
      <c r="U378" s="6"/>
      <c r="V378" s="6"/>
      <c r="W378" s="6" t="str">
        <f t="shared" si="37"/>
        <v/>
      </c>
      <c r="X378" s="6" t="str">
        <f t="shared" si="38"/>
        <v/>
      </c>
      <c r="Y378" s="6" t="str">
        <f t="shared" si="39"/>
        <v/>
      </c>
      <c r="Z378" s="6" t="str">
        <f t="shared" si="40"/>
        <v/>
      </c>
      <c r="AA378" s="5" t="str">
        <f t="shared" si="41"/>
        <v/>
      </c>
    </row>
    <row r="379" spans="1:27" ht="14.5" x14ac:dyDescent="0.35">
      <c r="A379" s="5"/>
      <c r="B379" s="6"/>
      <c r="C379" s="6"/>
      <c r="D379" s="7"/>
      <c r="E379" s="6"/>
      <c r="F379" s="5" t="str">
        <f t="shared" si="35"/>
        <v/>
      </c>
      <c r="G379" s="5"/>
      <c r="H379" s="6"/>
      <c r="I379" s="6"/>
      <c r="J379" s="6"/>
      <c r="K379" s="7"/>
      <c r="L379" s="6"/>
      <c r="M379" s="8" t="str">
        <f t="shared" ca="1" si="36"/>
        <v/>
      </c>
      <c r="N379" s="6"/>
      <c r="O379" s="9"/>
      <c r="P379" s="10"/>
      <c r="Q379" s="6"/>
      <c r="R379" s="6"/>
      <c r="S379" s="6"/>
      <c r="T379" s="6"/>
      <c r="U379" s="6"/>
      <c r="V379" s="6"/>
      <c r="W379" s="6" t="str">
        <f t="shared" si="37"/>
        <v/>
      </c>
      <c r="X379" s="6" t="str">
        <f t="shared" si="38"/>
        <v/>
      </c>
      <c r="Y379" s="6" t="str">
        <f t="shared" si="39"/>
        <v/>
      </c>
      <c r="Z379" s="6" t="str">
        <f t="shared" si="40"/>
        <v/>
      </c>
      <c r="AA379" s="5" t="str">
        <f t="shared" si="41"/>
        <v/>
      </c>
    </row>
    <row r="380" spans="1:27" ht="14.5" x14ac:dyDescent="0.35">
      <c r="A380" s="5"/>
      <c r="B380" s="6"/>
      <c r="C380" s="6"/>
      <c r="D380" s="7"/>
      <c r="E380" s="6"/>
      <c r="F380" s="5" t="str">
        <f t="shared" si="35"/>
        <v/>
      </c>
      <c r="G380" s="5"/>
      <c r="H380" s="6"/>
      <c r="I380" s="6"/>
      <c r="J380" s="6"/>
      <c r="K380" s="7"/>
      <c r="L380" s="6"/>
      <c r="M380" s="8" t="str">
        <f t="shared" ca="1" si="36"/>
        <v/>
      </c>
      <c r="N380" s="6"/>
      <c r="O380" s="9"/>
      <c r="P380" s="10"/>
      <c r="Q380" s="6"/>
      <c r="R380" s="6"/>
      <c r="S380" s="6"/>
      <c r="T380" s="6"/>
      <c r="U380" s="6"/>
      <c r="V380" s="6"/>
      <c r="W380" s="6" t="str">
        <f t="shared" si="37"/>
        <v/>
      </c>
      <c r="X380" s="6" t="str">
        <f t="shared" si="38"/>
        <v/>
      </c>
      <c r="Y380" s="6" t="str">
        <f t="shared" si="39"/>
        <v/>
      </c>
      <c r="Z380" s="6" t="str">
        <f t="shared" si="40"/>
        <v/>
      </c>
      <c r="AA380" s="5" t="str">
        <f t="shared" si="41"/>
        <v/>
      </c>
    </row>
    <row r="381" spans="1:27" ht="14.5" x14ac:dyDescent="0.35">
      <c r="A381" s="5"/>
      <c r="B381" s="6"/>
      <c r="C381" s="6"/>
      <c r="D381" s="7"/>
      <c r="E381" s="6"/>
      <c r="F381" s="5" t="str">
        <f t="shared" si="35"/>
        <v/>
      </c>
      <c r="G381" s="5"/>
      <c r="H381" s="6"/>
      <c r="I381" s="6"/>
      <c r="J381" s="6"/>
      <c r="K381" s="7"/>
      <c r="L381" s="6"/>
      <c r="M381" s="8" t="str">
        <f t="shared" ca="1" si="36"/>
        <v/>
      </c>
      <c r="N381" s="6"/>
      <c r="O381" s="9"/>
      <c r="P381" s="10"/>
      <c r="Q381" s="6"/>
      <c r="R381" s="6"/>
      <c r="S381" s="6"/>
      <c r="T381" s="6"/>
      <c r="U381" s="6"/>
      <c r="V381" s="6"/>
      <c r="W381" s="6" t="str">
        <f t="shared" si="37"/>
        <v/>
      </c>
      <c r="X381" s="6" t="str">
        <f t="shared" si="38"/>
        <v/>
      </c>
      <c r="Y381" s="6" t="str">
        <f t="shared" si="39"/>
        <v/>
      </c>
      <c r="Z381" s="6" t="str">
        <f t="shared" si="40"/>
        <v/>
      </c>
      <c r="AA381" s="5" t="str">
        <f t="shared" si="41"/>
        <v/>
      </c>
    </row>
    <row r="382" spans="1:27" ht="14.5" x14ac:dyDescent="0.35">
      <c r="A382" s="5"/>
      <c r="B382" s="6"/>
      <c r="C382" s="6"/>
      <c r="D382" s="7"/>
      <c r="E382" s="6"/>
      <c r="F382" s="5" t="str">
        <f t="shared" si="35"/>
        <v/>
      </c>
      <c r="G382" s="5"/>
      <c r="H382" s="6"/>
      <c r="I382" s="6"/>
      <c r="J382" s="6"/>
      <c r="K382" s="7"/>
      <c r="L382" s="6"/>
      <c r="M382" s="8" t="str">
        <f t="shared" ca="1" si="36"/>
        <v/>
      </c>
      <c r="N382" s="6"/>
      <c r="O382" s="9"/>
      <c r="P382" s="10"/>
      <c r="Q382" s="6"/>
      <c r="R382" s="6"/>
      <c r="S382" s="6"/>
      <c r="T382" s="6"/>
      <c r="U382" s="6"/>
      <c r="V382" s="6"/>
      <c r="W382" s="6" t="str">
        <f t="shared" si="37"/>
        <v/>
      </c>
      <c r="X382" s="6" t="str">
        <f t="shared" si="38"/>
        <v/>
      </c>
      <c r="Y382" s="6" t="str">
        <f t="shared" si="39"/>
        <v/>
      </c>
      <c r="Z382" s="6" t="str">
        <f t="shared" si="40"/>
        <v/>
      </c>
      <c r="AA382" s="5" t="str">
        <f t="shared" si="41"/>
        <v/>
      </c>
    </row>
    <row r="383" spans="1:27" ht="14.5" x14ac:dyDescent="0.35">
      <c r="A383" s="5"/>
      <c r="B383" s="6"/>
      <c r="C383" s="6"/>
      <c r="D383" s="7"/>
      <c r="E383" s="6"/>
      <c r="F383" s="5" t="str">
        <f t="shared" si="35"/>
        <v/>
      </c>
      <c r="G383" s="5"/>
      <c r="H383" s="6"/>
      <c r="I383" s="6"/>
      <c r="J383" s="6"/>
      <c r="K383" s="7"/>
      <c r="L383" s="6"/>
      <c r="M383" s="8" t="str">
        <f t="shared" ca="1" si="36"/>
        <v/>
      </c>
      <c r="N383" s="6"/>
      <c r="O383" s="9"/>
      <c r="P383" s="10"/>
      <c r="Q383" s="6"/>
      <c r="R383" s="6"/>
      <c r="S383" s="6"/>
      <c r="T383" s="6"/>
      <c r="U383" s="6"/>
      <c r="V383" s="6"/>
      <c r="W383" s="6" t="str">
        <f t="shared" si="37"/>
        <v/>
      </c>
      <c r="X383" s="6" t="str">
        <f t="shared" si="38"/>
        <v/>
      </c>
      <c r="Y383" s="6" t="str">
        <f t="shared" si="39"/>
        <v/>
      </c>
      <c r="Z383" s="6" t="str">
        <f t="shared" si="40"/>
        <v/>
      </c>
      <c r="AA383" s="5" t="str">
        <f t="shared" si="41"/>
        <v/>
      </c>
    </row>
    <row r="384" spans="1:27" ht="14.5" x14ac:dyDescent="0.35">
      <c r="A384" s="5"/>
      <c r="B384" s="6"/>
      <c r="C384" s="6"/>
      <c r="D384" s="7"/>
      <c r="E384" s="6"/>
      <c r="F384" s="5" t="str">
        <f t="shared" si="35"/>
        <v/>
      </c>
      <c r="G384" s="5"/>
      <c r="H384" s="6"/>
      <c r="I384" s="6"/>
      <c r="J384" s="6"/>
      <c r="K384" s="7"/>
      <c r="L384" s="6"/>
      <c r="M384" s="8" t="str">
        <f t="shared" ca="1" si="36"/>
        <v/>
      </c>
      <c r="N384" s="6"/>
      <c r="O384" s="9"/>
      <c r="P384" s="10"/>
      <c r="Q384" s="6"/>
      <c r="R384" s="6"/>
      <c r="S384" s="6"/>
      <c r="T384" s="6"/>
      <c r="U384" s="6"/>
      <c r="V384" s="6"/>
      <c r="W384" s="6" t="str">
        <f t="shared" si="37"/>
        <v/>
      </c>
      <c r="X384" s="6" t="str">
        <f t="shared" si="38"/>
        <v/>
      </c>
      <c r="Y384" s="6" t="str">
        <f t="shared" si="39"/>
        <v/>
      </c>
      <c r="Z384" s="6" t="str">
        <f t="shared" si="40"/>
        <v/>
      </c>
      <c r="AA384" s="5" t="str">
        <f t="shared" si="41"/>
        <v/>
      </c>
    </row>
    <row r="385" spans="1:27" ht="14.5" x14ac:dyDescent="0.35">
      <c r="A385" s="5"/>
      <c r="B385" s="6"/>
      <c r="C385" s="6"/>
      <c r="D385" s="7"/>
      <c r="E385" s="6"/>
      <c r="F385" s="5" t="str">
        <f t="shared" si="35"/>
        <v/>
      </c>
      <c r="G385" s="5"/>
      <c r="H385" s="6"/>
      <c r="I385" s="6"/>
      <c r="J385" s="6"/>
      <c r="K385" s="7"/>
      <c r="L385" s="6"/>
      <c r="M385" s="8" t="str">
        <f t="shared" ca="1" si="36"/>
        <v/>
      </c>
      <c r="N385" s="6"/>
      <c r="O385" s="9"/>
      <c r="P385" s="10"/>
      <c r="Q385" s="6"/>
      <c r="R385" s="6"/>
      <c r="S385" s="6"/>
      <c r="T385" s="6"/>
      <c r="U385" s="6"/>
      <c r="V385" s="6"/>
      <c r="W385" s="6" t="str">
        <f t="shared" si="37"/>
        <v/>
      </c>
      <c r="X385" s="6" t="str">
        <f t="shared" si="38"/>
        <v/>
      </c>
      <c r="Y385" s="6" t="str">
        <f t="shared" si="39"/>
        <v/>
      </c>
      <c r="Z385" s="6" t="str">
        <f t="shared" si="40"/>
        <v/>
      </c>
      <c r="AA385" s="5" t="str">
        <f t="shared" si="41"/>
        <v/>
      </c>
    </row>
    <row r="386" spans="1:27" ht="14.5" x14ac:dyDescent="0.35">
      <c r="A386" s="5"/>
      <c r="B386" s="6"/>
      <c r="C386" s="6"/>
      <c r="D386" s="7"/>
      <c r="E386" s="6"/>
      <c r="F386" s="5" t="str">
        <f t="shared" ref="F386:F449" si="42">IF(COUNTIF($A$2:$A$501,A386&amp;".*")=0,"",COUNTIF($A$2:$A$501,A386&amp;".*"))</f>
        <v/>
      </c>
      <c r="G386" s="5"/>
      <c r="H386" s="6"/>
      <c r="I386" s="6"/>
      <c r="J386" s="6"/>
      <c r="K386" s="7"/>
      <c r="L386" s="6"/>
      <c r="M386" s="8" t="str">
        <f t="shared" ref="M386:M449" ca="1" si="43">IF(K386="","",INT(K386)-TODAY())</f>
        <v/>
      </c>
      <c r="N386" s="6"/>
      <c r="O386" s="9"/>
      <c r="P386" s="10"/>
      <c r="Q386" s="6"/>
      <c r="R386" s="6"/>
      <c r="S386" s="6"/>
      <c r="T386" s="6"/>
      <c r="U386" s="6"/>
      <c r="V386" s="6"/>
      <c r="W386" s="6" t="str">
        <f t="shared" ref="W386:W449" si="44">IF(K386="","",K386+Q386/1000000)</f>
        <v/>
      </c>
      <c r="X386" s="6" t="str">
        <f t="shared" ref="X386:X449" si="45">IF(V386="","",IF(K386="",9999999+Q386/1000000,K386+Q386/1000000))</f>
        <v/>
      </c>
      <c r="Y386" s="6" t="str">
        <f t="shared" ref="Y386:Y449" si="46">IF(V386="","",SUMPRODUCT(($V$2:$V$501=V386)*($X$2:$X$501&lt;=X386)))</f>
        <v/>
      </c>
      <c r="Z386" s="6" t="str">
        <f t="shared" ref="Z386:Z449" si="47">IF(V386="","",V386&amp;"|"&amp;Y386)</f>
        <v/>
      </c>
      <c r="AA386" s="5" t="str">
        <f t="shared" ref="AA386:AA449" si="48">IF(O386="","",TEXT(INT(ROUND(O386*60,0)/60),"0")&amp;"h "&amp;TEXT(MOD(ROUND(O386*60,0),60),"00")&amp;"m")</f>
        <v/>
      </c>
    </row>
    <row r="387" spans="1:27" ht="14.5" x14ac:dyDescent="0.35">
      <c r="A387" s="5"/>
      <c r="B387" s="6"/>
      <c r="C387" s="6"/>
      <c r="D387" s="7"/>
      <c r="E387" s="6"/>
      <c r="F387" s="5" t="str">
        <f t="shared" si="42"/>
        <v/>
      </c>
      <c r="G387" s="5"/>
      <c r="H387" s="6"/>
      <c r="I387" s="6"/>
      <c r="J387" s="6"/>
      <c r="K387" s="7"/>
      <c r="L387" s="6"/>
      <c r="M387" s="8" t="str">
        <f t="shared" ca="1" si="43"/>
        <v/>
      </c>
      <c r="N387" s="6"/>
      <c r="O387" s="9"/>
      <c r="P387" s="10"/>
      <c r="Q387" s="6"/>
      <c r="R387" s="6"/>
      <c r="S387" s="6"/>
      <c r="T387" s="6"/>
      <c r="U387" s="6"/>
      <c r="V387" s="6"/>
      <c r="W387" s="6" t="str">
        <f t="shared" si="44"/>
        <v/>
      </c>
      <c r="X387" s="6" t="str">
        <f t="shared" si="45"/>
        <v/>
      </c>
      <c r="Y387" s="6" t="str">
        <f t="shared" si="46"/>
        <v/>
      </c>
      <c r="Z387" s="6" t="str">
        <f t="shared" si="47"/>
        <v/>
      </c>
      <c r="AA387" s="5" t="str">
        <f t="shared" si="48"/>
        <v/>
      </c>
    </row>
    <row r="388" spans="1:27" ht="14.5" x14ac:dyDescent="0.35">
      <c r="A388" s="5"/>
      <c r="B388" s="6"/>
      <c r="C388" s="6"/>
      <c r="D388" s="7"/>
      <c r="E388" s="6"/>
      <c r="F388" s="5" t="str">
        <f t="shared" si="42"/>
        <v/>
      </c>
      <c r="G388" s="5"/>
      <c r="H388" s="6"/>
      <c r="I388" s="6"/>
      <c r="J388" s="6"/>
      <c r="K388" s="7"/>
      <c r="L388" s="6"/>
      <c r="M388" s="8" t="str">
        <f t="shared" ca="1" si="43"/>
        <v/>
      </c>
      <c r="N388" s="6"/>
      <c r="O388" s="9"/>
      <c r="P388" s="10"/>
      <c r="Q388" s="6"/>
      <c r="R388" s="6"/>
      <c r="S388" s="6"/>
      <c r="T388" s="6"/>
      <c r="U388" s="6"/>
      <c r="V388" s="6"/>
      <c r="W388" s="6" t="str">
        <f t="shared" si="44"/>
        <v/>
      </c>
      <c r="X388" s="6" t="str">
        <f t="shared" si="45"/>
        <v/>
      </c>
      <c r="Y388" s="6" t="str">
        <f t="shared" si="46"/>
        <v/>
      </c>
      <c r="Z388" s="6" t="str">
        <f t="shared" si="47"/>
        <v/>
      </c>
      <c r="AA388" s="5" t="str">
        <f t="shared" si="48"/>
        <v/>
      </c>
    </row>
    <row r="389" spans="1:27" ht="14.5" x14ac:dyDescent="0.35">
      <c r="A389" s="5"/>
      <c r="B389" s="6"/>
      <c r="C389" s="6"/>
      <c r="D389" s="7"/>
      <c r="E389" s="6"/>
      <c r="F389" s="5" t="str">
        <f t="shared" si="42"/>
        <v/>
      </c>
      <c r="G389" s="5"/>
      <c r="H389" s="6"/>
      <c r="I389" s="6"/>
      <c r="J389" s="6"/>
      <c r="K389" s="7"/>
      <c r="L389" s="6"/>
      <c r="M389" s="8" t="str">
        <f t="shared" ca="1" si="43"/>
        <v/>
      </c>
      <c r="N389" s="6"/>
      <c r="O389" s="9"/>
      <c r="P389" s="10"/>
      <c r="Q389" s="6"/>
      <c r="R389" s="6"/>
      <c r="S389" s="6"/>
      <c r="T389" s="6"/>
      <c r="U389" s="6"/>
      <c r="V389" s="6"/>
      <c r="W389" s="6" t="str">
        <f t="shared" si="44"/>
        <v/>
      </c>
      <c r="X389" s="6" t="str">
        <f t="shared" si="45"/>
        <v/>
      </c>
      <c r="Y389" s="6" t="str">
        <f t="shared" si="46"/>
        <v/>
      </c>
      <c r="Z389" s="6" t="str">
        <f t="shared" si="47"/>
        <v/>
      </c>
      <c r="AA389" s="5" t="str">
        <f t="shared" si="48"/>
        <v/>
      </c>
    </row>
    <row r="390" spans="1:27" ht="14.5" x14ac:dyDescent="0.35">
      <c r="A390" s="5"/>
      <c r="B390" s="6"/>
      <c r="C390" s="6"/>
      <c r="D390" s="7"/>
      <c r="E390" s="6"/>
      <c r="F390" s="5" t="str">
        <f t="shared" si="42"/>
        <v/>
      </c>
      <c r="G390" s="5"/>
      <c r="H390" s="6"/>
      <c r="I390" s="6"/>
      <c r="J390" s="6"/>
      <c r="K390" s="7"/>
      <c r="L390" s="6"/>
      <c r="M390" s="8" t="str">
        <f t="shared" ca="1" si="43"/>
        <v/>
      </c>
      <c r="N390" s="6"/>
      <c r="O390" s="9"/>
      <c r="P390" s="10"/>
      <c r="Q390" s="6"/>
      <c r="R390" s="6"/>
      <c r="S390" s="6"/>
      <c r="T390" s="6"/>
      <c r="U390" s="6"/>
      <c r="V390" s="6"/>
      <c r="W390" s="6" t="str">
        <f t="shared" si="44"/>
        <v/>
      </c>
      <c r="X390" s="6" t="str">
        <f t="shared" si="45"/>
        <v/>
      </c>
      <c r="Y390" s="6" t="str">
        <f t="shared" si="46"/>
        <v/>
      </c>
      <c r="Z390" s="6" t="str">
        <f t="shared" si="47"/>
        <v/>
      </c>
      <c r="AA390" s="5" t="str">
        <f t="shared" si="48"/>
        <v/>
      </c>
    </row>
    <row r="391" spans="1:27" ht="14.5" x14ac:dyDescent="0.35">
      <c r="A391" s="5"/>
      <c r="B391" s="6"/>
      <c r="C391" s="6"/>
      <c r="D391" s="7"/>
      <c r="E391" s="6"/>
      <c r="F391" s="5" t="str">
        <f t="shared" si="42"/>
        <v/>
      </c>
      <c r="G391" s="5"/>
      <c r="H391" s="6"/>
      <c r="I391" s="6"/>
      <c r="J391" s="6"/>
      <c r="K391" s="7"/>
      <c r="L391" s="6"/>
      <c r="M391" s="8" t="str">
        <f t="shared" ca="1" si="43"/>
        <v/>
      </c>
      <c r="N391" s="6"/>
      <c r="O391" s="9"/>
      <c r="P391" s="10"/>
      <c r="Q391" s="6"/>
      <c r="R391" s="6"/>
      <c r="S391" s="6"/>
      <c r="T391" s="6"/>
      <c r="U391" s="6"/>
      <c r="V391" s="6"/>
      <c r="W391" s="6" t="str">
        <f t="shared" si="44"/>
        <v/>
      </c>
      <c r="X391" s="6" t="str">
        <f t="shared" si="45"/>
        <v/>
      </c>
      <c r="Y391" s="6" t="str">
        <f t="shared" si="46"/>
        <v/>
      </c>
      <c r="Z391" s="6" t="str">
        <f t="shared" si="47"/>
        <v/>
      </c>
      <c r="AA391" s="5" t="str">
        <f t="shared" si="48"/>
        <v/>
      </c>
    </row>
    <row r="392" spans="1:27" ht="14.5" x14ac:dyDescent="0.35">
      <c r="A392" s="5"/>
      <c r="B392" s="6"/>
      <c r="C392" s="6"/>
      <c r="D392" s="7"/>
      <c r="E392" s="6"/>
      <c r="F392" s="5" t="str">
        <f t="shared" si="42"/>
        <v/>
      </c>
      <c r="G392" s="5"/>
      <c r="H392" s="6"/>
      <c r="I392" s="6"/>
      <c r="J392" s="6"/>
      <c r="K392" s="7"/>
      <c r="L392" s="6"/>
      <c r="M392" s="8" t="str">
        <f t="shared" ca="1" si="43"/>
        <v/>
      </c>
      <c r="N392" s="6"/>
      <c r="O392" s="9"/>
      <c r="P392" s="10"/>
      <c r="Q392" s="6"/>
      <c r="R392" s="6"/>
      <c r="S392" s="6"/>
      <c r="T392" s="6"/>
      <c r="U392" s="6"/>
      <c r="V392" s="6"/>
      <c r="W392" s="6" t="str">
        <f t="shared" si="44"/>
        <v/>
      </c>
      <c r="X392" s="6" t="str">
        <f t="shared" si="45"/>
        <v/>
      </c>
      <c r="Y392" s="6" t="str">
        <f t="shared" si="46"/>
        <v/>
      </c>
      <c r="Z392" s="6" t="str">
        <f t="shared" si="47"/>
        <v/>
      </c>
      <c r="AA392" s="5" t="str">
        <f t="shared" si="48"/>
        <v/>
      </c>
    </row>
    <row r="393" spans="1:27" ht="14.5" x14ac:dyDescent="0.35">
      <c r="A393" s="5"/>
      <c r="B393" s="6"/>
      <c r="C393" s="6"/>
      <c r="D393" s="7"/>
      <c r="E393" s="6"/>
      <c r="F393" s="5" t="str">
        <f t="shared" si="42"/>
        <v/>
      </c>
      <c r="G393" s="5"/>
      <c r="H393" s="6"/>
      <c r="I393" s="6"/>
      <c r="J393" s="6"/>
      <c r="K393" s="7"/>
      <c r="L393" s="6"/>
      <c r="M393" s="8" t="str">
        <f t="shared" ca="1" si="43"/>
        <v/>
      </c>
      <c r="N393" s="6"/>
      <c r="O393" s="9"/>
      <c r="P393" s="10"/>
      <c r="Q393" s="6"/>
      <c r="R393" s="6"/>
      <c r="S393" s="6"/>
      <c r="T393" s="6"/>
      <c r="U393" s="6"/>
      <c r="V393" s="6"/>
      <c r="W393" s="6" t="str">
        <f t="shared" si="44"/>
        <v/>
      </c>
      <c r="X393" s="6" t="str">
        <f t="shared" si="45"/>
        <v/>
      </c>
      <c r="Y393" s="6" t="str">
        <f t="shared" si="46"/>
        <v/>
      </c>
      <c r="Z393" s="6" t="str">
        <f t="shared" si="47"/>
        <v/>
      </c>
      <c r="AA393" s="5" t="str">
        <f t="shared" si="48"/>
        <v/>
      </c>
    </row>
    <row r="394" spans="1:27" ht="14.5" x14ac:dyDescent="0.35">
      <c r="A394" s="5"/>
      <c r="B394" s="6"/>
      <c r="C394" s="6"/>
      <c r="D394" s="7"/>
      <c r="E394" s="6"/>
      <c r="F394" s="5" t="str">
        <f t="shared" si="42"/>
        <v/>
      </c>
      <c r="G394" s="5"/>
      <c r="H394" s="6"/>
      <c r="I394" s="6"/>
      <c r="J394" s="6"/>
      <c r="K394" s="7"/>
      <c r="L394" s="6"/>
      <c r="M394" s="8" t="str">
        <f t="shared" ca="1" si="43"/>
        <v/>
      </c>
      <c r="N394" s="6"/>
      <c r="O394" s="9"/>
      <c r="P394" s="10"/>
      <c r="Q394" s="6"/>
      <c r="R394" s="6"/>
      <c r="S394" s="6"/>
      <c r="T394" s="6"/>
      <c r="U394" s="6"/>
      <c r="V394" s="6"/>
      <c r="W394" s="6" t="str">
        <f t="shared" si="44"/>
        <v/>
      </c>
      <c r="X394" s="6" t="str">
        <f t="shared" si="45"/>
        <v/>
      </c>
      <c r="Y394" s="6" t="str">
        <f t="shared" si="46"/>
        <v/>
      </c>
      <c r="Z394" s="6" t="str">
        <f t="shared" si="47"/>
        <v/>
      </c>
      <c r="AA394" s="5" t="str">
        <f t="shared" si="48"/>
        <v/>
      </c>
    </row>
    <row r="395" spans="1:27" ht="14.5" x14ac:dyDescent="0.35">
      <c r="A395" s="5"/>
      <c r="B395" s="6"/>
      <c r="C395" s="6"/>
      <c r="D395" s="7"/>
      <c r="E395" s="6"/>
      <c r="F395" s="5" t="str">
        <f t="shared" si="42"/>
        <v/>
      </c>
      <c r="G395" s="5"/>
      <c r="H395" s="6"/>
      <c r="I395" s="6"/>
      <c r="J395" s="6"/>
      <c r="K395" s="7"/>
      <c r="L395" s="6"/>
      <c r="M395" s="8" t="str">
        <f t="shared" ca="1" si="43"/>
        <v/>
      </c>
      <c r="N395" s="6"/>
      <c r="O395" s="9"/>
      <c r="P395" s="10"/>
      <c r="Q395" s="6"/>
      <c r="R395" s="6"/>
      <c r="S395" s="6"/>
      <c r="T395" s="6"/>
      <c r="U395" s="6"/>
      <c r="V395" s="6"/>
      <c r="W395" s="6" t="str">
        <f t="shared" si="44"/>
        <v/>
      </c>
      <c r="X395" s="6" t="str">
        <f t="shared" si="45"/>
        <v/>
      </c>
      <c r="Y395" s="6" t="str">
        <f t="shared" si="46"/>
        <v/>
      </c>
      <c r="Z395" s="6" t="str">
        <f t="shared" si="47"/>
        <v/>
      </c>
      <c r="AA395" s="5" t="str">
        <f t="shared" si="48"/>
        <v/>
      </c>
    </row>
    <row r="396" spans="1:27" ht="14.5" x14ac:dyDescent="0.35">
      <c r="A396" s="5"/>
      <c r="B396" s="6"/>
      <c r="C396" s="6"/>
      <c r="D396" s="7"/>
      <c r="E396" s="6"/>
      <c r="F396" s="5" t="str">
        <f t="shared" si="42"/>
        <v/>
      </c>
      <c r="G396" s="5"/>
      <c r="H396" s="6"/>
      <c r="I396" s="6"/>
      <c r="J396" s="6"/>
      <c r="K396" s="7"/>
      <c r="L396" s="6"/>
      <c r="M396" s="8" t="str">
        <f t="shared" ca="1" si="43"/>
        <v/>
      </c>
      <c r="N396" s="6"/>
      <c r="O396" s="9"/>
      <c r="P396" s="10"/>
      <c r="Q396" s="6"/>
      <c r="R396" s="6"/>
      <c r="S396" s="6"/>
      <c r="T396" s="6"/>
      <c r="U396" s="6"/>
      <c r="V396" s="6"/>
      <c r="W396" s="6" t="str">
        <f t="shared" si="44"/>
        <v/>
      </c>
      <c r="X396" s="6" t="str">
        <f t="shared" si="45"/>
        <v/>
      </c>
      <c r="Y396" s="6" t="str">
        <f t="shared" si="46"/>
        <v/>
      </c>
      <c r="Z396" s="6" t="str">
        <f t="shared" si="47"/>
        <v/>
      </c>
      <c r="AA396" s="5" t="str">
        <f t="shared" si="48"/>
        <v/>
      </c>
    </row>
    <row r="397" spans="1:27" ht="14.5" x14ac:dyDescent="0.35">
      <c r="A397" s="5"/>
      <c r="B397" s="6"/>
      <c r="C397" s="6"/>
      <c r="D397" s="7"/>
      <c r="E397" s="6"/>
      <c r="F397" s="5" t="str">
        <f t="shared" si="42"/>
        <v/>
      </c>
      <c r="G397" s="5"/>
      <c r="H397" s="6"/>
      <c r="I397" s="6"/>
      <c r="J397" s="6"/>
      <c r="K397" s="7"/>
      <c r="L397" s="6"/>
      <c r="M397" s="8" t="str">
        <f t="shared" ca="1" si="43"/>
        <v/>
      </c>
      <c r="N397" s="6"/>
      <c r="O397" s="9"/>
      <c r="P397" s="10"/>
      <c r="Q397" s="6"/>
      <c r="R397" s="6"/>
      <c r="S397" s="6"/>
      <c r="T397" s="6"/>
      <c r="U397" s="6"/>
      <c r="V397" s="6"/>
      <c r="W397" s="6" t="str">
        <f t="shared" si="44"/>
        <v/>
      </c>
      <c r="X397" s="6" t="str">
        <f t="shared" si="45"/>
        <v/>
      </c>
      <c r="Y397" s="6" t="str">
        <f t="shared" si="46"/>
        <v/>
      </c>
      <c r="Z397" s="6" t="str">
        <f t="shared" si="47"/>
        <v/>
      </c>
      <c r="AA397" s="5" t="str">
        <f t="shared" si="48"/>
        <v/>
      </c>
    </row>
    <row r="398" spans="1:27" ht="14.5" x14ac:dyDescent="0.35">
      <c r="A398" s="5"/>
      <c r="B398" s="6"/>
      <c r="C398" s="6"/>
      <c r="D398" s="7"/>
      <c r="E398" s="6"/>
      <c r="F398" s="5" t="str">
        <f t="shared" si="42"/>
        <v/>
      </c>
      <c r="G398" s="5"/>
      <c r="H398" s="6"/>
      <c r="I398" s="6"/>
      <c r="J398" s="6"/>
      <c r="K398" s="7"/>
      <c r="L398" s="6"/>
      <c r="M398" s="8" t="str">
        <f t="shared" ca="1" si="43"/>
        <v/>
      </c>
      <c r="N398" s="6"/>
      <c r="O398" s="9"/>
      <c r="P398" s="10"/>
      <c r="Q398" s="6"/>
      <c r="R398" s="6"/>
      <c r="S398" s="6"/>
      <c r="T398" s="6"/>
      <c r="U398" s="6"/>
      <c r="V398" s="6"/>
      <c r="W398" s="6" t="str">
        <f t="shared" si="44"/>
        <v/>
      </c>
      <c r="X398" s="6" t="str">
        <f t="shared" si="45"/>
        <v/>
      </c>
      <c r="Y398" s="6" t="str">
        <f t="shared" si="46"/>
        <v/>
      </c>
      <c r="Z398" s="6" t="str">
        <f t="shared" si="47"/>
        <v/>
      </c>
      <c r="AA398" s="5" t="str">
        <f t="shared" si="48"/>
        <v/>
      </c>
    </row>
    <row r="399" spans="1:27" ht="14.5" x14ac:dyDescent="0.35">
      <c r="A399" s="5"/>
      <c r="B399" s="6"/>
      <c r="C399" s="6"/>
      <c r="D399" s="7"/>
      <c r="E399" s="6"/>
      <c r="F399" s="5" t="str">
        <f t="shared" si="42"/>
        <v/>
      </c>
      <c r="G399" s="5"/>
      <c r="H399" s="6"/>
      <c r="I399" s="6"/>
      <c r="J399" s="6"/>
      <c r="K399" s="7"/>
      <c r="L399" s="6"/>
      <c r="M399" s="8" t="str">
        <f t="shared" ca="1" si="43"/>
        <v/>
      </c>
      <c r="N399" s="6"/>
      <c r="O399" s="9"/>
      <c r="P399" s="10"/>
      <c r="Q399" s="6"/>
      <c r="R399" s="6"/>
      <c r="S399" s="6"/>
      <c r="T399" s="6"/>
      <c r="U399" s="6"/>
      <c r="V399" s="6"/>
      <c r="W399" s="6" t="str">
        <f t="shared" si="44"/>
        <v/>
      </c>
      <c r="X399" s="6" t="str">
        <f t="shared" si="45"/>
        <v/>
      </c>
      <c r="Y399" s="6" t="str">
        <f t="shared" si="46"/>
        <v/>
      </c>
      <c r="Z399" s="6" t="str">
        <f t="shared" si="47"/>
        <v/>
      </c>
      <c r="AA399" s="5" t="str">
        <f t="shared" si="48"/>
        <v/>
      </c>
    </row>
    <row r="400" spans="1:27" ht="14.5" x14ac:dyDescent="0.35">
      <c r="A400" s="5"/>
      <c r="B400" s="6"/>
      <c r="C400" s="6"/>
      <c r="D400" s="7"/>
      <c r="E400" s="6"/>
      <c r="F400" s="5" t="str">
        <f t="shared" si="42"/>
        <v/>
      </c>
      <c r="G400" s="5"/>
      <c r="H400" s="6"/>
      <c r="I400" s="6"/>
      <c r="J400" s="6"/>
      <c r="K400" s="7"/>
      <c r="L400" s="6"/>
      <c r="M400" s="8" t="str">
        <f t="shared" ca="1" si="43"/>
        <v/>
      </c>
      <c r="N400" s="6"/>
      <c r="O400" s="9"/>
      <c r="P400" s="10"/>
      <c r="Q400" s="6"/>
      <c r="R400" s="6"/>
      <c r="S400" s="6"/>
      <c r="T400" s="6"/>
      <c r="U400" s="6"/>
      <c r="V400" s="6"/>
      <c r="W400" s="6" t="str">
        <f t="shared" si="44"/>
        <v/>
      </c>
      <c r="X400" s="6" t="str">
        <f t="shared" si="45"/>
        <v/>
      </c>
      <c r="Y400" s="6" t="str">
        <f t="shared" si="46"/>
        <v/>
      </c>
      <c r="Z400" s="6" t="str">
        <f t="shared" si="47"/>
        <v/>
      </c>
      <c r="AA400" s="5" t="str">
        <f t="shared" si="48"/>
        <v/>
      </c>
    </row>
    <row r="401" spans="1:27" ht="14.5" x14ac:dyDescent="0.35">
      <c r="A401" s="5"/>
      <c r="B401" s="6"/>
      <c r="C401" s="6"/>
      <c r="D401" s="7"/>
      <c r="E401" s="6"/>
      <c r="F401" s="5" t="str">
        <f t="shared" si="42"/>
        <v/>
      </c>
      <c r="G401" s="5"/>
      <c r="H401" s="6"/>
      <c r="I401" s="6"/>
      <c r="J401" s="6"/>
      <c r="K401" s="7"/>
      <c r="L401" s="6"/>
      <c r="M401" s="8" t="str">
        <f t="shared" ca="1" si="43"/>
        <v/>
      </c>
      <c r="N401" s="6"/>
      <c r="O401" s="9"/>
      <c r="P401" s="10"/>
      <c r="Q401" s="6"/>
      <c r="R401" s="6"/>
      <c r="S401" s="6"/>
      <c r="T401" s="6"/>
      <c r="U401" s="6"/>
      <c r="V401" s="6"/>
      <c r="W401" s="6" t="str">
        <f t="shared" si="44"/>
        <v/>
      </c>
      <c r="X401" s="6" t="str">
        <f t="shared" si="45"/>
        <v/>
      </c>
      <c r="Y401" s="6" t="str">
        <f t="shared" si="46"/>
        <v/>
      </c>
      <c r="Z401" s="6" t="str">
        <f t="shared" si="47"/>
        <v/>
      </c>
      <c r="AA401" s="5" t="str">
        <f t="shared" si="48"/>
        <v/>
      </c>
    </row>
    <row r="402" spans="1:27" ht="14.5" x14ac:dyDescent="0.35">
      <c r="A402" s="5"/>
      <c r="B402" s="6"/>
      <c r="C402" s="6"/>
      <c r="D402" s="7"/>
      <c r="E402" s="6"/>
      <c r="F402" s="5" t="str">
        <f t="shared" si="42"/>
        <v/>
      </c>
      <c r="G402" s="5"/>
      <c r="H402" s="6"/>
      <c r="I402" s="6"/>
      <c r="J402" s="6"/>
      <c r="K402" s="7"/>
      <c r="L402" s="6"/>
      <c r="M402" s="8" t="str">
        <f t="shared" ca="1" si="43"/>
        <v/>
      </c>
      <c r="N402" s="6"/>
      <c r="O402" s="9"/>
      <c r="P402" s="10"/>
      <c r="Q402" s="6"/>
      <c r="R402" s="6"/>
      <c r="S402" s="6"/>
      <c r="T402" s="6"/>
      <c r="U402" s="6"/>
      <c r="V402" s="6"/>
      <c r="W402" s="6" t="str">
        <f t="shared" si="44"/>
        <v/>
      </c>
      <c r="X402" s="6" t="str">
        <f t="shared" si="45"/>
        <v/>
      </c>
      <c r="Y402" s="6" t="str">
        <f t="shared" si="46"/>
        <v/>
      </c>
      <c r="Z402" s="6" t="str">
        <f t="shared" si="47"/>
        <v/>
      </c>
      <c r="AA402" s="5" t="str">
        <f t="shared" si="48"/>
        <v/>
      </c>
    </row>
    <row r="403" spans="1:27" ht="14.5" x14ac:dyDescent="0.35">
      <c r="A403" s="5"/>
      <c r="B403" s="6"/>
      <c r="C403" s="6"/>
      <c r="D403" s="7"/>
      <c r="E403" s="6"/>
      <c r="F403" s="5" t="str">
        <f t="shared" si="42"/>
        <v/>
      </c>
      <c r="G403" s="5"/>
      <c r="H403" s="6"/>
      <c r="I403" s="6"/>
      <c r="J403" s="6"/>
      <c r="K403" s="7"/>
      <c r="L403" s="6"/>
      <c r="M403" s="8" t="str">
        <f t="shared" ca="1" si="43"/>
        <v/>
      </c>
      <c r="N403" s="6"/>
      <c r="O403" s="9"/>
      <c r="P403" s="10"/>
      <c r="Q403" s="6"/>
      <c r="R403" s="6"/>
      <c r="S403" s="6"/>
      <c r="T403" s="6"/>
      <c r="U403" s="6"/>
      <c r="V403" s="6"/>
      <c r="W403" s="6" t="str">
        <f t="shared" si="44"/>
        <v/>
      </c>
      <c r="X403" s="6" t="str">
        <f t="shared" si="45"/>
        <v/>
      </c>
      <c r="Y403" s="6" t="str">
        <f t="shared" si="46"/>
        <v/>
      </c>
      <c r="Z403" s="6" t="str">
        <f t="shared" si="47"/>
        <v/>
      </c>
      <c r="AA403" s="5" t="str">
        <f t="shared" si="48"/>
        <v/>
      </c>
    </row>
    <row r="404" spans="1:27" ht="14.5" x14ac:dyDescent="0.35">
      <c r="A404" s="5"/>
      <c r="B404" s="6"/>
      <c r="C404" s="6"/>
      <c r="D404" s="7"/>
      <c r="E404" s="6"/>
      <c r="F404" s="5" t="str">
        <f t="shared" si="42"/>
        <v/>
      </c>
      <c r="G404" s="5"/>
      <c r="H404" s="6"/>
      <c r="I404" s="6"/>
      <c r="J404" s="6"/>
      <c r="K404" s="7"/>
      <c r="L404" s="6"/>
      <c r="M404" s="8" t="str">
        <f t="shared" ca="1" si="43"/>
        <v/>
      </c>
      <c r="N404" s="6"/>
      <c r="O404" s="9"/>
      <c r="P404" s="10"/>
      <c r="Q404" s="6"/>
      <c r="R404" s="6"/>
      <c r="S404" s="6"/>
      <c r="T404" s="6"/>
      <c r="U404" s="6"/>
      <c r="V404" s="6"/>
      <c r="W404" s="6" t="str">
        <f t="shared" si="44"/>
        <v/>
      </c>
      <c r="X404" s="6" t="str">
        <f t="shared" si="45"/>
        <v/>
      </c>
      <c r="Y404" s="6" t="str">
        <f t="shared" si="46"/>
        <v/>
      </c>
      <c r="Z404" s="6" t="str">
        <f t="shared" si="47"/>
        <v/>
      </c>
      <c r="AA404" s="5" t="str">
        <f t="shared" si="48"/>
        <v/>
      </c>
    </row>
    <row r="405" spans="1:27" ht="14.5" x14ac:dyDescent="0.35">
      <c r="A405" s="5"/>
      <c r="B405" s="6"/>
      <c r="C405" s="6"/>
      <c r="D405" s="7"/>
      <c r="E405" s="6"/>
      <c r="F405" s="5" t="str">
        <f t="shared" si="42"/>
        <v/>
      </c>
      <c r="G405" s="5"/>
      <c r="H405" s="6"/>
      <c r="I405" s="6"/>
      <c r="J405" s="6"/>
      <c r="K405" s="7"/>
      <c r="L405" s="6"/>
      <c r="M405" s="8" t="str">
        <f t="shared" ca="1" si="43"/>
        <v/>
      </c>
      <c r="N405" s="6"/>
      <c r="O405" s="9"/>
      <c r="P405" s="10"/>
      <c r="Q405" s="6"/>
      <c r="R405" s="6"/>
      <c r="S405" s="6"/>
      <c r="T405" s="6"/>
      <c r="U405" s="6"/>
      <c r="V405" s="6"/>
      <c r="W405" s="6" t="str">
        <f t="shared" si="44"/>
        <v/>
      </c>
      <c r="X405" s="6" t="str">
        <f t="shared" si="45"/>
        <v/>
      </c>
      <c r="Y405" s="6" t="str">
        <f t="shared" si="46"/>
        <v/>
      </c>
      <c r="Z405" s="6" t="str">
        <f t="shared" si="47"/>
        <v/>
      </c>
      <c r="AA405" s="5" t="str">
        <f t="shared" si="48"/>
        <v/>
      </c>
    </row>
    <row r="406" spans="1:27" ht="14.5" x14ac:dyDescent="0.35">
      <c r="A406" s="5"/>
      <c r="B406" s="6"/>
      <c r="C406" s="6"/>
      <c r="D406" s="7"/>
      <c r="E406" s="6"/>
      <c r="F406" s="5" t="str">
        <f t="shared" si="42"/>
        <v/>
      </c>
      <c r="G406" s="5"/>
      <c r="H406" s="6"/>
      <c r="I406" s="6"/>
      <c r="J406" s="6"/>
      <c r="K406" s="7"/>
      <c r="L406" s="6"/>
      <c r="M406" s="8" t="str">
        <f t="shared" ca="1" si="43"/>
        <v/>
      </c>
      <c r="N406" s="6"/>
      <c r="O406" s="9"/>
      <c r="P406" s="10"/>
      <c r="Q406" s="6"/>
      <c r="R406" s="6"/>
      <c r="S406" s="6"/>
      <c r="T406" s="6"/>
      <c r="U406" s="6"/>
      <c r="V406" s="6"/>
      <c r="W406" s="6" t="str">
        <f t="shared" si="44"/>
        <v/>
      </c>
      <c r="X406" s="6" t="str">
        <f t="shared" si="45"/>
        <v/>
      </c>
      <c r="Y406" s="6" t="str">
        <f t="shared" si="46"/>
        <v/>
      </c>
      <c r="Z406" s="6" t="str">
        <f t="shared" si="47"/>
        <v/>
      </c>
      <c r="AA406" s="5" t="str">
        <f t="shared" si="48"/>
        <v/>
      </c>
    </row>
    <row r="407" spans="1:27" ht="14.5" x14ac:dyDescent="0.35">
      <c r="A407" s="5"/>
      <c r="B407" s="6"/>
      <c r="C407" s="6"/>
      <c r="D407" s="7"/>
      <c r="E407" s="6"/>
      <c r="F407" s="5" t="str">
        <f t="shared" si="42"/>
        <v/>
      </c>
      <c r="G407" s="5"/>
      <c r="H407" s="6"/>
      <c r="I407" s="6"/>
      <c r="J407" s="6"/>
      <c r="K407" s="7"/>
      <c r="L407" s="6"/>
      <c r="M407" s="8" t="str">
        <f t="shared" ca="1" si="43"/>
        <v/>
      </c>
      <c r="N407" s="6"/>
      <c r="O407" s="9"/>
      <c r="P407" s="10"/>
      <c r="Q407" s="6"/>
      <c r="R407" s="6"/>
      <c r="S407" s="6"/>
      <c r="T407" s="6"/>
      <c r="U407" s="6"/>
      <c r="V407" s="6"/>
      <c r="W407" s="6" t="str">
        <f t="shared" si="44"/>
        <v/>
      </c>
      <c r="X407" s="6" t="str">
        <f t="shared" si="45"/>
        <v/>
      </c>
      <c r="Y407" s="6" t="str">
        <f t="shared" si="46"/>
        <v/>
      </c>
      <c r="Z407" s="6" t="str">
        <f t="shared" si="47"/>
        <v/>
      </c>
      <c r="AA407" s="5" t="str">
        <f t="shared" si="48"/>
        <v/>
      </c>
    </row>
    <row r="408" spans="1:27" ht="14.5" x14ac:dyDescent="0.35">
      <c r="A408" s="5"/>
      <c r="B408" s="6"/>
      <c r="C408" s="6"/>
      <c r="D408" s="7"/>
      <c r="E408" s="6"/>
      <c r="F408" s="5" t="str">
        <f t="shared" si="42"/>
        <v/>
      </c>
      <c r="G408" s="5"/>
      <c r="H408" s="6"/>
      <c r="I408" s="6"/>
      <c r="J408" s="6"/>
      <c r="K408" s="7"/>
      <c r="L408" s="6"/>
      <c r="M408" s="8" t="str">
        <f t="shared" ca="1" si="43"/>
        <v/>
      </c>
      <c r="N408" s="6"/>
      <c r="O408" s="9"/>
      <c r="P408" s="10"/>
      <c r="Q408" s="6"/>
      <c r="R408" s="6"/>
      <c r="S408" s="6"/>
      <c r="T408" s="6"/>
      <c r="U408" s="6"/>
      <c r="V408" s="6"/>
      <c r="W408" s="6" t="str">
        <f t="shared" si="44"/>
        <v/>
      </c>
      <c r="X408" s="6" t="str">
        <f t="shared" si="45"/>
        <v/>
      </c>
      <c r="Y408" s="6" t="str">
        <f t="shared" si="46"/>
        <v/>
      </c>
      <c r="Z408" s="6" t="str">
        <f t="shared" si="47"/>
        <v/>
      </c>
      <c r="AA408" s="5" t="str">
        <f t="shared" si="48"/>
        <v/>
      </c>
    </row>
    <row r="409" spans="1:27" ht="14.5" x14ac:dyDescent="0.35">
      <c r="A409" s="5"/>
      <c r="B409" s="6"/>
      <c r="C409" s="6"/>
      <c r="D409" s="7"/>
      <c r="E409" s="6"/>
      <c r="F409" s="5" t="str">
        <f t="shared" si="42"/>
        <v/>
      </c>
      <c r="G409" s="5"/>
      <c r="H409" s="6"/>
      <c r="I409" s="6"/>
      <c r="J409" s="6"/>
      <c r="K409" s="7"/>
      <c r="L409" s="6"/>
      <c r="M409" s="8" t="str">
        <f t="shared" ca="1" si="43"/>
        <v/>
      </c>
      <c r="N409" s="6"/>
      <c r="O409" s="9"/>
      <c r="P409" s="10"/>
      <c r="Q409" s="6"/>
      <c r="R409" s="6"/>
      <c r="S409" s="6"/>
      <c r="T409" s="6"/>
      <c r="U409" s="6"/>
      <c r="V409" s="6"/>
      <c r="W409" s="6" t="str">
        <f t="shared" si="44"/>
        <v/>
      </c>
      <c r="X409" s="6" t="str">
        <f t="shared" si="45"/>
        <v/>
      </c>
      <c r="Y409" s="6" t="str">
        <f t="shared" si="46"/>
        <v/>
      </c>
      <c r="Z409" s="6" t="str">
        <f t="shared" si="47"/>
        <v/>
      </c>
      <c r="AA409" s="5" t="str">
        <f t="shared" si="48"/>
        <v/>
      </c>
    </row>
    <row r="410" spans="1:27" ht="14.5" x14ac:dyDescent="0.35">
      <c r="A410" s="5"/>
      <c r="B410" s="6"/>
      <c r="C410" s="6"/>
      <c r="D410" s="7"/>
      <c r="E410" s="6"/>
      <c r="F410" s="5" t="str">
        <f t="shared" si="42"/>
        <v/>
      </c>
      <c r="G410" s="5"/>
      <c r="H410" s="6"/>
      <c r="I410" s="6"/>
      <c r="J410" s="6"/>
      <c r="K410" s="7"/>
      <c r="L410" s="6"/>
      <c r="M410" s="8" t="str">
        <f t="shared" ca="1" si="43"/>
        <v/>
      </c>
      <c r="N410" s="6"/>
      <c r="O410" s="9"/>
      <c r="P410" s="10"/>
      <c r="Q410" s="6"/>
      <c r="R410" s="6"/>
      <c r="S410" s="6"/>
      <c r="T410" s="6"/>
      <c r="U410" s="6"/>
      <c r="V410" s="6"/>
      <c r="W410" s="6" t="str">
        <f t="shared" si="44"/>
        <v/>
      </c>
      <c r="X410" s="6" t="str">
        <f t="shared" si="45"/>
        <v/>
      </c>
      <c r="Y410" s="6" t="str">
        <f t="shared" si="46"/>
        <v/>
      </c>
      <c r="Z410" s="6" t="str">
        <f t="shared" si="47"/>
        <v/>
      </c>
      <c r="AA410" s="5" t="str">
        <f t="shared" si="48"/>
        <v/>
      </c>
    </row>
    <row r="411" spans="1:27" ht="14.5" x14ac:dyDescent="0.35">
      <c r="A411" s="5"/>
      <c r="B411" s="6"/>
      <c r="C411" s="6"/>
      <c r="D411" s="7"/>
      <c r="E411" s="6"/>
      <c r="F411" s="5" t="str">
        <f t="shared" si="42"/>
        <v/>
      </c>
      <c r="G411" s="5"/>
      <c r="H411" s="6"/>
      <c r="I411" s="6"/>
      <c r="J411" s="6"/>
      <c r="K411" s="7"/>
      <c r="L411" s="6"/>
      <c r="M411" s="8" t="str">
        <f t="shared" ca="1" si="43"/>
        <v/>
      </c>
      <c r="N411" s="6"/>
      <c r="O411" s="9"/>
      <c r="P411" s="10"/>
      <c r="Q411" s="6"/>
      <c r="R411" s="6"/>
      <c r="S411" s="6"/>
      <c r="T411" s="6"/>
      <c r="U411" s="6"/>
      <c r="V411" s="6"/>
      <c r="W411" s="6" t="str">
        <f t="shared" si="44"/>
        <v/>
      </c>
      <c r="X411" s="6" t="str">
        <f t="shared" si="45"/>
        <v/>
      </c>
      <c r="Y411" s="6" t="str">
        <f t="shared" si="46"/>
        <v/>
      </c>
      <c r="Z411" s="6" t="str">
        <f t="shared" si="47"/>
        <v/>
      </c>
      <c r="AA411" s="5" t="str">
        <f t="shared" si="48"/>
        <v/>
      </c>
    </row>
    <row r="412" spans="1:27" ht="14.5" x14ac:dyDescent="0.35">
      <c r="A412" s="5"/>
      <c r="B412" s="6"/>
      <c r="C412" s="6"/>
      <c r="D412" s="7"/>
      <c r="E412" s="6"/>
      <c r="F412" s="5" t="str">
        <f t="shared" si="42"/>
        <v/>
      </c>
      <c r="G412" s="5"/>
      <c r="H412" s="6"/>
      <c r="I412" s="6"/>
      <c r="J412" s="6"/>
      <c r="K412" s="7"/>
      <c r="L412" s="6"/>
      <c r="M412" s="8" t="str">
        <f t="shared" ca="1" si="43"/>
        <v/>
      </c>
      <c r="N412" s="6"/>
      <c r="O412" s="9"/>
      <c r="P412" s="10"/>
      <c r="Q412" s="6"/>
      <c r="R412" s="6"/>
      <c r="S412" s="6"/>
      <c r="T412" s="6"/>
      <c r="U412" s="6"/>
      <c r="V412" s="6"/>
      <c r="W412" s="6" t="str">
        <f t="shared" si="44"/>
        <v/>
      </c>
      <c r="X412" s="6" t="str">
        <f t="shared" si="45"/>
        <v/>
      </c>
      <c r="Y412" s="6" t="str">
        <f t="shared" si="46"/>
        <v/>
      </c>
      <c r="Z412" s="6" t="str">
        <f t="shared" si="47"/>
        <v/>
      </c>
      <c r="AA412" s="5" t="str">
        <f t="shared" si="48"/>
        <v/>
      </c>
    </row>
    <row r="413" spans="1:27" ht="14.5" x14ac:dyDescent="0.35">
      <c r="A413" s="5"/>
      <c r="B413" s="6"/>
      <c r="C413" s="6"/>
      <c r="D413" s="7"/>
      <c r="E413" s="6"/>
      <c r="F413" s="5" t="str">
        <f t="shared" si="42"/>
        <v/>
      </c>
      <c r="G413" s="5"/>
      <c r="H413" s="6"/>
      <c r="I413" s="6"/>
      <c r="J413" s="6"/>
      <c r="K413" s="7"/>
      <c r="L413" s="6"/>
      <c r="M413" s="8" t="str">
        <f t="shared" ca="1" si="43"/>
        <v/>
      </c>
      <c r="N413" s="6"/>
      <c r="O413" s="9"/>
      <c r="P413" s="10"/>
      <c r="Q413" s="6"/>
      <c r="R413" s="6"/>
      <c r="S413" s="6"/>
      <c r="T413" s="6"/>
      <c r="U413" s="6"/>
      <c r="V413" s="6"/>
      <c r="W413" s="6" t="str">
        <f t="shared" si="44"/>
        <v/>
      </c>
      <c r="X413" s="6" t="str">
        <f t="shared" si="45"/>
        <v/>
      </c>
      <c r="Y413" s="6" t="str">
        <f t="shared" si="46"/>
        <v/>
      </c>
      <c r="Z413" s="6" t="str">
        <f t="shared" si="47"/>
        <v/>
      </c>
      <c r="AA413" s="5" t="str">
        <f t="shared" si="48"/>
        <v/>
      </c>
    </row>
    <row r="414" spans="1:27" ht="14.5" x14ac:dyDescent="0.35">
      <c r="A414" s="5"/>
      <c r="B414" s="6"/>
      <c r="C414" s="6"/>
      <c r="D414" s="7"/>
      <c r="E414" s="6"/>
      <c r="F414" s="5" t="str">
        <f t="shared" si="42"/>
        <v/>
      </c>
      <c r="G414" s="5"/>
      <c r="H414" s="6"/>
      <c r="I414" s="6"/>
      <c r="J414" s="6"/>
      <c r="K414" s="7"/>
      <c r="L414" s="6"/>
      <c r="M414" s="8" t="str">
        <f t="shared" ca="1" si="43"/>
        <v/>
      </c>
      <c r="N414" s="6"/>
      <c r="O414" s="9"/>
      <c r="P414" s="10"/>
      <c r="Q414" s="6"/>
      <c r="R414" s="6"/>
      <c r="S414" s="6"/>
      <c r="T414" s="6"/>
      <c r="U414" s="6"/>
      <c r="V414" s="6"/>
      <c r="W414" s="6" t="str">
        <f t="shared" si="44"/>
        <v/>
      </c>
      <c r="X414" s="6" t="str">
        <f t="shared" si="45"/>
        <v/>
      </c>
      <c r="Y414" s="6" t="str">
        <f t="shared" si="46"/>
        <v/>
      </c>
      <c r="Z414" s="6" t="str">
        <f t="shared" si="47"/>
        <v/>
      </c>
      <c r="AA414" s="5" t="str">
        <f t="shared" si="48"/>
        <v/>
      </c>
    </row>
    <row r="415" spans="1:27" ht="14.5" x14ac:dyDescent="0.35">
      <c r="A415" s="5"/>
      <c r="B415" s="6"/>
      <c r="C415" s="6"/>
      <c r="D415" s="7"/>
      <c r="E415" s="6"/>
      <c r="F415" s="5" t="str">
        <f t="shared" si="42"/>
        <v/>
      </c>
      <c r="G415" s="5"/>
      <c r="H415" s="6"/>
      <c r="I415" s="6"/>
      <c r="J415" s="6"/>
      <c r="K415" s="7"/>
      <c r="L415" s="6"/>
      <c r="M415" s="8" t="str">
        <f t="shared" ca="1" si="43"/>
        <v/>
      </c>
      <c r="N415" s="6"/>
      <c r="O415" s="9"/>
      <c r="P415" s="10"/>
      <c r="Q415" s="6"/>
      <c r="R415" s="6"/>
      <c r="S415" s="6"/>
      <c r="T415" s="6"/>
      <c r="U415" s="6"/>
      <c r="V415" s="6"/>
      <c r="W415" s="6" t="str">
        <f t="shared" si="44"/>
        <v/>
      </c>
      <c r="X415" s="6" t="str">
        <f t="shared" si="45"/>
        <v/>
      </c>
      <c r="Y415" s="6" t="str">
        <f t="shared" si="46"/>
        <v/>
      </c>
      <c r="Z415" s="6" t="str">
        <f t="shared" si="47"/>
        <v/>
      </c>
      <c r="AA415" s="5" t="str">
        <f t="shared" si="48"/>
        <v/>
      </c>
    </row>
    <row r="416" spans="1:27" ht="14.5" x14ac:dyDescent="0.35">
      <c r="A416" s="5"/>
      <c r="B416" s="6"/>
      <c r="C416" s="6"/>
      <c r="D416" s="7"/>
      <c r="E416" s="6"/>
      <c r="F416" s="5" t="str">
        <f t="shared" si="42"/>
        <v/>
      </c>
      <c r="G416" s="5"/>
      <c r="H416" s="6"/>
      <c r="I416" s="6"/>
      <c r="J416" s="6"/>
      <c r="K416" s="7"/>
      <c r="L416" s="6"/>
      <c r="M416" s="8" t="str">
        <f t="shared" ca="1" si="43"/>
        <v/>
      </c>
      <c r="N416" s="6"/>
      <c r="O416" s="9"/>
      <c r="P416" s="10"/>
      <c r="Q416" s="6"/>
      <c r="R416" s="6"/>
      <c r="S416" s="6"/>
      <c r="T416" s="6"/>
      <c r="U416" s="6"/>
      <c r="V416" s="6"/>
      <c r="W416" s="6" t="str">
        <f t="shared" si="44"/>
        <v/>
      </c>
      <c r="X416" s="6" t="str">
        <f t="shared" si="45"/>
        <v/>
      </c>
      <c r="Y416" s="6" t="str">
        <f t="shared" si="46"/>
        <v/>
      </c>
      <c r="Z416" s="6" t="str">
        <f t="shared" si="47"/>
        <v/>
      </c>
      <c r="AA416" s="5" t="str">
        <f t="shared" si="48"/>
        <v/>
      </c>
    </row>
    <row r="417" spans="1:27" ht="14.5" x14ac:dyDescent="0.35">
      <c r="A417" s="5"/>
      <c r="B417" s="6"/>
      <c r="C417" s="6"/>
      <c r="D417" s="7"/>
      <c r="E417" s="6"/>
      <c r="F417" s="5" t="str">
        <f t="shared" si="42"/>
        <v/>
      </c>
      <c r="G417" s="5"/>
      <c r="H417" s="6"/>
      <c r="I417" s="6"/>
      <c r="J417" s="6"/>
      <c r="K417" s="7"/>
      <c r="L417" s="6"/>
      <c r="M417" s="8" t="str">
        <f t="shared" ca="1" si="43"/>
        <v/>
      </c>
      <c r="N417" s="6"/>
      <c r="O417" s="9"/>
      <c r="P417" s="10"/>
      <c r="Q417" s="6"/>
      <c r="R417" s="6"/>
      <c r="S417" s="6"/>
      <c r="T417" s="6"/>
      <c r="U417" s="6"/>
      <c r="V417" s="6"/>
      <c r="W417" s="6" t="str">
        <f t="shared" si="44"/>
        <v/>
      </c>
      <c r="X417" s="6" t="str">
        <f t="shared" si="45"/>
        <v/>
      </c>
      <c r="Y417" s="6" t="str">
        <f t="shared" si="46"/>
        <v/>
      </c>
      <c r="Z417" s="6" t="str">
        <f t="shared" si="47"/>
        <v/>
      </c>
      <c r="AA417" s="5" t="str">
        <f t="shared" si="48"/>
        <v/>
      </c>
    </row>
    <row r="418" spans="1:27" ht="14.5" x14ac:dyDescent="0.35">
      <c r="A418" s="5"/>
      <c r="B418" s="6"/>
      <c r="C418" s="6"/>
      <c r="D418" s="7"/>
      <c r="E418" s="6"/>
      <c r="F418" s="5" t="str">
        <f t="shared" si="42"/>
        <v/>
      </c>
      <c r="G418" s="5"/>
      <c r="H418" s="6"/>
      <c r="I418" s="6"/>
      <c r="J418" s="6"/>
      <c r="K418" s="7"/>
      <c r="L418" s="6"/>
      <c r="M418" s="8" t="str">
        <f t="shared" ca="1" si="43"/>
        <v/>
      </c>
      <c r="N418" s="6"/>
      <c r="O418" s="9"/>
      <c r="P418" s="10"/>
      <c r="Q418" s="6"/>
      <c r="R418" s="6"/>
      <c r="S418" s="6"/>
      <c r="T418" s="6"/>
      <c r="U418" s="6"/>
      <c r="V418" s="6"/>
      <c r="W418" s="6" t="str">
        <f t="shared" si="44"/>
        <v/>
      </c>
      <c r="X418" s="6" t="str">
        <f t="shared" si="45"/>
        <v/>
      </c>
      <c r="Y418" s="6" t="str">
        <f t="shared" si="46"/>
        <v/>
      </c>
      <c r="Z418" s="6" t="str">
        <f t="shared" si="47"/>
        <v/>
      </c>
      <c r="AA418" s="5" t="str">
        <f t="shared" si="48"/>
        <v/>
      </c>
    </row>
    <row r="419" spans="1:27" ht="14.5" x14ac:dyDescent="0.35">
      <c r="A419" s="5"/>
      <c r="B419" s="6"/>
      <c r="C419" s="6"/>
      <c r="D419" s="7"/>
      <c r="E419" s="6"/>
      <c r="F419" s="5" t="str">
        <f t="shared" si="42"/>
        <v/>
      </c>
      <c r="G419" s="5"/>
      <c r="H419" s="6"/>
      <c r="I419" s="6"/>
      <c r="J419" s="6"/>
      <c r="K419" s="7"/>
      <c r="L419" s="6"/>
      <c r="M419" s="8" t="str">
        <f t="shared" ca="1" si="43"/>
        <v/>
      </c>
      <c r="N419" s="6"/>
      <c r="O419" s="9"/>
      <c r="P419" s="10"/>
      <c r="Q419" s="6"/>
      <c r="R419" s="6"/>
      <c r="S419" s="6"/>
      <c r="T419" s="6"/>
      <c r="U419" s="6"/>
      <c r="V419" s="6"/>
      <c r="W419" s="6" t="str">
        <f t="shared" si="44"/>
        <v/>
      </c>
      <c r="X419" s="6" t="str">
        <f t="shared" si="45"/>
        <v/>
      </c>
      <c r="Y419" s="6" t="str">
        <f t="shared" si="46"/>
        <v/>
      </c>
      <c r="Z419" s="6" t="str">
        <f t="shared" si="47"/>
        <v/>
      </c>
      <c r="AA419" s="5" t="str">
        <f t="shared" si="48"/>
        <v/>
      </c>
    </row>
    <row r="420" spans="1:27" ht="14.5" x14ac:dyDescent="0.35">
      <c r="A420" s="5"/>
      <c r="B420" s="6"/>
      <c r="C420" s="6"/>
      <c r="D420" s="7"/>
      <c r="E420" s="6"/>
      <c r="F420" s="5" t="str">
        <f t="shared" si="42"/>
        <v/>
      </c>
      <c r="G420" s="5"/>
      <c r="H420" s="6"/>
      <c r="I420" s="6"/>
      <c r="J420" s="6"/>
      <c r="K420" s="7"/>
      <c r="L420" s="6"/>
      <c r="M420" s="8" t="str">
        <f t="shared" ca="1" si="43"/>
        <v/>
      </c>
      <c r="N420" s="6"/>
      <c r="O420" s="9"/>
      <c r="P420" s="10"/>
      <c r="Q420" s="6"/>
      <c r="R420" s="6"/>
      <c r="S420" s="6"/>
      <c r="T420" s="6"/>
      <c r="U420" s="6"/>
      <c r="V420" s="6"/>
      <c r="W420" s="6" t="str">
        <f t="shared" si="44"/>
        <v/>
      </c>
      <c r="X420" s="6" t="str">
        <f t="shared" si="45"/>
        <v/>
      </c>
      <c r="Y420" s="6" t="str">
        <f t="shared" si="46"/>
        <v/>
      </c>
      <c r="Z420" s="6" t="str">
        <f t="shared" si="47"/>
        <v/>
      </c>
      <c r="AA420" s="5" t="str">
        <f t="shared" si="48"/>
        <v/>
      </c>
    </row>
    <row r="421" spans="1:27" ht="14.5" x14ac:dyDescent="0.35">
      <c r="A421" s="5"/>
      <c r="B421" s="6"/>
      <c r="C421" s="6"/>
      <c r="D421" s="7"/>
      <c r="E421" s="6"/>
      <c r="F421" s="5" t="str">
        <f t="shared" si="42"/>
        <v/>
      </c>
      <c r="G421" s="5"/>
      <c r="H421" s="6"/>
      <c r="I421" s="6"/>
      <c r="J421" s="6"/>
      <c r="K421" s="7"/>
      <c r="L421" s="6"/>
      <c r="M421" s="8" t="str">
        <f t="shared" ca="1" si="43"/>
        <v/>
      </c>
      <c r="N421" s="6"/>
      <c r="O421" s="9"/>
      <c r="P421" s="10"/>
      <c r="Q421" s="6"/>
      <c r="R421" s="6"/>
      <c r="S421" s="6"/>
      <c r="T421" s="6"/>
      <c r="U421" s="6"/>
      <c r="V421" s="6"/>
      <c r="W421" s="6" t="str">
        <f t="shared" si="44"/>
        <v/>
      </c>
      <c r="X421" s="6" t="str">
        <f t="shared" si="45"/>
        <v/>
      </c>
      <c r="Y421" s="6" t="str">
        <f t="shared" si="46"/>
        <v/>
      </c>
      <c r="Z421" s="6" t="str">
        <f t="shared" si="47"/>
        <v/>
      </c>
      <c r="AA421" s="5" t="str">
        <f t="shared" si="48"/>
        <v/>
      </c>
    </row>
    <row r="422" spans="1:27" ht="14.5" x14ac:dyDescent="0.35">
      <c r="A422" s="5"/>
      <c r="B422" s="6"/>
      <c r="C422" s="6"/>
      <c r="D422" s="7"/>
      <c r="E422" s="6"/>
      <c r="F422" s="5" t="str">
        <f t="shared" si="42"/>
        <v/>
      </c>
      <c r="G422" s="5"/>
      <c r="H422" s="6"/>
      <c r="I422" s="6"/>
      <c r="J422" s="6"/>
      <c r="K422" s="7"/>
      <c r="L422" s="6"/>
      <c r="M422" s="8" t="str">
        <f t="shared" ca="1" si="43"/>
        <v/>
      </c>
      <c r="N422" s="6"/>
      <c r="O422" s="9"/>
      <c r="P422" s="10"/>
      <c r="Q422" s="6"/>
      <c r="R422" s="6"/>
      <c r="S422" s="6"/>
      <c r="T422" s="6"/>
      <c r="U422" s="6"/>
      <c r="V422" s="6"/>
      <c r="W422" s="6" t="str">
        <f t="shared" si="44"/>
        <v/>
      </c>
      <c r="X422" s="6" t="str">
        <f t="shared" si="45"/>
        <v/>
      </c>
      <c r="Y422" s="6" t="str">
        <f t="shared" si="46"/>
        <v/>
      </c>
      <c r="Z422" s="6" t="str">
        <f t="shared" si="47"/>
        <v/>
      </c>
      <c r="AA422" s="5" t="str">
        <f t="shared" si="48"/>
        <v/>
      </c>
    </row>
    <row r="423" spans="1:27" ht="14.5" x14ac:dyDescent="0.35">
      <c r="A423" s="5"/>
      <c r="B423" s="6"/>
      <c r="C423" s="6"/>
      <c r="D423" s="7"/>
      <c r="E423" s="6"/>
      <c r="F423" s="5" t="str">
        <f t="shared" si="42"/>
        <v/>
      </c>
      <c r="G423" s="5"/>
      <c r="H423" s="6"/>
      <c r="I423" s="6"/>
      <c r="J423" s="6"/>
      <c r="K423" s="7"/>
      <c r="L423" s="6"/>
      <c r="M423" s="8" t="str">
        <f t="shared" ca="1" si="43"/>
        <v/>
      </c>
      <c r="N423" s="6"/>
      <c r="O423" s="9"/>
      <c r="P423" s="10"/>
      <c r="Q423" s="6"/>
      <c r="R423" s="6"/>
      <c r="S423" s="6"/>
      <c r="T423" s="6"/>
      <c r="U423" s="6"/>
      <c r="V423" s="6"/>
      <c r="W423" s="6" t="str">
        <f t="shared" si="44"/>
        <v/>
      </c>
      <c r="X423" s="6" t="str">
        <f t="shared" si="45"/>
        <v/>
      </c>
      <c r="Y423" s="6" t="str">
        <f t="shared" si="46"/>
        <v/>
      </c>
      <c r="Z423" s="6" t="str">
        <f t="shared" si="47"/>
        <v/>
      </c>
      <c r="AA423" s="5" t="str">
        <f t="shared" si="48"/>
        <v/>
      </c>
    </row>
    <row r="424" spans="1:27" ht="14.5" x14ac:dyDescent="0.35">
      <c r="A424" s="5"/>
      <c r="B424" s="6"/>
      <c r="C424" s="6"/>
      <c r="D424" s="7"/>
      <c r="E424" s="6"/>
      <c r="F424" s="5" t="str">
        <f t="shared" si="42"/>
        <v/>
      </c>
      <c r="G424" s="5"/>
      <c r="H424" s="6"/>
      <c r="I424" s="6"/>
      <c r="J424" s="6"/>
      <c r="K424" s="7"/>
      <c r="L424" s="6"/>
      <c r="M424" s="8" t="str">
        <f t="shared" ca="1" si="43"/>
        <v/>
      </c>
      <c r="N424" s="6"/>
      <c r="O424" s="9"/>
      <c r="P424" s="10"/>
      <c r="Q424" s="6"/>
      <c r="R424" s="6"/>
      <c r="S424" s="6"/>
      <c r="T424" s="6"/>
      <c r="U424" s="6"/>
      <c r="V424" s="6"/>
      <c r="W424" s="6" t="str">
        <f t="shared" si="44"/>
        <v/>
      </c>
      <c r="X424" s="6" t="str">
        <f t="shared" si="45"/>
        <v/>
      </c>
      <c r="Y424" s="6" t="str">
        <f t="shared" si="46"/>
        <v/>
      </c>
      <c r="Z424" s="6" t="str">
        <f t="shared" si="47"/>
        <v/>
      </c>
      <c r="AA424" s="5" t="str">
        <f t="shared" si="48"/>
        <v/>
      </c>
    </row>
    <row r="425" spans="1:27" ht="14.5" x14ac:dyDescent="0.35">
      <c r="A425" s="5"/>
      <c r="B425" s="6"/>
      <c r="C425" s="6"/>
      <c r="D425" s="7"/>
      <c r="E425" s="6"/>
      <c r="F425" s="5" t="str">
        <f t="shared" si="42"/>
        <v/>
      </c>
      <c r="G425" s="5"/>
      <c r="H425" s="6"/>
      <c r="I425" s="6"/>
      <c r="J425" s="6"/>
      <c r="K425" s="7"/>
      <c r="L425" s="6"/>
      <c r="M425" s="8" t="str">
        <f t="shared" ca="1" si="43"/>
        <v/>
      </c>
      <c r="N425" s="6"/>
      <c r="O425" s="9"/>
      <c r="P425" s="10"/>
      <c r="Q425" s="6"/>
      <c r="R425" s="6"/>
      <c r="S425" s="6"/>
      <c r="T425" s="6"/>
      <c r="U425" s="6"/>
      <c r="V425" s="6"/>
      <c r="W425" s="6" t="str">
        <f t="shared" si="44"/>
        <v/>
      </c>
      <c r="X425" s="6" t="str">
        <f t="shared" si="45"/>
        <v/>
      </c>
      <c r="Y425" s="6" t="str">
        <f t="shared" si="46"/>
        <v/>
      </c>
      <c r="Z425" s="6" t="str">
        <f t="shared" si="47"/>
        <v/>
      </c>
      <c r="AA425" s="5" t="str">
        <f t="shared" si="48"/>
        <v/>
      </c>
    </row>
    <row r="426" spans="1:27" ht="14.5" x14ac:dyDescent="0.35">
      <c r="A426" s="5"/>
      <c r="B426" s="6"/>
      <c r="C426" s="6"/>
      <c r="D426" s="7"/>
      <c r="E426" s="6"/>
      <c r="F426" s="5" t="str">
        <f t="shared" si="42"/>
        <v/>
      </c>
      <c r="G426" s="5"/>
      <c r="H426" s="6"/>
      <c r="I426" s="6"/>
      <c r="J426" s="6"/>
      <c r="K426" s="7"/>
      <c r="L426" s="6"/>
      <c r="M426" s="8" t="str">
        <f t="shared" ca="1" si="43"/>
        <v/>
      </c>
      <c r="N426" s="6"/>
      <c r="O426" s="9"/>
      <c r="P426" s="10"/>
      <c r="Q426" s="6"/>
      <c r="R426" s="6"/>
      <c r="S426" s="6"/>
      <c r="T426" s="6"/>
      <c r="U426" s="6"/>
      <c r="V426" s="6"/>
      <c r="W426" s="6" t="str">
        <f t="shared" si="44"/>
        <v/>
      </c>
      <c r="X426" s="6" t="str">
        <f t="shared" si="45"/>
        <v/>
      </c>
      <c r="Y426" s="6" t="str">
        <f t="shared" si="46"/>
        <v/>
      </c>
      <c r="Z426" s="6" t="str">
        <f t="shared" si="47"/>
        <v/>
      </c>
      <c r="AA426" s="5" t="str">
        <f t="shared" si="48"/>
        <v/>
      </c>
    </row>
    <row r="427" spans="1:27" ht="14.5" x14ac:dyDescent="0.35">
      <c r="A427" s="5"/>
      <c r="B427" s="6"/>
      <c r="C427" s="6"/>
      <c r="D427" s="7"/>
      <c r="E427" s="6"/>
      <c r="F427" s="5" t="str">
        <f t="shared" si="42"/>
        <v/>
      </c>
      <c r="G427" s="5"/>
      <c r="H427" s="6"/>
      <c r="I427" s="6"/>
      <c r="J427" s="6"/>
      <c r="K427" s="7"/>
      <c r="L427" s="6"/>
      <c r="M427" s="8" t="str">
        <f t="shared" ca="1" si="43"/>
        <v/>
      </c>
      <c r="N427" s="6"/>
      <c r="O427" s="9"/>
      <c r="P427" s="10"/>
      <c r="Q427" s="6"/>
      <c r="R427" s="6"/>
      <c r="S427" s="6"/>
      <c r="T427" s="6"/>
      <c r="U427" s="6"/>
      <c r="V427" s="6"/>
      <c r="W427" s="6" t="str">
        <f t="shared" si="44"/>
        <v/>
      </c>
      <c r="X427" s="6" t="str">
        <f t="shared" si="45"/>
        <v/>
      </c>
      <c r="Y427" s="6" t="str">
        <f t="shared" si="46"/>
        <v/>
      </c>
      <c r="Z427" s="6" t="str">
        <f t="shared" si="47"/>
        <v/>
      </c>
      <c r="AA427" s="5" t="str">
        <f t="shared" si="48"/>
        <v/>
      </c>
    </row>
    <row r="428" spans="1:27" ht="14.5" x14ac:dyDescent="0.35">
      <c r="A428" s="5"/>
      <c r="B428" s="6"/>
      <c r="C428" s="6"/>
      <c r="D428" s="7"/>
      <c r="E428" s="6"/>
      <c r="F428" s="5" t="str">
        <f t="shared" si="42"/>
        <v/>
      </c>
      <c r="G428" s="5"/>
      <c r="H428" s="6"/>
      <c r="I428" s="6"/>
      <c r="J428" s="6"/>
      <c r="K428" s="7"/>
      <c r="L428" s="6"/>
      <c r="M428" s="8" t="str">
        <f t="shared" ca="1" si="43"/>
        <v/>
      </c>
      <c r="N428" s="6"/>
      <c r="O428" s="9"/>
      <c r="P428" s="10"/>
      <c r="Q428" s="6"/>
      <c r="R428" s="6"/>
      <c r="S428" s="6"/>
      <c r="T428" s="6"/>
      <c r="U428" s="6"/>
      <c r="V428" s="6"/>
      <c r="W428" s="6" t="str">
        <f t="shared" si="44"/>
        <v/>
      </c>
      <c r="X428" s="6" t="str">
        <f t="shared" si="45"/>
        <v/>
      </c>
      <c r="Y428" s="6" t="str">
        <f t="shared" si="46"/>
        <v/>
      </c>
      <c r="Z428" s="6" t="str">
        <f t="shared" si="47"/>
        <v/>
      </c>
      <c r="AA428" s="5" t="str">
        <f t="shared" si="48"/>
        <v/>
      </c>
    </row>
    <row r="429" spans="1:27" ht="14.5" x14ac:dyDescent="0.35">
      <c r="A429" s="5"/>
      <c r="B429" s="6"/>
      <c r="C429" s="6"/>
      <c r="D429" s="7"/>
      <c r="E429" s="6"/>
      <c r="F429" s="5" t="str">
        <f t="shared" si="42"/>
        <v/>
      </c>
      <c r="G429" s="5"/>
      <c r="H429" s="6"/>
      <c r="I429" s="6"/>
      <c r="J429" s="6"/>
      <c r="K429" s="7"/>
      <c r="L429" s="6"/>
      <c r="M429" s="8" t="str">
        <f t="shared" ca="1" si="43"/>
        <v/>
      </c>
      <c r="N429" s="6"/>
      <c r="O429" s="9"/>
      <c r="P429" s="10"/>
      <c r="Q429" s="6"/>
      <c r="R429" s="6"/>
      <c r="S429" s="6"/>
      <c r="T429" s="6"/>
      <c r="U429" s="6"/>
      <c r="V429" s="6"/>
      <c r="W429" s="6" t="str">
        <f t="shared" si="44"/>
        <v/>
      </c>
      <c r="X429" s="6" t="str">
        <f t="shared" si="45"/>
        <v/>
      </c>
      <c r="Y429" s="6" t="str">
        <f t="shared" si="46"/>
        <v/>
      </c>
      <c r="Z429" s="6" t="str">
        <f t="shared" si="47"/>
        <v/>
      </c>
      <c r="AA429" s="5" t="str">
        <f t="shared" si="48"/>
        <v/>
      </c>
    </row>
    <row r="430" spans="1:27" ht="14.5" x14ac:dyDescent="0.35">
      <c r="A430" s="5"/>
      <c r="B430" s="6"/>
      <c r="C430" s="6"/>
      <c r="D430" s="7"/>
      <c r="E430" s="6"/>
      <c r="F430" s="5" t="str">
        <f t="shared" si="42"/>
        <v/>
      </c>
      <c r="G430" s="5"/>
      <c r="H430" s="6"/>
      <c r="I430" s="6"/>
      <c r="J430" s="6"/>
      <c r="K430" s="7"/>
      <c r="L430" s="6"/>
      <c r="M430" s="8" t="str">
        <f t="shared" ca="1" si="43"/>
        <v/>
      </c>
      <c r="N430" s="6"/>
      <c r="O430" s="9"/>
      <c r="P430" s="10"/>
      <c r="Q430" s="6"/>
      <c r="R430" s="6"/>
      <c r="S430" s="6"/>
      <c r="T430" s="6"/>
      <c r="U430" s="6"/>
      <c r="V430" s="6"/>
      <c r="W430" s="6" t="str">
        <f t="shared" si="44"/>
        <v/>
      </c>
      <c r="X430" s="6" t="str">
        <f t="shared" si="45"/>
        <v/>
      </c>
      <c r="Y430" s="6" t="str">
        <f t="shared" si="46"/>
        <v/>
      </c>
      <c r="Z430" s="6" t="str">
        <f t="shared" si="47"/>
        <v/>
      </c>
      <c r="AA430" s="5" t="str">
        <f t="shared" si="48"/>
        <v/>
      </c>
    </row>
    <row r="431" spans="1:27" ht="14.5" x14ac:dyDescent="0.35">
      <c r="A431" s="5"/>
      <c r="B431" s="6"/>
      <c r="C431" s="6"/>
      <c r="D431" s="7"/>
      <c r="E431" s="6"/>
      <c r="F431" s="5" t="str">
        <f t="shared" si="42"/>
        <v/>
      </c>
      <c r="G431" s="5"/>
      <c r="H431" s="6"/>
      <c r="I431" s="6"/>
      <c r="J431" s="6"/>
      <c r="K431" s="7"/>
      <c r="L431" s="6"/>
      <c r="M431" s="8" t="str">
        <f t="shared" ca="1" si="43"/>
        <v/>
      </c>
      <c r="N431" s="6"/>
      <c r="O431" s="9"/>
      <c r="P431" s="10"/>
      <c r="Q431" s="6"/>
      <c r="R431" s="6"/>
      <c r="S431" s="6"/>
      <c r="T431" s="6"/>
      <c r="U431" s="6"/>
      <c r="V431" s="6"/>
      <c r="W431" s="6" t="str">
        <f t="shared" si="44"/>
        <v/>
      </c>
      <c r="X431" s="6" t="str">
        <f t="shared" si="45"/>
        <v/>
      </c>
      <c r="Y431" s="6" t="str">
        <f t="shared" si="46"/>
        <v/>
      </c>
      <c r="Z431" s="6" t="str">
        <f t="shared" si="47"/>
        <v/>
      </c>
      <c r="AA431" s="5" t="str">
        <f t="shared" si="48"/>
        <v/>
      </c>
    </row>
    <row r="432" spans="1:27" ht="14.5" x14ac:dyDescent="0.35">
      <c r="A432" s="5"/>
      <c r="B432" s="6"/>
      <c r="C432" s="6"/>
      <c r="D432" s="7"/>
      <c r="E432" s="6"/>
      <c r="F432" s="5" t="str">
        <f t="shared" si="42"/>
        <v/>
      </c>
      <c r="G432" s="5"/>
      <c r="H432" s="6"/>
      <c r="I432" s="6"/>
      <c r="J432" s="6"/>
      <c r="K432" s="7"/>
      <c r="L432" s="6"/>
      <c r="M432" s="8" t="str">
        <f t="shared" ca="1" si="43"/>
        <v/>
      </c>
      <c r="N432" s="6"/>
      <c r="O432" s="9"/>
      <c r="P432" s="10"/>
      <c r="Q432" s="6"/>
      <c r="R432" s="6"/>
      <c r="S432" s="6"/>
      <c r="T432" s="6"/>
      <c r="U432" s="6"/>
      <c r="V432" s="6"/>
      <c r="W432" s="6" t="str">
        <f t="shared" si="44"/>
        <v/>
      </c>
      <c r="X432" s="6" t="str">
        <f t="shared" si="45"/>
        <v/>
      </c>
      <c r="Y432" s="6" t="str">
        <f t="shared" si="46"/>
        <v/>
      </c>
      <c r="Z432" s="6" t="str">
        <f t="shared" si="47"/>
        <v/>
      </c>
      <c r="AA432" s="5" t="str">
        <f t="shared" si="48"/>
        <v/>
      </c>
    </row>
    <row r="433" spans="1:27" ht="14.5" x14ac:dyDescent="0.35">
      <c r="A433" s="5"/>
      <c r="B433" s="6"/>
      <c r="C433" s="6"/>
      <c r="D433" s="7"/>
      <c r="E433" s="6"/>
      <c r="F433" s="5" t="str">
        <f t="shared" si="42"/>
        <v/>
      </c>
      <c r="G433" s="5"/>
      <c r="H433" s="6"/>
      <c r="I433" s="6"/>
      <c r="J433" s="6"/>
      <c r="K433" s="7"/>
      <c r="L433" s="6"/>
      <c r="M433" s="8" t="str">
        <f t="shared" ca="1" si="43"/>
        <v/>
      </c>
      <c r="N433" s="6"/>
      <c r="O433" s="9"/>
      <c r="P433" s="10"/>
      <c r="Q433" s="6"/>
      <c r="R433" s="6"/>
      <c r="S433" s="6"/>
      <c r="T433" s="6"/>
      <c r="U433" s="6"/>
      <c r="V433" s="6"/>
      <c r="W433" s="6" t="str">
        <f t="shared" si="44"/>
        <v/>
      </c>
      <c r="X433" s="6" t="str">
        <f t="shared" si="45"/>
        <v/>
      </c>
      <c r="Y433" s="6" t="str">
        <f t="shared" si="46"/>
        <v/>
      </c>
      <c r="Z433" s="6" t="str">
        <f t="shared" si="47"/>
        <v/>
      </c>
      <c r="AA433" s="5" t="str">
        <f t="shared" si="48"/>
        <v/>
      </c>
    </row>
    <row r="434" spans="1:27" ht="14.5" x14ac:dyDescent="0.35">
      <c r="A434" s="5"/>
      <c r="B434" s="6"/>
      <c r="C434" s="6"/>
      <c r="D434" s="7"/>
      <c r="E434" s="6"/>
      <c r="F434" s="5" t="str">
        <f t="shared" si="42"/>
        <v/>
      </c>
      <c r="G434" s="5"/>
      <c r="H434" s="6"/>
      <c r="I434" s="6"/>
      <c r="J434" s="6"/>
      <c r="K434" s="7"/>
      <c r="L434" s="6"/>
      <c r="M434" s="8" t="str">
        <f t="shared" ca="1" si="43"/>
        <v/>
      </c>
      <c r="N434" s="6"/>
      <c r="O434" s="9"/>
      <c r="P434" s="10"/>
      <c r="Q434" s="6"/>
      <c r="R434" s="6"/>
      <c r="S434" s="6"/>
      <c r="T434" s="6"/>
      <c r="U434" s="6"/>
      <c r="V434" s="6"/>
      <c r="W434" s="6" t="str">
        <f t="shared" si="44"/>
        <v/>
      </c>
      <c r="X434" s="6" t="str">
        <f t="shared" si="45"/>
        <v/>
      </c>
      <c r="Y434" s="6" t="str">
        <f t="shared" si="46"/>
        <v/>
      </c>
      <c r="Z434" s="6" t="str">
        <f t="shared" si="47"/>
        <v/>
      </c>
      <c r="AA434" s="5" t="str">
        <f t="shared" si="48"/>
        <v/>
      </c>
    </row>
    <row r="435" spans="1:27" ht="14.5" x14ac:dyDescent="0.35">
      <c r="A435" s="5"/>
      <c r="B435" s="6"/>
      <c r="C435" s="6"/>
      <c r="D435" s="7"/>
      <c r="E435" s="6"/>
      <c r="F435" s="5" t="str">
        <f t="shared" si="42"/>
        <v/>
      </c>
      <c r="G435" s="5"/>
      <c r="H435" s="6"/>
      <c r="I435" s="6"/>
      <c r="J435" s="6"/>
      <c r="K435" s="7"/>
      <c r="L435" s="6"/>
      <c r="M435" s="8" t="str">
        <f t="shared" ca="1" si="43"/>
        <v/>
      </c>
      <c r="N435" s="6"/>
      <c r="O435" s="9"/>
      <c r="P435" s="10"/>
      <c r="Q435" s="6"/>
      <c r="R435" s="6"/>
      <c r="S435" s="6"/>
      <c r="T435" s="6"/>
      <c r="U435" s="6"/>
      <c r="V435" s="6"/>
      <c r="W435" s="6" t="str">
        <f t="shared" si="44"/>
        <v/>
      </c>
      <c r="X435" s="6" t="str">
        <f t="shared" si="45"/>
        <v/>
      </c>
      <c r="Y435" s="6" t="str">
        <f t="shared" si="46"/>
        <v/>
      </c>
      <c r="Z435" s="6" t="str">
        <f t="shared" si="47"/>
        <v/>
      </c>
      <c r="AA435" s="5" t="str">
        <f t="shared" si="48"/>
        <v/>
      </c>
    </row>
    <row r="436" spans="1:27" ht="14.5" x14ac:dyDescent="0.35">
      <c r="A436" s="5"/>
      <c r="B436" s="6"/>
      <c r="C436" s="6"/>
      <c r="D436" s="7"/>
      <c r="E436" s="6"/>
      <c r="F436" s="5" t="str">
        <f t="shared" si="42"/>
        <v/>
      </c>
      <c r="G436" s="5"/>
      <c r="H436" s="6"/>
      <c r="I436" s="6"/>
      <c r="J436" s="6"/>
      <c r="K436" s="7"/>
      <c r="L436" s="6"/>
      <c r="M436" s="8" t="str">
        <f t="shared" ca="1" si="43"/>
        <v/>
      </c>
      <c r="N436" s="6"/>
      <c r="O436" s="9"/>
      <c r="P436" s="10"/>
      <c r="Q436" s="6"/>
      <c r="R436" s="6"/>
      <c r="S436" s="6"/>
      <c r="T436" s="6"/>
      <c r="U436" s="6"/>
      <c r="V436" s="6"/>
      <c r="W436" s="6" t="str">
        <f t="shared" si="44"/>
        <v/>
      </c>
      <c r="X436" s="6" t="str">
        <f t="shared" si="45"/>
        <v/>
      </c>
      <c r="Y436" s="6" t="str">
        <f t="shared" si="46"/>
        <v/>
      </c>
      <c r="Z436" s="6" t="str">
        <f t="shared" si="47"/>
        <v/>
      </c>
      <c r="AA436" s="5" t="str">
        <f t="shared" si="48"/>
        <v/>
      </c>
    </row>
    <row r="437" spans="1:27" ht="14.5" x14ac:dyDescent="0.35">
      <c r="A437" s="5"/>
      <c r="B437" s="6"/>
      <c r="C437" s="6"/>
      <c r="D437" s="7"/>
      <c r="E437" s="6"/>
      <c r="F437" s="5" t="str">
        <f t="shared" si="42"/>
        <v/>
      </c>
      <c r="G437" s="5"/>
      <c r="H437" s="6"/>
      <c r="I437" s="6"/>
      <c r="J437" s="6"/>
      <c r="K437" s="7"/>
      <c r="L437" s="6"/>
      <c r="M437" s="8" t="str">
        <f t="shared" ca="1" si="43"/>
        <v/>
      </c>
      <c r="N437" s="6"/>
      <c r="O437" s="9"/>
      <c r="P437" s="10"/>
      <c r="Q437" s="6"/>
      <c r="R437" s="6"/>
      <c r="S437" s="6"/>
      <c r="T437" s="6"/>
      <c r="U437" s="6"/>
      <c r="V437" s="6"/>
      <c r="W437" s="6" t="str">
        <f t="shared" si="44"/>
        <v/>
      </c>
      <c r="X437" s="6" t="str">
        <f t="shared" si="45"/>
        <v/>
      </c>
      <c r="Y437" s="6" t="str">
        <f t="shared" si="46"/>
        <v/>
      </c>
      <c r="Z437" s="6" t="str">
        <f t="shared" si="47"/>
        <v/>
      </c>
      <c r="AA437" s="5" t="str">
        <f t="shared" si="48"/>
        <v/>
      </c>
    </row>
    <row r="438" spans="1:27" ht="14.5" x14ac:dyDescent="0.35">
      <c r="A438" s="5"/>
      <c r="B438" s="6"/>
      <c r="C438" s="6"/>
      <c r="D438" s="7"/>
      <c r="E438" s="6"/>
      <c r="F438" s="5" t="str">
        <f t="shared" si="42"/>
        <v/>
      </c>
      <c r="G438" s="5"/>
      <c r="H438" s="6"/>
      <c r="I438" s="6"/>
      <c r="J438" s="6"/>
      <c r="K438" s="7"/>
      <c r="L438" s="6"/>
      <c r="M438" s="8" t="str">
        <f t="shared" ca="1" si="43"/>
        <v/>
      </c>
      <c r="N438" s="6"/>
      <c r="O438" s="9"/>
      <c r="P438" s="10"/>
      <c r="Q438" s="6"/>
      <c r="R438" s="6"/>
      <c r="S438" s="6"/>
      <c r="T438" s="6"/>
      <c r="U438" s="6"/>
      <c r="V438" s="6"/>
      <c r="W438" s="6" t="str">
        <f t="shared" si="44"/>
        <v/>
      </c>
      <c r="X438" s="6" t="str">
        <f t="shared" si="45"/>
        <v/>
      </c>
      <c r="Y438" s="6" t="str">
        <f t="shared" si="46"/>
        <v/>
      </c>
      <c r="Z438" s="6" t="str">
        <f t="shared" si="47"/>
        <v/>
      </c>
      <c r="AA438" s="5" t="str">
        <f t="shared" si="48"/>
        <v/>
      </c>
    </row>
    <row r="439" spans="1:27" ht="14.5" x14ac:dyDescent="0.35">
      <c r="A439" s="5"/>
      <c r="B439" s="6"/>
      <c r="C439" s="6"/>
      <c r="D439" s="7"/>
      <c r="E439" s="6"/>
      <c r="F439" s="5" t="str">
        <f t="shared" si="42"/>
        <v/>
      </c>
      <c r="G439" s="5"/>
      <c r="H439" s="6"/>
      <c r="I439" s="6"/>
      <c r="J439" s="6"/>
      <c r="K439" s="7"/>
      <c r="L439" s="6"/>
      <c r="M439" s="8" t="str">
        <f t="shared" ca="1" si="43"/>
        <v/>
      </c>
      <c r="N439" s="6"/>
      <c r="O439" s="9"/>
      <c r="P439" s="10"/>
      <c r="Q439" s="6"/>
      <c r="R439" s="6"/>
      <c r="S439" s="6"/>
      <c r="T439" s="6"/>
      <c r="U439" s="6"/>
      <c r="V439" s="6"/>
      <c r="W439" s="6" t="str">
        <f t="shared" si="44"/>
        <v/>
      </c>
      <c r="X439" s="6" t="str">
        <f t="shared" si="45"/>
        <v/>
      </c>
      <c r="Y439" s="6" t="str">
        <f t="shared" si="46"/>
        <v/>
      </c>
      <c r="Z439" s="6" t="str">
        <f t="shared" si="47"/>
        <v/>
      </c>
      <c r="AA439" s="5" t="str">
        <f t="shared" si="48"/>
        <v/>
      </c>
    </row>
    <row r="440" spans="1:27" ht="14.5" x14ac:dyDescent="0.35">
      <c r="A440" s="5"/>
      <c r="B440" s="6"/>
      <c r="C440" s="6"/>
      <c r="D440" s="7"/>
      <c r="E440" s="6"/>
      <c r="F440" s="5" t="str">
        <f t="shared" si="42"/>
        <v/>
      </c>
      <c r="G440" s="5"/>
      <c r="H440" s="6"/>
      <c r="I440" s="6"/>
      <c r="J440" s="6"/>
      <c r="K440" s="7"/>
      <c r="L440" s="6"/>
      <c r="M440" s="8" t="str">
        <f t="shared" ca="1" si="43"/>
        <v/>
      </c>
      <c r="N440" s="6"/>
      <c r="O440" s="9"/>
      <c r="P440" s="10"/>
      <c r="Q440" s="6"/>
      <c r="R440" s="6"/>
      <c r="S440" s="6"/>
      <c r="T440" s="6"/>
      <c r="U440" s="6"/>
      <c r="V440" s="6"/>
      <c r="W440" s="6" t="str">
        <f t="shared" si="44"/>
        <v/>
      </c>
      <c r="X440" s="6" t="str">
        <f t="shared" si="45"/>
        <v/>
      </c>
      <c r="Y440" s="6" t="str">
        <f t="shared" si="46"/>
        <v/>
      </c>
      <c r="Z440" s="6" t="str">
        <f t="shared" si="47"/>
        <v/>
      </c>
      <c r="AA440" s="5" t="str">
        <f t="shared" si="48"/>
        <v/>
      </c>
    </row>
    <row r="441" spans="1:27" ht="14.5" x14ac:dyDescent="0.35">
      <c r="A441" s="5"/>
      <c r="B441" s="6"/>
      <c r="C441" s="6"/>
      <c r="D441" s="7"/>
      <c r="E441" s="6"/>
      <c r="F441" s="5" t="str">
        <f t="shared" si="42"/>
        <v/>
      </c>
      <c r="G441" s="5"/>
      <c r="H441" s="6"/>
      <c r="I441" s="6"/>
      <c r="J441" s="6"/>
      <c r="K441" s="7"/>
      <c r="L441" s="6"/>
      <c r="M441" s="8" t="str">
        <f t="shared" ca="1" si="43"/>
        <v/>
      </c>
      <c r="N441" s="6"/>
      <c r="O441" s="9"/>
      <c r="P441" s="10"/>
      <c r="Q441" s="6"/>
      <c r="R441" s="6"/>
      <c r="S441" s="6"/>
      <c r="T441" s="6"/>
      <c r="U441" s="6"/>
      <c r="V441" s="6"/>
      <c r="W441" s="6" t="str">
        <f t="shared" si="44"/>
        <v/>
      </c>
      <c r="X441" s="6" t="str">
        <f t="shared" si="45"/>
        <v/>
      </c>
      <c r="Y441" s="6" t="str">
        <f t="shared" si="46"/>
        <v/>
      </c>
      <c r="Z441" s="6" t="str">
        <f t="shared" si="47"/>
        <v/>
      </c>
      <c r="AA441" s="5" t="str">
        <f t="shared" si="48"/>
        <v/>
      </c>
    </row>
    <row r="442" spans="1:27" ht="14.5" x14ac:dyDescent="0.35">
      <c r="A442" s="5"/>
      <c r="B442" s="6"/>
      <c r="C442" s="6"/>
      <c r="D442" s="7"/>
      <c r="E442" s="6"/>
      <c r="F442" s="5" t="str">
        <f t="shared" si="42"/>
        <v/>
      </c>
      <c r="G442" s="5"/>
      <c r="H442" s="6"/>
      <c r="I442" s="6"/>
      <c r="J442" s="6"/>
      <c r="K442" s="7"/>
      <c r="L442" s="6"/>
      <c r="M442" s="8" t="str">
        <f t="shared" ca="1" si="43"/>
        <v/>
      </c>
      <c r="N442" s="6"/>
      <c r="O442" s="9"/>
      <c r="P442" s="10"/>
      <c r="Q442" s="6"/>
      <c r="R442" s="6"/>
      <c r="S442" s="6"/>
      <c r="T442" s="6"/>
      <c r="U442" s="6"/>
      <c r="V442" s="6"/>
      <c r="W442" s="6" t="str">
        <f t="shared" si="44"/>
        <v/>
      </c>
      <c r="X442" s="6" t="str">
        <f t="shared" si="45"/>
        <v/>
      </c>
      <c r="Y442" s="6" t="str">
        <f t="shared" si="46"/>
        <v/>
      </c>
      <c r="Z442" s="6" t="str">
        <f t="shared" si="47"/>
        <v/>
      </c>
      <c r="AA442" s="5" t="str">
        <f t="shared" si="48"/>
        <v/>
      </c>
    </row>
    <row r="443" spans="1:27" ht="14.5" x14ac:dyDescent="0.35">
      <c r="A443" s="5"/>
      <c r="B443" s="6"/>
      <c r="C443" s="6"/>
      <c r="D443" s="7"/>
      <c r="E443" s="6"/>
      <c r="F443" s="5" t="str">
        <f t="shared" si="42"/>
        <v/>
      </c>
      <c r="G443" s="5"/>
      <c r="H443" s="6"/>
      <c r="I443" s="6"/>
      <c r="J443" s="6"/>
      <c r="K443" s="7"/>
      <c r="L443" s="6"/>
      <c r="M443" s="8" t="str">
        <f t="shared" ca="1" si="43"/>
        <v/>
      </c>
      <c r="N443" s="6"/>
      <c r="O443" s="9"/>
      <c r="P443" s="10"/>
      <c r="Q443" s="6"/>
      <c r="R443" s="6"/>
      <c r="S443" s="6"/>
      <c r="T443" s="6"/>
      <c r="U443" s="6"/>
      <c r="V443" s="6"/>
      <c r="W443" s="6" t="str">
        <f t="shared" si="44"/>
        <v/>
      </c>
      <c r="X443" s="6" t="str">
        <f t="shared" si="45"/>
        <v/>
      </c>
      <c r="Y443" s="6" t="str">
        <f t="shared" si="46"/>
        <v/>
      </c>
      <c r="Z443" s="6" t="str">
        <f t="shared" si="47"/>
        <v/>
      </c>
      <c r="AA443" s="5" t="str">
        <f t="shared" si="48"/>
        <v/>
      </c>
    </row>
    <row r="444" spans="1:27" ht="14.5" x14ac:dyDescent="0.35">
      <c r="A444" s="5"/>
      <c r="B444" s="6"/>
      <c r="C444" s="6"/>
      <c r="D444" s="7"/>
      <c r="E444" s="6"/>
      <c r="F444" s="5" t="str">
        <f t="shared" si="42"/>
        <v/>
      </c>
      <c r="G444" s="5"/>
      <c r="H444" s="6"/>
      <c r="I444" s="6"/>
      <c r="J444" s="6"/>
      <c r="K444" s="7"/>
      <c r="L444" s="6"/>
      <c r="M444" s="8" t="str">
        <f t="shared" ca="1" si="43"/>
        <v/>
      </c>
      <c r="N444" s="6"/>
      <c r="O444" s="9"/>
      <c r="P444" s="10"/>
      <c r="Q444" s="6"/>
      <c r="R444" s="6"/>
      <c r="S444" s="6"/>
      <c r="T444" s="6"/>
      <c r="U444" s="6"/>
      <c r="V444" s="6"/>
      <c r="W444" s="6" t="str">
        <f t="shared" si="44"/>
        <v/>
      </c>
      <c r="X444" s="6" t="str">
        <f t="shared" si="45"/>
        <v/>
      </c>
      <c r="Y444" s="6" t="str">
        <f t="shared" si="46"/>
        <v/>
      </c>
      <c r="Z444" s="6" t="str">
        <f t="shared" si="47"/>
        <v/>
      </c>
      <c r="AA444" s="5" t="str">
        <f t="shared" si="48"/>
        <v/>
      </c>
    </row>
    <row r="445" spans="1:27" ht="14.5" x14ac:dyDescent="0.35">
      <c r="A445" s="5"/>
      <c r="B445" s="6"/>
      <c r="C445" s="6"/>
      <c r="D445" s="7"/>
      <c r="E445" s="6"/>
      <c r="F445" s="5" t="str">
        <f t="shared" si="42"/>
        <v/>
      </c>
      <c r="G445" s="5"/>
      <c r="H445" s="6"/>
      <c r="I445" s="6"/>
      <c r="J445" s="6"/>
      <c r="K445" s="7"/>
      <c r="L445" s="6"/>
      <c r="M445" s="8" t="str">
        <f t="shared" ca="1" si="43"/>
        <v/>
      </c>
      <c r="N445" s="6"/>
      <c r="O445" s="9"/>
      <c r="P445" s="10"/>
      <c r="Q445" s="6"/>
      <c r="R445" s="6"/>
      <c r="S445" s="6"/>
      <c r="T445" s="6"/>
      <c r="U445" s="6"/>
      <c r="V445" s="6"/>
      <c r="W445" s="6" t="str">
        <f t="shared" si="44"/>
        <v/>
      </c>
      <c r="X445" s="6" t="str">
        <f t="shared" si="45"/>
        <v/>
      </c>
      <c r="Y445" s="6" t="str">
        <f t="shared" si="46"/>
        <v/>
      </c>
      <c r="Z445" s="6" t="str">
        <f t="shared" si="47"/>
        <v/>
      </c>
      <c r="AA445" s="5" t="str">
        <f t="shared" si="48"/>
        <v/>
      </c>
    </row>
    <row r="446" spans="1:27" ht="14.5" x14ac:dyDescent="0.35">
      <c r="A446" s="5"/>
      <c r="B446" s="6"/>
      <c r="C446" s="6"/>
      <c r="D446" s="7"/>
      <c r="E446" s="6"/>
      <c r="F446" s="5" t="str">
        <f t="shared" si="42"/>
        <v/>
      </c>
      <c r="G446" s="5"/>
      <c r="H446" s="6"/>
      <c r="I446" s="6"/>
      <c r="J446" s="6"/>
      <c r="K446" s="7"/>
      <c r="L446" s="6"/>
      <c r="M446" s="8" t="str">
        <f t="shared" ca="1" si="43"/>
        <v/>
      </c>
      <c r="N446" s="6"/>
      <c r="O446" s="9"/>
      <c r="P446" s="10"/>
      <c r="Q446" s="6"/>
      <c r="R446" s="6"/>
      <c r="S446" s="6"/>
      <c r="T446" s="6"/>
      <c r="U446" s="6"/>
      <c r="V446" s="6"/>
      <c r="W446" s="6" t="str">
        <f t="shared" si="44"/>
        <v/>
      </c>
      <c r="X446" s="6" t="str">
        <f t="shared" si="45"/>
        <v/>
      </c>
      <c r="Y446" s="6" t="str">
        <f t="shared" si="46"/>
        <v/>
      </c>
      <c r="Z446" s="6" t="str">
        <f t="shared" si="47"/>
        <v/>
      </c>
      <c r="AA446" s="5" t="str">
        <f t="shared" si="48"/>
        <v/>
      </c>
    </row>
    <row r="447" spans="1:27" ht="14.5" x14ac:dyDescent="0.35">
      <c r="A447" s="5"/>
      <c r="B447" s="6"/>
      <c r="C447" s="6"/>
      <c r="D447" s="7"/>
      <c r="E447" s="6"/>
      <c r="F447" s="5" t="str">
        <f t="shared" si="42"/>
        <v/>
      </c>
      <c r="G447" s="5"/>
      <c r="H447" s="6"/>
      <c r="I447" s="6"/>
      <c r="J447" s="6"/>
      <c r="K447" s="7"/>
      <c r="L447" s="6"/>
      <c r="M447" s="8" t="str">
        <f t="shared" ca="1" si="43"/>
        <v/>
      </c>
      <c r="N447" s="6"/>
      <c r="O447" s="9"/>
      <c r="P447" s="10"/>
      <c r="Q447" s="6"/>
      <c r="R447" s="6"/>
      <c r="S447" s="6"/>
      <c r="T447" s="6"/>
      <c r="U447" s="6"/>
      <c r="V447" s="6"/>
      <c r="W447" s="6" t="str">
        <f t="shared" si="44"/>
        <v/>
      </c>
      <c r="X447" s="6" t="str">
        <f t="shared" si="45"/>
        <v/>
      </c>
      <c r="Y447" s="6" t="str">
        <f t="shared" si="46"/>
        <v/>
      </c>
      <c r="Z447" s="6" t="str">
        <f t="shared" si="47"/>
        <v/>
      </c>
      <c r="AA447" s="5" t="str">
        <f t="shared" si="48"/>
        <v/>
      </c>
    </row>
    <row r="448" spans="1:27" ht="14.5" x14ac:dyDescent="0.35">
      <c r="A448" s="5"/>
      <c r="B448" s="6"/>
      <c r="C448" s="6"/>
      <c r="D448" s="7"/>
      <c r="E448" s="6"/>
      <c r="F448" s="5" t="str">
        <f t="shared" si="42"/>
        <v/>
      </c>
      <c r="G448" s="5"/>
      <c r="H448" s="6"/>
      <c r="I448" s="6"/>
      <c r="J448" s="6"/>
      <c r="K448" s="7"/>
      <c r="L448" s="6"/>
      <c r="M448" s="8" t="str">
        <f t="shared" ca="1" si="43"/>
        <v/>
      </c>
      <c r="N448" s="6"/>
      <c r="O448" s="9"/>
      <c r="P448" s="10"/>
      <c r="Q448" s="6"/>
      <c r="R448" s="6"/>
      <c r="S448" s="6"/>
      <c r="T448" s="6"/>
      <c r="U448" s="6"/>
      <c r="V448" s="6"/>
      <c r="W448" s="6" t="str">
        <f t="shared" si="44"/>
        <v/>
      </c>
      <c r="X448" s="6" t="str">
        <f t="shared" si="45"/>
        <v/>
      </c>
      <c r="Y448" s="6" t="str">
        <f t="shared" si="46"/>
        <v/>
      </c>
      <c r="Z448" s="6" t="str">
        <f t="shared" si="47"/>
        <v/>
      </c>
      <c r="AA448" s="5" t="str">
        <f t="shared" si="48"/>
        <v/>
      </c>
    </row>
    <row r="449" spans="1:27" ht="14.5" x14ac:dyDescent="0.35">
      <c r="A449" s="5"/>
      <c r="B449" s="6"/>
      <c r="C449" s="6"/>
      <c r="D449" s="7"/>
      <c r="E449" s="6"/>
      <c r="F449" s="5" t="str">
        <f t="shared" si="42"/>
        <v/>
      </c>
      <c r="G449" s="5"/>
      <c r="H449" s="6"/>
      <c r="I449" s="6"/>
      <c r="J449" s="6"/>
      <c r="K449" s="7"/>
      <c r="L449" s="6"/>
      <c r="M449" s="8" t="str">
        <f t="shared" ca="1" si="43"/>
        <v/>
      </c>
      <c r="N449" s="6"/>
      <c r="O449" s="9"/>
      <c r="P449" s="10"/>
      <c r="Q449" s="6"/>
      <c r="R449" s="6"/>
      <c r="S449" s="6"/>
      <c r="T449" s="6"/>
      <c r="U449" s="6"/>
      <c r="V449" s="6"/>
      <c r="W449" s="6" t="str">
        <f t="shared" si="44"/>
        <v/>
      </c>
      <c r="X449" s="6" t="str">
        <f t="shared" si="45"/>
        <v/>
      </c>
      <c r="Y449" s="6" t="str">
        <f t="shared" si="46"/>
        <v/>
      </c>
      <c r="Z449" s="6" t="str">
        <f t="shared" si="47"/>
        <v/>
      </c>
      <c r="AA449" s="5" t="str">
        <f t="shared" si="48"/>
        <v/>
      </c>
    </row>
    <row r="450" spans="1:27" ht="14.5" x14ac:dyDescent="0.35">
      <c r="A450" s="5"/>
      <c r="B450" s="6"/>
      <c r="C450" s="6"/>
      <c r="D450" s="7"/>
      <c r="E450" s="6"/>
      <c r="F450" s="5" t="str">
        <f t="shared" ref="F450:F501" si="49">IF(COUNTIF($A$2:$A$501,A450&amp;".*")=0,"",COUNTIF($A$2:$A$501,A450&amp;".*"))</f>
        <v/>
      </c>
      <c r="G450" s="5"/>
      <c r="H450" s="6"/>
      <c r="I450" s="6"/>
      <c r="J450" s="6"/>
      <c r="K450" s="7"/>
      <c r="L450" s="6"/>
      <c r="M450" s="8" t="str">
        <f t="shared" ref="M450:M501" ca="1" si="50">IF(K450="","",INT(K450)-TODAY())</f>
        <v/>
      </c>
      <c r="N450" s="6"/>
      <c r="O450" s="9"/>
      <c r="P450" s="10"/>
      <c r="Q450" s="6"/>
      <c r="R450" s="6"/>
      <c r="S450" s="6"/>
      <c r="T450" s="6"/>
      <c r="U450" s="6"/>
      <c r="V450" s="6"/>
      <c r="W450" s="6" t="str">
        <f t="shared" ref="W450:W501" si="51">IF(K450="","",K450+Q450/1000000)</f>
        <v/>
      </c>
      <c r="X450" s="6" t="str">
        <f t="shared" ref="X450:X501" si="52">IF(V450="","",IF(K450="",9999999+Q450/1000000,K450+Q450/1000000))</f>
        <v/>
      </c>
      <c r="Y450" s="6" t="str">
        <f t="shared" ref="Y450:Y513" si="53">IF(V450="","",SUMPRODUCT(($V$2:$V$501=V450)*($X$2:$X$501&lt;=X450)))</f>
        <v/>
      </c>
      <c r="Z450" s="6" t="str">
        <f t="shared" ref="Z450:Z513" si="54">IF(V450="","",V450&amp;"|"&amp;Y450)</f>
        <v/>
      </c>
      <c r="AA450" s="5" t="str">
        <f t="shared" ref="AA450:AA501" si="55">IF(O450="","",TEXT(INT(ROUND(O450*60,0)/60),"0")&amp;"h "&amp;TEXT(MOD(ROUND(O450*60,0),60),"00")&amp;"m")</f>
        <v/>
      </c>
    </row>
    <row r="451" spans="1:27" ht="14.5" x14ac:dyDescent="0.35">
      <c r="A451" s="5"/>
      <c r="B451" s="6"/>
      <c r="C451" s="6"/>
      <c r="D451" s="7"/>
      <c r="E451" s="6"/>
      <c r="F451" s="5" t="str">
        <f t="shared" si="49"/>
        <v/>
      </c>
      <c r="G451" s="5"/>
      <c r="H451" s="6"/>
      <c r="I451" s="6"/>
      <c r="J451" s="6"/>
      <c r="K451" s="7"/>
      <c r="L451" s="6"/>
      <c r="M451" s="8" t="str">
        <f t="shared" ca="1" si="50"/>
        <v/>
      </c>
      <c r="N451" s="6"/>
      <c r="O451" s="9"/>
      <c r="P451" s="10"/>
      <c r="Q451" s="6"/>
      <c r="R451" s="6"/>
      <c r="S451" s="6"/>
      <c r="T451" s="6"/>
      <c r="U451" s="6"/>
      <c r="V451" s="6"/>
      <c r="W451" s="6" t="str">
        <f t="shared" si="51"/>
        <v/>
      </c>
      <c r="X451" s="6" t="str">
        <f t="shared" si="52"/>
        <v/>
      </c>
      <c r="Y451" s="6" t="str">
        <f t="shared" si="53"/>
        <v/>
      </c>
      <c r="Z451" s="6" t="str">
        <f t="shared" si="54"/>
        <v/>
      </c>
      <c r="AA451" s="5" t="str">
        <f t="shared" si="55"/>
        <v/>
      </c>
    </row>
    <row r="452" spans="1:27" ht="14.5" x14ac:dyDescent="0.35">
      <c r="A452" s="5"/>
      <c r="B452" s="6"/>
      <c r="C452" s="6"/>
      <c r="D452" s="7"/>
      <c r="E452" s="6"/>
      <c r="F452" s="5" t="str">
        <f t="shared" si="49"/>
        <v/>
      </c>
      <c r="G452" s="5"/>
      <c r="H452" s="6"/>
      <c r="I452" s="6"/>
      <c r="J452" s="6"/>
      <c r="K452" s="7"/>
      <c r="L452" s="6"/>
      <c r="M452" s="8" t="str">
        <f t="shared" ca="1" si="50"/>
        <v/>
      </c>
      <c r="N452" s="6"/>
      <c r="O452" s="9"/>
      <c r="P452" s="10"/>
      <c r="Q452" s="6"/>
      <c r="R452" s="6"/>
      <c r="S452" s="6"/>
      <c r="T452" s="6"/>
      <c r="U452" s="6"/>
      <c r="V452" s="6"/>
      <c r="W452" s="6" t="str">
        <f t="shared" si="51"/>
        <v/>
      </c>
      <c r="X452" s="6" t="str">
        <f t="shared" si="52"/>
        <v/>
      </c>
      <c r="Y452" s="6" t="str">
        <f t="shared" si="53"/>
        <v/>
      </c>
      <c r="Z452" s="6" t="str">
        <f t="shared" si="54"/>
        <v/>
      </c>
      <c r="AA452" s="5" t="str">
        <f t="shared" si="55"/>
        <v/>
      </c>
    </row>
    <row r="453" spans="1:27" ht="14.5" x14ac:dyDescent="0.35">
      <c r="A453" s="5"/>
      <c r="B453" s="6"/>
      <c r="C453" s="6"/>
      <c r="D453" s="7"/>
      <c r="E453" s="6"/>
      <c r="F453" s="5" t="str">
        <f t="shared" si="49"/>
        <v/>
      </c>
      <c r="G453" s="5"/>
      <c r="H453" s="6"/>
      <c r="I453" s="6"/>
      <c r="J453" s="6"/>
      <c r="K453" s="7"/>
      <c r="L453" s="6"/>
      <c r="M453" s="8" t="str">
        <f t="shared" ca="1" si="50"/>
        <v/>
      </c>
      <c r="N453" s="6"/>
      <c r="O453" s="9"/>
      <c r="P453" s="10"/>
      <c r="Q453" s="6"/>
      <c r="R453" s="6"/>
      <c r="S453" s="6"/>
      <c r="T453" s="6"/>
      <c r="U453" s="6"/>
      <c r="V453" s="6"/>
      <c r="W453" s="6" t="str">
        <f t="shared" si="51"/>
        <v/>
      </c>
      <c r="X453" s="6" t="str">
        <f t="shared" si="52"/>
        <v/>
      </c>
      <c r="Y453" s="6" t="str">
        <f t="shared" si="53"/>
        <v/>
      </c>
      <c r="Z453" s="6" t="str">
        <f t="shared" si="54"/>
        <v/>
      </c>
      <c r="AA453" s="5" t="str">
        <f t="shared" si="55"/>
        <v/>
      </c>
    </row>
    <row r="454" spans="1:27" ht="14.5" x14ac:dyDescent="0.35">
      <c r="A454" s="5"/>
      <c r="B454" s="6"/>
      <c r="C454" s="6"/>
      <c r="D454" s="7"/>
      <c r="E454" s="6"/>
      <c r="F454" s="5" t="str">
        <f t="shared" si="49"/>
        <v/>
      </c>
      <c r="G454" s="5"/>
      <c r="H454" s="6"/>
      <c r="I454" s="6"/>
      <c r="J454" s="6"/>
      <c r="K454" s="7"/>
      <c r="L454" s="6"/>
      <c r="M454" s="8" t="str">
        <f t="shared" ca="1" si="50"/>
        <v/>
      </c>
      <c r="N454" s="6"/>
      <c r="O454" s="9"/>
      <c r="P454" s="10"/>
      <c r="Q454" s="6"/>
      <c r="R454" s="6"/>
      <c r="S454" s="6"/>
      <c r="T454" s="6"/>
      <c r="U454" s="6"/>
      <c r="V454" s="6"/>
      <c r="W454" s="6" t="str">
        <f t="shared" si="51"/>
        <v/>
      </c>
      <c r="X454" s="6" t="str">
        <f t="shared" si="52"/>
        <v/>
      </c>
      <c r="Y454" s="6" t="str">
        <f t="shared" si="53"/>
        <v/>
      </c>
      <c r="Z454" s="6" t="str">
        <f t="shared" si="54"/>
        <v/>
      </c>
      <c r="AA454" s="5" t="str">
        <f t="shared" si="55"/>
        <v/>
      </c>
    </row>
    <row r="455" spans="1:27" ht="14.5" x14ac:dyDescent="0.35">
      <c r="A455" s="5"/>
      <c r="B455" s="6"/>
      <c r="C455" s="6"/>
      <c r="D455" s="7"/>
      <c r="E455" s="6"/>
      <c r="F455" s="5" t="str">
        <f t="shared" si="49"/>
        <v/>
      </c>
      <c r="G455" s="5"/>
      <c r="H455" s="6"/>
      <c r="I455" s="6"/>
      <c r="J455" s="6"/>
      <c r="K455" s="7"/>
      <c r="L455" s="6"/>
      <c r="M455" s="8" t="str">
        <f t="shared" ca="1" si="50"/>
        <v/>
      </c>
      <c r="N455" s="6"/>
      <c r="O455" s="9"/>
      <c r="P455" s="10"/>
      <c r="Q455" s="6"/>
      <c r="R455" s="6"/>
      <c r="S455" s="6"/>
      <c r="T455" s="6"/>
      <c r="U455" s="6"/>
      <c r="V455" s="6"/>
      <c r="W455" s="6" t="str">
        <f t="shared" si="51"/>
        <v/>
      </c>
      <c r="X455" s="6" t="str">
        <f t="shared" si="52"/>
        <v/>
      </c>
      <c r="Y455" s="6" t="str">
        <f t="shared" si="53"/>
        <v/>
      </c>
      <c r="Z455" s="6" t="str">
        <f t="shared" si="54"/>
        <v/>
      </c>
      <c r="AA455" s="5" t="str">
        <f t="shared" si="55"/>
        <v/>
      </c>
    </row>
    <row r="456" spans="1:27" ht="14.5" x14ac:dyDescent="0.35">
      <c r="A456" s="5"/>
      <c r="B456" s="6"/>
      <c r="C456" s="6"/>
      <c r="D456" s="7"/>
      <c r="E456" s="6"/>
      <c r="F456" s="5" t="str">
        <f t="shared" si="49"/>
        <v/>
      </c>
      <c r="G456" s="5"/>
      <c r="H456" s="6"/>
      <c r="I456" s="6"/>
      <c r="J456" s="6"/>
      <c r="K456" s="7"/>
      <c r="L456" s="6"/>
      <c r="M456" s="8" t="str">
        <f t="shared" ca="1" si="50"/>
        <v/>
      </c>
      <c r="N456" s="6"/>
      <c r="O456" s="9"/>
      <c r="P456" s="10"/>
      <c r="Q456" s="6"/>
      <c r="R456" s="6"/>
      <c r="S456" s="6"/>
      <c r="T456" s="6"/>
      <c r="U456" s="6"/>
      <c r="V456" s="6"/>
      <c r="W456" s="6" t="str">
        <f t="shared" si="51"/>
        <v/>
      </c>
      <c r="X456" s="6" t="str">
        <f t="shared" si="52"/>
        <v/>
      </c>
      <c r="Y456" s="6" t="str">
        <f t="shared" si="53"/>
        <v/>
      </c>
      <c r="Z456" s="6" t="str">
        <f t="shared" si="54"/>
        <v/>
      </c>
      <c r="AA456" s="5" t="str">
        <f t="shared" si="55"/>
        <v/>
      </c>
    </row>
    <row r="457" spans="1:27" ht="14.5" x14ac:dyDescent="0.35">
      <c r="A457" s="5"/>
      <c r="B457" s="6"/>
      <c r="C457" s="6"/>
      <c r="D457" s="7"/>
      <c r="E457" s="6"/>
      <c r="F457" s="5" t="str">
        <f t="shared" si="49"/>
        <v/>
      </c>
      <c r="G457" s="5"/>
      <c r="H457" s="6"/>
      <c r="I457" s="6"/>
      <c r="J457" s="6"/>
      <c r="K457" s="7"/>
      <c r="L457" s="6"/>
      <c r="M457" s="8" t="str">
        <f t="shared" ca="1" si="50"/>
        <v/>
      </c>
      <c r="N457" s="6"/>
      <c r="O457" s="9"/>
      <c r="P457" s="10"/>
      <c r="Q457" s="6"/>
      <c r="R457" s="6"/>
      <c r="S457" s="6"/>
      <c r="T457" s="6"/>
      <c r="U457" s="6"/>
      <c r="V457" s="6"/>
      <c r="W457" s="6" t="str">
        <f t="shared" si="51"/>
        <v/>
      </c>
      <c r="X457" s="6" t="str">
        <f t="shared" si="52"/>
        <v/>
      </c>
      <c r="Y457" s="6" t="str">
        <f t="shared" si="53"/>
        <v/>
      </c>
      <c r="Z457" s="6" t="str">
        <f t="shared" si="54"/>
        <v/>
      </c>
      <c r="AA457" s="5" t="str">
        <f t="shared" si="55"/>
        <v/>
      </c>
    </row>
    <row r="458" spans="1:27" ht="14.5" x14ac:dyDescent="0.35">
      <c r="A458" s="5"/>
      <c r="B458" s="6"/>
      <c r="C458" s="6"/>
      <c r="D458" s="7"/>
      <c r="E458" s="6"/>
      <c r="F458" s="5" t="str">
        <f t="shared" si="49"/>
        <v/>
      </c>
      <c r="G458" s="5"/>
      <c r="H458" s="6"/>
      <c r="I458" s="6"/>
      <c r="J458" s="6"/>
      <c r="K458" s="7"/>
      <c r="L458" s="6"/>
      <c r="M458" s="8" t="str">
        <f t="shared" ca="1" si="50"/>
        <v/>
      </c>
      <c r="N458" s="6"/>
      <c r="O458" s="9"/>
      <c r="P458" s="10"/>
      <c r="Q458" s="6"/>
      <c r="R458" s="6"/>
      <c r="S458" s="6"/>
      <c r="T458" s="6"/>
      <c r="U458" s="6"/>
      <c r="V458" s="6"/>
      <c r="W458" s="6" t="str">
        <f t="shared" si="51"/>
        <v/>
      </c>
      <c r="X458" s="6" t="str">
        <f t="shared" si="52"/>
        <v/>
      </c>
      <c r="Y458" s="6" t="str">
        <f t="shared" si="53"/>
        <v/>
      </c>
      <c r="Z458" s="6" t="str">
        <f t="shared" si="54"/>
        <v/>
      </c>
      <c r="AA458" s="5" t="str">
        <f t="shared" si="55"/>
        <v/>
      </c>
    </row>
    <row r="459" spans="1:27" ht="14.5" x14ac:dyDescent="0.35">
      <c r="A459" s="5"/>
      <c r="B459" s="6"/>
      <c r="C459" s="6"/>
      <c r="D459" s="7"/>
      <c r="E459" s="6"/>
      <c r="F459" s="5" t="str">
        <f t="shared" si="49"/>
        <v/>
      </c>
      <c r="G459" s="5"/>
      <c r="H459" s="6"/>
      <c r="I459" s="6"/>
      <c r="J459" s="6"/>
      <c r="K459" s="7"/>
      <c r="L459" s="6"/>
      <c r="M459" s="8" t="str">
        <f t="shared" ca="1" si="50"/>
        <v/>
      </c>
      <c r="N459" s="6"/>
      <c r="O459" s="9"/>
      <c r="P459" s="10"/>
      <c r="Q459" s="6"/>
      <c r="R459" s="6"/>
      <c r="S459" s="6"/>
      <c r="T459" s="6"/>
      <c r="U459" s="6"/>
      <c r="V459" s="6"/>
      <c r="W459" s="6" t="str">
        <f t="shared" si="51"/>
        <v/>
      </c>
      <c r="X459" s="6" t="str">
        <f t="shared" si="52"/>
        <v/>
      </c>
      <c r="Y459" s="6" t="str">
        <f t="shared" si="53"/>
        <v/>
      </c>
      <c r="Z459" s="6" t="str">
        <f t="shared" si="54"/>
        <v/>
      </c>
      <c r="AA459" s="5" t="str">
        <f t="shared" si="55"/>
        <v/>
      </c>
    </row>
    <row r="460" spans="1:27" ht="14.5" x14ac:dyDescent="0.35">
      <c r="A460" s="5"/>
      <c r="B460" s="6"/>
      <c r="C460" s="6"/>
      <c r="D460" s="7"/>
      <c r="E460" s="6"/>
      <c r="F460" s="5" t="str">
        <f t="shared" si="49"/>
        <v/>
      </c>
      <c r="G460" s="5"/>
      <c r="H460" s="6"/>
      <c r="I460" s="6"/>
      <c r="J460" s="6"/>
      <c r="K460" s="7"/>
      <c r="L460" s="6"/>
      <c r="M460" s="8" t="str">
        <f t="shared" ca="1" si="50"/>
        <v/>
      </c>
      <c r="N460" s="6"/>
      <c r="O460" s="9"/>
      <c r="P460" s="10"/>
      <c r="Q460" s="6"/>
      <c r="R460" s="6"/>
      <c r="S460" s="6"/>
      <c r="T460" s="6"/>
      <c r="U460" s="6"/>
      <c r="V460" s="6"/>
      <c r="W460" s="6" t="str">
        <f t="shared" si="51"/>
        <v/>
      </c>
      <c r="X460" s="6" t="str">
        <f t="shared" si="52"/>
        <v/>
      </c>
      <c r="Y460" s="6" t="str">
        <f t="shared" si="53"/>
        <v/>
      </c>
      <c r="Z460" s="6" t="str">
        <f t="shared" si="54"/>
        <v/>
      </c>
      <c r="AA460" s="5" t="str">
        <f t="shared" si="55"/>
        <v/>
      </c>
    </row>
    <row r="461" spans="1:27" ht="14.5" x14ac:dyDescent="0.35">
      <c r="A461" s="5"/>
      <c r="B461" s="6"/>
      <c r="C461" s="6"/>
      <c r="D461" s="7"/>
      <c r="E461" s="6"/>
      <c r="F461" s="5" t="str">
        <f t="shared" si="49"/>
        <v/>
      </c>
      <c r="G461" s="5"/>
      <c r="H461" s="6"/>
      <c r="I461" s="6"/>
      <c r="J461" s="6"/>
      <c r="K461" s="7"/>
      <c r="L461" s="6"/>
      <c r="M461" s="8" t="str">
        <f t="shared" ca="1" si="50"/>
        <v/>
      </c>
      <c r="N461" s="6"/>
      <c r="O461" s="9"/>
      <c r="P461" s="10"/>
      <c r="Q461" s="6"/>
      <c r="R461" s="6"/>
      <c r="S461" s="6"/>
      <c r="T461" s="6"/>
      <c r="U461" s="6"/>
      <c r="V461" s="6"/>
      <c r="W461" s="6" t="str">
        <f t="shared" si="51"/>
        <v/>
      </c>
      <c r="X461" s="6" t="str">
        <f t="shared" si="52"/>
        <v/>
      </c>
      <c r="Y461" s="6" t="str">
        <f t="shared" si="53"/>
        <v/>
      </c>
      <c r="Z461" s="6" t="str">
        <f t="shared" si="54"/>
        <v/>
      </c>
      <c r="AA461" s="5" t="str">
        <f t="shared" si="55"/>
        <v/>
      </c>
    </row>
    <row r="462" spans="1:27" ht="14.5" x14ac:dyDescent="0.35">
      <c r="A462" s="5"/>
      <c r="B462" s="6"/>
      <c r="C462" s="6"/>
      <c r="D462" s="7"/>
      <c r="E462" s="6"/>
      <c r="F462" s="5" t="str">
        <f t="shared" si="49"/>
        <v/>
      </c>
      <c r="G462" s="5"/>
      <c r="H462" s="6"/>
      <c r="I462" s="6"/>
      <c r="J462" s="6"/>
      <c r="K462" s="7"/>
      <c r="L462" s="6"/>
      <c r="M462" s="8" t="str">
        <f t="shared" ca="1" si="50"/>
        <v/>
      </c>
      <c r="N462" s="6"/>
      <c r="O462" s="9"/>
      <c r="P462" s="10"/>
      <c r="Q462" s="6"/>
      <c r="R462" s="6"/>
      <c r="S462" s="6"/>
      <c r="T462" s="6"/>
      <c r="U462" s="6"/>
      <c r="V462" s="6"/>
      <c r="W462" s="6" t="str">
        <f t="shared" si="51"/>
        <v/>
      </c>
      <c r="X462" s="6" t="str">
        <f t="shared" si="52"/>
        <v/>
      </c>
      <c r="Y462" s="6" t="str">
        <f t="shared" si="53"/>
        <v/>
      </c>
      <c r="Z462" s="6" t="str">
        <f t="shared" si="54"/>
        <v/>
      </c>
      <c r="AA462" s="5" t="str">
        <f t="shared" si="55"/>
        <v/>
      </c>
    </row>
    <row r="463" spans="1:27" ht="14.5" x14ac:dyDescent="0.35">
      <c r="A463" s="5"/>
      <c r="B463" s="6"/>
      <c r="C463" s="6"/>
      <c r="D463" s="7"/>
      <c r="E463" s="6"/>
      <c r="F463" s="5" t="str">
        <f t="shared" si="49"/>
        <v/>
      </c>
      <c r="G463" s="5"/>
      <c r="H463" s="6"/>
      <c r="I463" s="6"/>
      <c r="J463" s="6"/>
      <c r="K463" s="7"/>
      <c r="L463" s="6"/>
      <c r="M463" s="8" t="str">
        <f t="shared" ca="1" si="50"/>
        <v/>
      </c>
      <c r="N463" s="6"/>
      <c r="O463" s="9"/>
      <c r="P463" s="10"/>
      <c r="Q463" s="6"/>
      <c r="R463" s="6"/>
      <c r="S463" s="6"/>
      <c r="T463" s="6"/>
      <c r="U463" s="6"/>
      <c r="V463" s="6"/>
      <c r="W463" s="6" t="str">
        <f t="shared" si="51"/>
        <v/>
      </c>
      <c r="X463" s="6" t="str">
        <f t="shared" si="52"/>
        <v/>
      </c>
      <c r="Y463" s="6" t="str">
        <f t="shared" si="53"/>
        <v/>
      </c>
      <c r="Z463" s="6" t="str">
        <f t="shared" si="54"/>
        <v/>
      </c>
      <c r="AA463" s="5" t="str">
        <f t="shared" si="55"/>
        <v/>
      </c>
    </row>
    <row r="464" spans="1:27" ht="14.5" x14ac:dyDescent="0.35">
      <c r="A464" s="5"/>
      <c r="B464" s="6"/>
      <c r="C464" s="6"/>
      <c r="D464" s="7"/>
      <c r="E464" s="6"/>
      <c r="F464" s="5" t="str">
        <f t="shared" si="49"/>
        <v/>
      </c>
      <c r="G464" s="5"/>
      <c r="H464" s="6"/>
      <c r="I464" s="6"/>
      <c r="J464" s="6"/>
      <c r="K464" s="7"/>
      <c r="L464" s="6"/>
      <c r="M464" s="8" t="str">
        <f t="shared" ca="1" si="50"/>
        <v/>
      </c>
      <c r="N464" s="6"/>
      <c r="O464" s="9"/>
      <c r="P464" s="10"/>
      <c r="Q464" s="6"/>
      <c r="R464" s="6"/>
      <c r="S464" s="6"/>
      <c r="T464" s="6"/>
      <c r="U464" s="6"/>
      <c r="V464" s="6"/>
      <c r="W464" s="6" t="str">
        <f t="shared" si="51"/>
        <v/>
      </c>
      <c r="X464" s="6" t="str">
        <f t="shared" si="52"/>
        <v/>
      </c>
      <c r="Y464" s="6" t="str">
        <f t="shared" si="53"/>
        <v/>
      </c>
      <c r="Z464" s="6" t="str">
        <f t="shared" si="54"/>
        <v/>
      </c>
      <c r="AA464" s="5" t="str">
        <f t="shared" si="55"/>
        <v/>
      </c>
    </row>
    <row r="465" spans="1:27" ht="14.5" x14ac:dyDescent="0.35">
      <c r="A465" s="5"/>
      <c r="B465" s="6"/>
      <c r="C465" s="6"/>
      <c r="D465" s="7"/>
      <c r="E465" s="6"/>
      <c r="F465" s="5" t="str">
        <f t="shared" si="49"/>
        <v/>
      </c>
      <c r="G465" s="5"/>
      <c r="H465" s="6"/>
      <c r="I465" s="6"/>
      <c r="J465" s="6"/>
      <c r="K465" s="7"/>
      <c r="L465" s="6"/>
      <c r="M465" s="8" t="str">
        <f t="shared" ca="1" si="50"/>
        <v/>
      </c>
      <c r="N465" s="6"/>
      <c r="O465" s="9"/>
      <c r="P465" s="10"/>
      <c r="Q465" s="6"/>
      <c r="R465" s="6"/>
      <c r="S465" s="6"/>
      <c r="T465" s="6"/>
      <c r="U465" s="6"/>
      <c r="V465" s="6"/>
      <c r="W465" s="6" t="str">
        <f t="shared" si="51"/>
        <v/>
      </c>
      <c r="X465" s="6" t="str">
        <f t="shared" si="52"/>
        <v/>
      </c>
      <c r="Y465" s="6" t="str">
        <f t="shared" si="53"/>
        <v/>
      </c>
      <c r="Z465" s="6" t="str">
        <f t="shared" si="54"/>
        <v/>
      </c>
      <c r="AA465" s="5" t="str">
        <f t="shared" si="55"/>
        <v/>
      </c>
    </row>
    <row r="466" spans="1:27" ht="14.5" x14ac:dyDescent="0.35">
      <c r="A466" s="5"/>
      <c r="B466" s="6"/>
      <c r="C466" s="6"/>
      <c r="D466" s="7"/>
      <c r="E466" s="6"/>
      <c r="F466" s="5" t="str">
        <f t="shared" si="49"/>
        <v/>
      </c>
      <c r="G466" s="5"/>
      <c r="H466" s="6"/>
      <c r="I466" s="6"/>
      <c r="J466" s="6"/>
      <c r="K466" s="7"/>
      <c r="L466" s="6"/>
      <c r="M466" s="8" t="str">
        <f t="shared" ca="1" si="50"/>
        <v/>
      </c>
      <c r="N466" s="6"/>
      <c r="O466" s="9"/>
      <c r="P466" s="10"/>
      <c r="Q466" s="6"/>
      <c r="R466" s="6"/>
      <c r="S466" s="6"/>
      <c r="T466" s="6"/>
      <c r="U466" s="6"/>
      <c r="V466" s="6"/>
      <c r="W466" s="6" t="str">
        <f t="shared" si="51"/>
        <v/>
      </c>
      <c r="X466" s="6" t="str">
        <f t="shared" si="52"/>
        <v/>
      </c>
      <c r="Y466" s="6" t="str">
        <f t="shared" si="53"/>
        <v/>
      </c>
      <c r="Z466" s="6" t="str">
        <f t="shared" si="54"/>
        <v/>
      </c>
      <c r="AA466" s="5" t="str">
        <f t="shared" si="55"/>
        <v/>
      </c>
    </row>
    <row r="467" spans="1:27" ht="14.5" x14ac:dyDescent="0.35">
      <c r="A467" s="5"/>
      <c r="B467" s="6"/>
      <c r="C467" s="6"/>
      <c r="D467" s="7"/>
      <c r="E467" s="6"/>
      <c r="F467" s="5" t="str">
        <f t="shared" si="49"/>
        <v/>
      </c>
      <c r="G467" s="5"/>
      <c r="H467" s="6"/>
      <c r="I467" s="6"/>
      <c r="J467" s="6"/>
      <c r="K467" s="7"/>
      <c r="L467" s="6"/>
      <c r="M467" s="8" t="str">
        <f t="shared" ca="1" si="50"/>
        <v/>
      </c>
      <c r="N467" s="6"/>
      <c r="O467" s="9"/>
      <c r="P467" s="10"/>
      <c r="Q467" s="6"/>
      <c r="R467" s="6"/>
      <c r="S467" s="6"/>
      <c r="T467" s="6"/>
      <c r="U467" s="6"/>
      <c r="V467" s="6"/>
      <c r="W467" s="6" t="str">
        <f t="shared" si="51"/>
        <v/>
      </c>
      <c r="X467" s="6" t="str">
        <f t="shared" si="52"/>
        <v/>
      </c>
      <c r="Y467" s="6" t="str">
        <f t="shared" si="53"/>
        <v/>
      </c>
      <c r="Z467" s="6" t="str">
        <f t="shared" si="54"/>
        <v/>
      </c>
      <c r="AA467" s="5" t="str">
        <f t="shared" si="55"/>
        <v/>
      </c>
    </row>
    <row r="468" spans="1:27" ht="14.5" x14ac:dyDescent="0.35">
      <c r="A468" s="5"/>
      <c r="B468" s="6"/>
      <c r="C468" s="6"/>
      <c r="D468" s="7"/>
      <c r="E468" s="6"/>
      <c r="F468" s="5" t="str">
        <f t="shared" si="49"/>
        <v/>
      </c>
      <c r="G468" s="5"/>
      <c r="H468" s="6"/>
      <c r="I468" s="6"/>
      <c r="J468" s="6"/>
      <c r="K468" s="7"/>
      <c r="L468" s="6"/>
      <c r="M468" s="8" t="str">
        <f t="shared" ca="1" si="50"/>
        <v/>
      </c>
      <c r="N468" s="6"/>
      <c r="O468" s="9"/>
      <c r="P468" s="10"/>
      <c r="Q468" s="6"/>
      <c r="R468" s="6"/>
      <c r="S468" s="6"/>
      <c r="T468" s="6"/>
      <c r="U468" s="6"/>
      <c r="V468" s="6"/>
      <c r="W468" s="6" t="str">
        <f t="shared" si="51"/>
        <v/>
      </c>
      <c r="X468" s="6" t="str">
        <f t="shared" si="52"/>
        <v/>
      </c>
      <c r="Y468" s="6" t="str">
        <f t="shared" si="53"/>
        <v/>
      </c>
      <c r="Z468" s="6" t="str">
        <f t="shared" si="54"/>
        <v/>
      </c>
      <c r="AA468" s="5" t="str">
        <f t="shared" si="55"/>
        <v/>
      </c>
    </row>
    <row r="469" spans="1:27" ht="14.5" x14ac:dyDescent="0.35">
      <c r="A469" s="5"/>
      <c r="B469" s="6"/>
      <c r="C469" s="6"/>
      <c r="D469" s="7"/>
      <c r="E469" s="6"/>
      <c r="F469" s="5" t="str">
        <f t="shared" si="49"/>
        <v/>
      </c>
      <c r="G469" s="5"/>
      <c r="H469" s="6"/>
      <c r="I469" s="6"/>
      <c r="J469" s="6"/>
      <c r="K469" s="7"/>
      <c r="L469" s="6"/>
      <c r="M469" s="8" t="str">
        <f t="shared" ca="1" si="50"/>
        <v/>
      </c>
      <c r="N469" s="6"/>
      <c r="O469" s="9"/>
      <c r="P469" s="10"/>
      <c r="Q469" s="6"/>
      <c r="R469" s="6"/>
      <c r="S469" s="6"/>
      <c r="T469" s="6"/>
      <c r="U469" s="6"/>
      <c r="V469" s="6"/>
      <c r="W469" s="6" t="str">
        <f t="shared" si="51"/>
        <v/>
      </c>
      <c r="X469" s="6" t="str">
        <f t="shared" si="52"/>
        <v/>
      </c>
      <c r="Y469" s="6" t="str">
        <f t="shared" si="53"/>
        <v/>
      </c>
      <c r="Z469" s="6" t="str">
        <f t="shared" si="54"/>
        <v/>
      </c>
      <c r="AA469" s="5" t="str">
        <f t="shared" si="55"/>
        <v/>
      </c>
    </row>
    <row r="470" spans="1:27" ht="14.5" x14ac:dyDescent="0.35">
      <c r="A470" s="5"/>
      <c r="B470" s="6"/>
      <c r="C470" s="6"/>
      <c r="D470" s="7"/>
      <c r="E470" s="6"/>
      <c r="F470" s="5" t="str">
        <f t="shared" si="49"/>
        <v/>
      </c>
      <c r="G470" s="5"/>
      <c r="H470" s="6"/>
      <c r="I470" s="6"/>
      <c r="J470" s="6"/>
      <c r="K470" s="7"/>
      <c r="L470" s="6"/>
      <c r="M470" s="8" t="str">
        <f t="shared" ca="1" si="50"/>
        <v/>
      </c>
      <c r="N470" s="6"/>
      <c r="O470" s="9"/>
      <c r="P470" s="10"/>
      <c r="Q470" s="6"/>
      <c r="R470" s="6"/>
      <c r="S470" s="6"/>
      <c r="T470" s="6"/>
      <c r="U470" s="6"/>
      <c r="V470" s="6"/>
      <c r="W470" s="6" t="str">
        <f t="shared" si="51"/>
        <v/>
      </c>
      <c r="X470" s="6" t="str">
        <f t="shared" si="52"/>
        <v/>
      </c>
      <c r="Y470" s="6" t="str">
        <f t="shared" si="53"/>
        <v/>
      </c>
      <c r="Z470" s="6" t="str">
        <f t="shared" si="54"/>
        <v/>
      </c>
      <c r="AA470" s="5" t="str">
        <f t="shared" si="55"/>
        <v/>
      </c>
    </row>
    <row r="471" spans="1:27" ht="14.5" x14ac:dyDescent="0.35">
      <c r="A471" s="5"/>
      <c r="B471" s="6"/>
      <c r="C471" s="6"/>
      <c r="D471" s="7"/>
      <c r="E471" s="6"/>
      <c r="F471" s="5" t="str">
        <f t="shared" si="49"/>
        <v/>
      </c>
      <c r="G471" s="5"/>
      <c r="H471" s="6"/>
      <c r="I471" s="6"/>
      <c r="J471" s="6"/>
      <c r="K471" s="7"/>
      <c r="L471" s="6"/>
      <c r="M471" s="8" t="str">
        <f t="shared" ca="1" si="50"/>
        <v/>
      </c>
      <c r="N471" s="6"/>
      <c r="O471" s="9"/>
      <c r="P471" s="10"/>
      <c r="Q471" s="6"/>
      <c r="R471" s="6"/>
      <c r="S471" s="6"/>
      <c r="T471" s="6"/>
      <c r="U471" s="6"/>
      <c r="V471" s="6"/>
      <c r="W471" s="6" t="str">
        <f t="shared" si="51"/>
        <v/>
      </c>
      <c r="X471" s="6" t="str">
        <f t="shared" si="52"/>
        <v/>
      </c>
      <c r="Y471" s="6" t="str">
        <f t="shared" si="53"/>
        <v/>
      </c>
      <c r="Z471" s="6" t="str">
        <f t="shared" si="54"/>
        <v/>
      </c>
      <c r="AA471" s="5" t="str">
        <f t="shared" si="55"/>
        <v/>
      </c>
    </row>
    <row r="472" spans="1:27" ht="14.5" x14ac:dyDescent="0.35">
      <c r="A472" s="5"/>
      <c r="B472" s="6"/>
      <c r="C472" s="6"/>
      <c r="D472" s="7"/>
      <c r="E472" s="6"/>
      <c r="F472" s="5" t="str">
        <f t="shared" si="49"/>
        <v/>
      </c>
      <c r="G472" s="5"/>
      <c r="H472" s="6"/>
      <c r="I472" s="6"/>
      <c r="J472" s="6"/>
      <c r="K472" s="7"/>
      <c r="L472" s="6"/>
      <c r="M472" s="8" t="str">
        <f t="shared" ca="1" si="50"/>
        <v/>
      </c>
      <c r="N472" s="6"/>
      <c r="O472" s="9"/>
      <c r="P472" s="10"/>
      <c r="Q472" s="6"/>
      <c r="R472" s="6"/>
      <c r="S472" s="6"/>
      <c r="T472" s="6"/>
      <c r="U472" s="6"/>
      <c r="V472" s="6"/>
      <c r="W472" s="6" t="str">
        <f t="shared" si="51"/>
        <v/>
      </c>
      <c r="X472" s="6" t="str">
        <f t="shared" si="52"/>
        <v/>
      </c>
      <c r="Y472" s="6" t="str">
        <f t="shared" si="53"/>
        <v/>
      </c>
      <c r="Z472" s="6" t="str">
        <f t="shared" si="54"/>
        <v/>
      </c>
      <c r="AA472" s="5" t="str">
        <f t="shared" si="55"/>
        <v/>
      </c>
    </row>
    <row r="473" spans="1:27" ht="14.5" x14ac:dyDescent="0.35">
      <c r="A473" s="5"/>
      <c r="B473" s="6"/>
      <c r="C473" s="6"/>
      <c r="D473" s="7"/>
      <c r="E473" s="6"/>
      <c r="F473" s="5" t="str">
        <f t="shared" si="49"/>
        <v/>
      </c>
      <c r="G473" s="5"/>
      <c r="H473" s="6"/>
      <c r="I473" s="6"/>
      <c r="J473" s="6"/>
      <c r="K473" s="7"/>
      <c r="L473" s="6"/>
      <c r="M473" s="8" t="str">
        <f t="shared" ca="1" si="50"/>
        <v/>
      </c>
      <c r="N473" s="6"/>
      <c r="O473" s="9"/>
      <c r="P473" s="10"/>
      <c r="Q473" s="6"/>
      <c r="R473" s="6"/>
      <c r="S473" s="6"/>
      <c r="T473" s="6"/>
      <c r="U473" s="6"/>
      <c r="V473" s="6"/>
      <c r="W473" s="6" t="str">
        <f t="shared" si="51"/>
        <v/>
      </c>
      <c r="X473" s="6" t="str">
        <f t="shared" si="52"/>
        <v/>
      </c>
      <c r="Y473" s="6" t="str">
        <f t="shared" si="53"/>
        <v/>
      </c>
      <c r="Z473" s="6" t="str">
        <f t="shared" si="54"/>
        <v/>
      </c>
      <c r="AA473" s="5" t="str">
        <f t="shared" si="55"/>
        <v/>
      </c>
    </row>
    <row r="474" spans="1:27" ht="14.5" x14ac:dyDescent="0.35">
      <c r="A474" s="5"/>
      <c r="B474" s="6"/>
      <c r="C474" s="6"/>
      <c r="D474" s="7"/>
      <c r="E474" s="6"/>
      <c r="F474" s="5" t="str">
        <f t="shared" si="49"/>
        <v/>
      </c>
      <c r="G474" s="5"/>
      <c r="H474" s="6"/>
      <c r="I474" s="6"/>
      <c r="J474" s="6"/>
      <c r="K474" s="7"/>
      <c r="L474" s="6"/>
      <c r="M474" s="8" t="str">
        <f t="shared" ca="1" si="50"/>
        <v/>
      </c>
      <c r="N474" s="6"/>
      <c r="O474" s="9"/>
      <c r="P474" s="10"/>
      <c r="Q474" s="6"/>
      <c r="R474" s="6"/>
      <c r="S474" s="6"/>
      <c r="T474" s="6"/>
      <c r="U474" s="6"/>
      <c r="V474" s="6"/>
      <c r="W474" s="6" t="str">
        <f t="shared" si="51"/>
        <v/>
      </c>
      <c r="X474" s="6" t="str">
        <f t="shared" si="52"/>
        <v/>
      </c>
      <c r="Y474" s="6" t="str">
        <f t="shared" si="53"/>
        <v/>
      </c>
      <c r="Z474" s="6" t="str">
        <f t="shared" si="54"/>
        <v/>
      </c>
      <c r="AA474" s="5" t="str">
        <f t="shared" si="55"/>
        <v/>
      </c>
    </row>
    <row r="475" spans="1:27" ht="14.5" x14ac:dyDescent="0.35">
      <c r="A475" s="5"/>
      <c r="B475" s="6"/>
      <c r="C475" s="6"/>
      <c r="D475" s="7"/>
      <c r="E475" s="6"/>
      <c r="F475" s="5" t="str">
        <f t="shared" si="49"/>
        <v/>
      </c>
      <c r="G475" s="5"/>
      <c r="H475" s="6"/>
      <c r="I475" s="6"/>
      <c r="J475" s="6"/>
      <c r="K475" s="7"/>
      <c r="L475" s="6"/>
      <c r="M475" s="8" t="str">
        <f t="shared" ca="1" si="50"/>
        <v/>
      </c>
      <c r="N475" s="6"/>
      <c r="O475" s="9"/>
      <c r="P475" s="10"/>
      <c r="Q475" s="6"/>
      <c r="R475" s="6"/>
      <c r="S475" s="6"/>
      <c r="T475" s="6"/>
      <c r="U475" s="6"/>
      <c r="V475" s="6"/>
      <c r="W475" s="6" t="str">
        <f t="shared" si="51"/>
        <v/>
      </c>
      <c r="X475" s="6" t="str">
        <f t="shared" si="52"/>
        <v/>
      </c>
      <c r="Y475" s="6" t="str">
        <f t="shared" si="53"/>
        <v/>
      </c>
      <c r="Z475" s="6" t="str">
        <f t="shared" si="54"/>
        <v/>
      </c>
      <c r="AA475" s="5" t="str">
        <f t="shared" si="55"/>
        <v/>
      </c>
    </row>
    <row r="476" spans="1:27" ht="14.5" x14ac:dyDescent="0.35">
      <c r="A476" s="5"/>
      <c r="B476" s="6"/>
      <c r="C476" s="6"/>
      <c r="D476" s="7"/>
      <c r="E476" s="6"/>
      <c r="F476" s="5" t="str">
        <f t="shared" si="49"/>
        <v/>
      </c>
      <c r="G476" s="5"/>
      <c r="H476" s="6"/>
      <c r="I476" s="6"/>
      <c r="J476" s="6"/>
      <c r="K476" s="7"/>
      <c r="L476" s="6"/>
      <c r="M476" s="8" t="str">
        <f t="shared" ca="1" si="50"/>
        <v/>
      </c>
      <c r="N476" s="6"/>
      <c r="O476" s="9"/>
      <c r="P476" s="10"/>
      <c r="Q476" s="6"/>
      <c r="R476" s="6"/>
      <c r="S476" s="6"/>
      <c r="T476" s="6"/>
      <c r="U476" s="6"/>
      <c r="V476" s="6"/>
      <c r="W476" s="6" t="str">
        <f t="shared" si="51"/>
        <v/>
      </c>
      <c r="X476" s="6" t="str">
        <f t="shared" si="52"/>
        <v/>
      </c>
      <c r="Y476" s="6" t="str">
        <f t="shared" si="53"/>
        <v/>
      </c>
      <c r="Z476" s="6" t="str">
        <f t="shared" si="54"/>
        <v/>
      </c>
      <c r="AA476" s="5" t="str">
        <f t="shared" si="55"/>
        <v/>
      </c>
    </row>
    <row r="477" spans="1:27" ht="14.5" x14ac:dyDescent="0.35">
      <c r="A477" s="5"/>
      <c r="B477" s="6"/>
      <c r="C477" s="6"/>
      <c r="D477" s="7"/>
      <c r="E477" s="6"/>
      <c r="F477" s="5" t="str">
        <f t="shared" si="49"/>
        <v/>
      </c>
      <c r="G477" s="5"/>
      <c r="H477" s="6"/>
      <c r="I477" s="6"/>
      <c r="J477" s="6"/>
      <c r="K477" s="7"/>
      <c r="L477" s="6"/>
      <c r="M477" s="8" t="str">
        <f t="shared" ca="1" si="50"/>
        <v/>
      </c>
      <c r="N477" s="6"/>
      <c r="O477" s="9"/>
      <c r="P477" s="10"/>
      <c r="Q477" s="6"/>
      <c r="R477" s="6"/>
      <c r="S477" s="6"/>
      <c r="T477" s="6"/>
      <c r="U477" s="6"/>
      <c r="V477" s="6"/>
      <c r="W477" s="6" t="str">
        <f t="shared" si="51"/>
        <v/>
      </c>
      <c r="X477" s="6" t="str">
        <f t="shared" si="52"/>
        <v/>
      </c>
      <c r="Y477" s="6" t="str">
        <f t="shared" si="53"/>
        <v/>
      </c>
      <c r="Z477" s="6" t="str">
        <f t="shared" si="54"/>
        <v/>
      </c>
      <c r="AA477" s="5" t="str">
        <f t="shared" si="55"/>
        <v/>
      </c>
    </row>
    <row r="478" spans="1:27" ht="14.5" x14ac:dyDescent="0.35">
      <c r="A478" s="5"/>
      <c r="B478" s="6"/>
      <c r="C478" s="6"/>
      <c r="D478" s="7"/>
      <c r="E478" s="6"/>
      <c r="F478" s="5" t="str">
        <f t="shared" si="49"/>
        <v/>
      </c>
      <c r="G478" s="5"/>
      <c r="H478" s="6"/>
      <c r="I478" s="6"/>
      <c r="J478" s="6"/>
      <c r="K478" s="7"/>
      <c r="L478" s="6"/>
      <c r="M478" s="8" t="str">
        <f t="shared" ca="1" si="50"/>
        <v/>
      </c>
      <c r="N478" s="6"/>
      <c r="O478" s="9"/>
      <c r="P478" s="10"/>
      <c r="Q478" s="6"/>
      <c r="R478" s="6"/>
      <c r="S478" s="6"/>
      <c r="T478" s="6"/>
      <c r="U478" s="6"/>
      <c r="V478" s="6"/>
      <c r="W478" s="6" t="str">
        <f t="shared" si="51"/>
        <v/>
      </c>
      <c r="X478" s="6" t="str">
        <f t="shared" si="52"/>
        <v/>
      </c>
      <c r="Y478" s="6" t="str">
        <f t="shared" si="53"/>
        <v/>
      </c>
      <c r="Z478" s="6" t="str">
        <f t="shared" si="54"/>
        <v/>
      </c>
      <c r="AA478" s="5" t="str">
        <f t="shared" si="55"/>
        <v/>
      </c>
    </row>
    <row r="479" spans="1:27" ht="14.5" x14ac:dyDescent="0.35">
      <c r="A479" s="5"/>
      <c r="B479" s="6"/>
      <c r="C479" s="6"/>
      <c r="D479" s="7"/>
      <c r="E479" s="6"/>
      <c r="F479" s="5" t="str">
        <f t="shared" si="49"/>
        <v/>
      </c>
      <c r="G479" s="5"/>
      <c r="H479" s="6"/>
      <c r="I479" s="6"/>
      <c r="J479" s="6"/>
      <c r="K479" s="7"/>
      <c r="L479" s="6"/>
      <c r="M479" s="8" t="str">
        <f t="shared" ca="1" si="50"/>
        <v/>
      </c>
      <c r="N479" s="6"/>
      <c r="O479" s="9"/>
      <c r="P479" s="10"/>
      <c r="Q479" s="6"/>
      <c r="R479" s="6"/>
      <c r="S479" s="6"/>
      <c r="T479" s="6"/>
      <c r="U479" s="6"/>
      <c r="V479" s="6"/>
      <c r="W479" s="6" t="str">
        <f t="shared" si="51"/>
        <v/>
      </c>
      <c r="X479" s="6" t="str">
        <f t="shared" si="52"/>
        <v/>
      </c>
      <c r="Y479" s="6" t="str">
        <f t="shared" si="53"/>
        <v/>
      </c>
      <c r="Z479" s="6" t="str">
        <f t="shared" si="54"/>
        <v/>
      </c>
      <c r="AA479" s="5" t="str">
        <f t="shared" si="55"/>
        <v/>
      </c>
    </row>
    <row r="480" spans="1:27" ht="14.5" x14ac:dyDescent="0.35">
      <c r="A480" s="5"/>
      <c r="B480" s="6"/>
      <c r="C480" s="6"/>
      <c r="D480" s="7"/>
      <c r="E480" s="6"/>
      <c r="F480" s="5" t="str">
        <f t="shared" si="49"/>
        <v/>
      </c>
      <c r="G480" s="5"/>
      <c r="H480" s="6"/>
      <c r="I480" s="6"/>
      <c r="J480" s="6"/>
      <c r="K480" s="7"/>
      <c r="L480" s="6"/>
      <c r="M480" s="8" t="str">
        <f t="shared" ca="1" si="50"/>
        <v/>
      </c>
      <c r="N480" s="6"/>
      <c r="O480" s="9"/>
      <c r="P480" s="10"/>
      <c r="Q480" s="6"/>
      <c r="R480" s="6"/>
      <c r="S480" s="6"/>
      <c r="T480" s="6"/>
      <c r="U480" s="6"/>
      <c r="V480" s="6"/>
      <c r="W480" s="6" t="str">
        <f t="shared" si="51"/>
        <v/>
      </c>
      <c r="X480" s="6" t="str">
        <f t="shared" si="52"/>
        <v/>
      </c>
      <c r="Y480" s="6" t="str">
        <f t="shared" si="53"/>
        <v/>
      </c>
      <c r="Z480" s="6" t="str">
        <f t="shared" si="54"/>
        <v/>
      </c>
      <c r="AA480" s="5" t="str">
        <f t="shared" si="55"/>
        <v/>
      </c>
    </row>
    <row r="481" spans="1:27" ht="14.5" x14ac:dyDescent="0.35">
      <c r="A481" s="5"/>
      <c r="B481" s="6"/>
      <c r="C481" s="6"/>
      <c r="D481" s="7"/>
      <c r="E481" s="6"/>
      <c r="F481" s="5" t="str">
        <f t="shared" si="49"/>
        <v/>
      </c>
      <c r="G481" s="5"/>
      <c r="H481" s="6"/>
      <c r="I481" s="6"/>
      <c r="J481" s="6"/>
      <c r="K481" s="7"/>
      <c r="L481" s="6"/>
      <c r="M481" s="8" t="str">
        <f t="shared" ca="1" si="50"/>
        <v/>
      </c>
      <c r="N481" s="6"/>
      <c r="O481" s="9"/>
      <c r="P481" s="10"/>
      <c r="Q481" s="6"/>
      <c r="R481" s="6"/>
      <c r="S481" s="6"/>
      <c r="T481" s="6"/>
      <c r="U481" s="6"/>
      <c r="V481" s="6"/>
      <c r="W481" s="6" t="str">
        <f t="shared" si="51"/>
        <v/>
      </c>
      <c r="X481" s="6" t="str">
        <f t="shared" si="52"/>
        <v/>
      </c>
      <c r="Y481" s="6" t="str">
        <f t="shared" si="53"/>
        <v/>
      </c>
      <c r="Z481" s="6" t="str">
        <f t="shared" si="54"/>
        <v/>
      </c>
      <c r="AA481" s="5" t="str">
        <f t="shared" si="55"/>
        <v/>
      </c>
    </row>
    <row r="482" spans="1:27" ht="14.5" x14ac:dyDescent="0.35">
      <c r="A482" s="5"/>
      <c r="B482" s="6"/>
      <c r="C482" s="6"/>
      <c r="D482" s="7"/>
      <c r="E482" s="6"/>
      <c r="F482" s="5" t="str">
        <f t="shared" si="49"/>
        <v/>
      </c>
      <c r="G482" s="5"/>
      <c r="H482" s="6"/>
      <c r="I482" s="6"/>
      <c r="J482" s="6"/>
      <c r="K482" s="7"/>
      <c r="L482" s="6"/>
      <c r="M482" s="8" t="str">
        <f t="shared" ca="1" si="50"/>
        <v/>
      </c>
      <c r="N482" s="6"/>
      <c r="O482" s="9"/>
      <c r="P482" s="10"/>
      <c r="Q482" s="6"/>
      <c r="R482" s="6"/>
      <c r="S482" s="6"/>
      <c r="T482" s="6"/>
      <c r="U482" s="6"/>
      <c r="V482" s="6"/>
      <c r="W482" s="6" t="str">
        <f t="shared" si="51"/>
        <v/>
      </c>
      <c r="X482" s="6" t="str">
        <f t="shared" si="52"/>
        <v/>
      </c>
      <c r="Y482" s="6" t="str">
        <f t="shared" si="53"/>
        <v/>
      </c>
      <c r="Z482" s="6" t="str">
        <f t="shared" si="54"/>
        <v/>
      </c>
      <c r="AA482" s="5" t="str">
        <f t="shared" si="55"/>
        <v/>
      </c>
    </row>
    <row r="483" spans="1:27" ht="14.5" x14ac:dyDescent="0.35">
      <c r="A483" s="5"/>
      <c r="B483" s="6"/>
      <c r="C483" s="6"/>
      <c r="D483" s="7"/>
      <c r="E483" s="6"/>
      <c r="F483" s="5" t="str">
        <f t="shared" si="49"/>
        <v/>
      </c>
      <c r="G483" s="5"/>
      <c r="H483" s="6"/>
      <c r="I483" s="6"/>
      <c r="J483" s="6"/>
      <c r="K483" s="7"/>
      <c r="L483" s="6"/>
      <c r="M483" s="8" t="str">
        <f t="shared" ca="1" si="50"/>
        <v/>
      </c>
      <c r="N483" s="6"/>
      <c r="O483" s="9"/>
      <c r="P483" s="10"/>
      <c r="Q483" s="6"/>
      <c r="R483" s="6"/>
      <c r="S483" s="6"/>
      <c r="T483" s="6"/>
      <c r="U483" s="6"/>
      <c r="V483" s="6"/>
      <c r="W483" s="6" t="str">
        <f t="shared" si="51"/>
        <v/>
      </c>
      <c r="X483" s="6" t="str">
        <f t="shared" si="52"/>
        <v/>
      </c>
      <c r="Y483" s="6" t="str">
        <f t="shared" si="53"/>
        <v/>
      </c>
      <c r="Z483" s="6" t="str">
        <f t="shared" si="54"/>
        <v/>
      </c>
      <c r="AA483" s="5" t="str">
        <f t="shared" si="55"/>
        <v/>
      </c>
    </row>
    <row r="484" spans="1:27" ht="14.5" x14ac:dyDescent="0.35">
      <c r="A484" s="5"/>
      <c r="B484" s="6"/>
      <c r="C484" s="6"/>
      <c r="D484" s="7"/>
      <c r="E484" s="6"/>
      <c r="F484" s="5" t="str">
        <f t="shared" si="49"/>
        <v/>
      </c>
      <c r="G484" s="5"/>
      <c r="H484" s="6"/>
      <c r="I484" s="6"/>
      <c r="J484" s="6"/>
      <c r="K484" s="7"/>
      <c r="L484" s="6"/>
      <c r="M484" s="8" t="str">
        <f t="shared" ca="1" si="50"/>
        <v/>
      </c>
      <c r="N484" s="6"/>
      <c r="O484" s="9"/>
      <c r="P484" s="10"/>
      <c r="Q484" s="6"/>
      <c r="R484" s="6"/>
      <c r="S484" s="6"/>
      <c r="T484" s="6"/>
      <c r="U484" s="6"/>
      <c r="V484" s="6"/>
      <c r="W484" s="6" t="str">
        <f t="shared" si="51"/>
        <v/>
      </c>
      <c r="X484" s="6" t="str">
        <f t="shared" si="52"/>
        <v/>
      </c>
      <c r="Y484" s="6" t="str">
        <f t="shared" si="53"/>
        <v/>
      </c>
      <c r="Z484" s="6" t="str">
        <f t="shared" si="54"/>
        <v/>
      </c>
      <c r="AA484" s="5" t="str">
        <f t="shared" si="55"/>
        <v/>
      </c>
    </row>
    <row r="485" spans="1:27" ht="14.5" x14ac:dyDescent="0.35">
      <c r="A485" s="5"/>
      <c r="B485" s="6"/>
      <c r="C485" s="6"/>
      <c r="D485" s="7"/>
      <c r="E485" s="6"/>
      <c r="F485" s="5" t="str">
        <f t="shared" si="49"/>
        <v/>
      </c>
      <c r="G485" s="5"/>
      <c r="H485" s="6"/>
      <c r="I485" s="6"/>
      <c r="J485" s="6"/>
      <c r="K485" s="7"/>
      <c r="L485" s="6"/>
      <c r="M485" s="8" t="str">
        <f t="shared" ca="1" si="50"/>
        <v/>
      </c>
      <c r="N485" s="6"/>
      <c r="O485" s="9"/>
      <c r="P485" s="10"/>
      <c r="Q485" s="6"/>
      <c r="R485" s="6"/>
      <c r="S485" s="6"/>
      <c r="T485" s="6"/>
      <c r="U485" s="6"/>
      <c r="V485" s="6"/>
      <c r="W485" s="6" t="str">
        <f t="shared" si="51"/>
        <v/>
      </c>
      <c r="X485" s="6" t="str">
        <f t="shared" si="52"/>
        <v/>
      </c>
      <c r="Y485" s="6" t="str">
        <f t="shared" si="53"/>
        <v/>
      </c>
      <c r="Z485" s="6" t="str">
        <f t="shared" si="54"/>
        <v/>
      </c>
      <c r="AA485" s="5" t="str">
        <f t="shared" si="55"/>
        <v/>
      </c>
    </row>
    <row r="486" spans="1:27" ht="14.5" x14ac:dyDescent="0.35">
      <c r="A486" s="5"/>
      <c r="B486" s="6"/>
      <c r="C486" s="6"/>
      <c r="D486" s="7"/>
      <c r="E486" s="6"/>
      <c r="F486" s="5" t="str">
        <f t="shared" si="49"/>
        <v/>
      </c>
      <c r="G486" s="5"/>
      <c r="H486" s="6"/>
      <c r="I486" s="6"/>
      <c r="J486" s="6"/>
      <c r="K486" s="7"/>
      <c r="L486" s="6"/>
      <c r="M486" s="8" t="str">
        <f t="shared" ca="1" si="50"/>
        <v/>
      </c>
      <c r="N486" s="6"/>
      <c r="O486" s="9"/>
      <c r="P486" s="10"/>
      <c r="Q486" s="6"/>
      <c r="R486" s="6"/>
      <c r="S486" s="6"/>
      <c r="T486" s="6"/>
      <c r="U486" s="6"/>
      <c r="V486" s="6"/>
      <c r="W486" s="6" t="str">
        <f t="shared" si="51"/>
        <v/>
      </c>
      <c r="X486" s="6" t="str">
        <f t="shared" si="52"/>
        <v/>
      </c>
      <c r="Y486" s="6" t="str">
        <f t="shared" si="53"/>
        <v/>
      </c>
      <c r="Z486" s="6" t="str">
        <f t="shared" si="54"/>
        <v/>
      </c>
      <c r="AA486" s="5" t="str">
        <f t="shared" si="55"/>
        <v/>
      </c>
    </row>
    <row r="487" spans="1:27" ht="14.5" x14ac:dyDescent="0.35">
      <c r="A487" s="5"/>
      <c r="B487" s="6"/>
      <c r="C487" s="6"/>
      <c r="D487" s="7"/>
      <c r="E487" s="6"/>
      <c r="F487" s="5" t="str">
        <f t="shared" si="49"/>
        <v/>
      </c>
      <c r="G487" s="5"/>
      <c r="H487" s="6"/>
      <c r="I487" s="6"/>
      <c r="J487" s="6"/>
      <c r="K487" s="7"/>
      <c r="L487" s="6"/>
      <c r="M487" s="8" t="str">
        <f t="shared" ca="1" si="50"/>
        <v/>
      </c>
      <c r="N487" s="6"/>
      <c r="O487" s="9"/>
      <c r="P487" s="10"/>
      <c r="Q487" s="6"/>
      <c r="R487" s="6"/>
      <c r="S487" s="6"/>
      <c r="T487" s="6"/>
      <c r="U487" s="6"/>
      <c r="V487" s="6"/>
      <c r="W487" s="6" t="str">
        <f t="shared" si="51"/>
        <v/>
      </c>
      <c r="X487" s="6" t="str">
        <f t="shared" si="52"/>
        <v/>
      </c>
      <c r="Y487" s="6" t="str">
        <f t="shared" si="53"/>
        <v/>
      </c>
      <c r="Z487" s="6" t="str">
        <f t="shared" si="54"/>
        <v/>
      </c>
      <c r="AA487" s="5" t="str">
        <f t="shared" si="55"/>
        <v/>
      </c>
    </row>
    <row r="488" spans="1:27" ht="14.5" x14ac:dyDescent="0.35">
      <c r="A488" s="5"/>
      <c r="B488" s="6"/>
      <c r="C488" s="6"/>
      <c r="D488" s="7"/>
      <c r="E488" s="6"/>
      <c r="F488" s="5" t="str">
        <f t="shared" si="49"/>
        <v/>
      </c>
      <c r="G488" s="5"/>
      <c r="H488" s="6"/>
      <c r="I488" s="6"/>
      <c r="J488" s="6"/>
      <c r="K488" s="7"/>
      <c r="L488" s="6"/>
      <c r="M488" s="8" t="str">
        <f t="shared" ca="1" si="50"/>
        <v/>
      </c>
      <c r="N488" s="6"/>
      <c r="O488" s="9"/>
      <c r="P488" s="10"/>
      <c r="Q488" s="6"/>
      <c r="R488" s="6"/>
      <c r="S488" s="6"/>
      <c r="T488" s="6"/>
      <c r="U488" s="6"/>
      <c r="V488" s="6"/>
      <c r="W488" s="6" t="str">
        <f t="shared" si="51"/>
        <v/>
      </c>
      <c r="X488" s="6" t="str">
        <f t="shared" si="52"/>
        <v/>
      </c>
      <c r="Y488" s="6" t="str">
        <f t="shared" si="53"/>
        <v/>
      </c>
      <c r="Z488" s="6" t="str">
        <f t="shared" si="54"/>
        <v/>
      </c>
      <c r="AA488" s="5" t="str">
        <f t="shared" si="55"/>
        <v/>
      </c>
    </row>
    <row r="489" spans="1:27" ht="14.5" x14ac:dyDescent="0.35">
      <c r="A489" s="5"/>
      <c r="B489" s="6"/>
      <c r="C489" s="6"/>
      <c r="D489" s="7"/>
      <c r="E489" s="6"/>
      <c r="F489" s="5" t="str">
        <f t="shared" si="49"/>
        <v/>
      </c>
      <c r="G489" s="5"/>
      <c r="H489" s="6"/>
      <c r="I489" s="6"/>
      <c r="J489" s="6"/>
      <c r="K489" s="7"/>
      <c r="L489" s="6"/>
      <c r="M489" s="8" t="str">
        <f t="shared" ca="1" si="50"/>
        <v/>
      </c>
      <c r="N489" s="6"/>
      <c r="O489" s="9"/>
      <c r="P489" s="10"/>
      <c r="Q489" s="6"/>
      <c r="R489" s="6"/>
      <c r="S489" s="6"/>
      <c r="T489" s="6"/>
      <c r="U489" s="6"/>
      <c r="V489" s="6"/>
      <c r="W489" s="6" t="str">
        <f t="shared" si="51"/>
        <v/>
      </c>
      <c r="X489" s="6" t="str">
        <f t="shared" si="52"/>
        <v/>
      </c>
      <c r="Y489" s="6" t="str">
        <f t="shared" si="53"/>
        <v/>
      </c>
      <c r="Z489" s="6" t="str">
        <f t="shared" si="54"/>
        <v/>
      </c>
      <c r="AA489" s="5" t="str">
        <f t="shared" si="55"/>
        <v/>
      </c>
    </row>
    <row r="490" spans="1:27" ht="14.5" x14ac:dyDescent="0.35">
      <c r="A490" s="5"/>
      <c r="B490" s="6"/>
      <c r="C490" s="6"/>
      <c r="D490" s="7"/>
      <c r="E490" s="6"/>
      <c r="F490" s="5" t="str">
        <f t="shared" si="49"/>
        <v/>
      </c>
      <c r="G490" s="5"/>
      <c r="H490" s="6"/>
      <c r="I490" s="6"/>
      <c r="J490" s="6"/>
      <c r="K490" s="7"/>
      <c r="L490" s="6"/>
      <c r="M490" s="8" t="str">
        <f t="shared" ca="1" si="50"/>
        <v/>
      </c>
      <c r="N490" s="6"/>
      <c r="O490" s="9"/>
      <c r="P490" s="10"/>
      <c r="Q490" s="6"/>
      <c r="R490" s="6"/>
      <c r="S490" s="6"/>
      <c r="T490" s="6"/>
      <c r="U490" s="6"/>
      <c r="V490" s="6"/>
      <c r="W490" s="6" t="str">
        <f t="shared" si="51"/>
        <v/>
      </c>
      <c r="X490" s="6" t="str">
        <f t="shared" si="52"/>
        <v/>
      </c>
      <c r="Y490" s="6" t="str">
        <f t="shared" si="53"/>
        <v/>
      </c>
      <c r="Z490" s="6" t="str">
        <f t="shared" si="54"/>
        <v/>
      </c>
      <c r="AA490" s="5" t="str">
        <f t="shared" si="55"/>
        <v/>
      </c>
    </row>
    <row r="491" spans="1:27" ht="14.5" x14ac:dyDescent="0.35">
      <c r="A491" s="5"/>
      <c r="B491" s="6"/>
      <c r="C491" s="6"/>
      <c r="D491" s="7"/>
      <c r="E491" s="6"/>
      <c r="F491" s="5" t="str">
        <f t="shared" si="49"/>
        <v/>
      </c>
      <c r="G491" s="5"/>
      <c r="H491" s="6"/>
      <c r="I491" s="6"/>
      <c r="J491" s="6"/>
      <c r="K491" s="7"/>
      <c r="L491" s="6"/>
      <c r="M491" s="8" t="str">
        <f t="shared" ca="1" si="50"/>
        <v/>
      </c>
      <c r="N491" s="6"/>
      <c r="O491" s="9"/>
      <c r="P491" s="10"/>
      <c r="Q491" s="6"/>
      <c r="R491" s="6"/>
      <c r="S491" s="6"/>
      <c r="T491" s="6"/>
      <c r="U491" s="6"/>
      <c r="V491" s="6"/>
      <c r="W491" s="6" t="str">
        <f t="shared" si="51"/>
        <v/>
      </c>
      <c r="X491" s="6" t="str">
        <f t="shared" si="52"/>
        <v/>
      </c>
      <c r="Y491" s="6" t="str">
        <f t="shared" si="53"/>
        <v/>
      </c>
      <c r="Z491" s="6" t="str">
        <f t="shared" si="54"/>
        <v/>
      </c>
      <c r="AA491" s="5" t="str">
        <f t="shared" si="55"/>
        <v/>
      </c>
    </row>
    <row r="492" spans="1:27" ht="14.5" x14ac:dyDescent="0.35">
      <c r="A492" s="5"/>
      <c r="B492" s="6"/>
      <c r="C492" s="6"/>
      <c r="D492" s="7"/>
      <c r="E492" s="6"/>
      <c r="F492" s="5" t="str">
        <f t="shared" si="49"/>
        <v/>
      </c>
      <c r="G492" s="5"/>
      <c r="H492" s="6"/>
      <c r="I492" s="6"/>
      <c r="J492" s="6"/>
      <c r="K492" s="7"/>
      <c r="L492" s="6"/>
      <c r="M492" s="8" t="str">
        <f t="shared" ca="1" si="50"/>
        <v/>
      </c>
      <c r="N492" s="6"/>
      <c r="O492" s="9"/>
      <c r="P492" s="10"/>
      <c r="Q492" s="6"/>
      <c r="R492" s="6"/>
      <c r="S492" s="6"/>
      <c r="T492" s="6"/>
      <c r="U492" s="6"/>
      <c r="V492" s="6"/>
      <c r="W492" s="6" t="str">
        <f t="shared" si="51"/>
        <v/>
      </c>
      <c r="X492" s="6" t="str">
        <f t="shared" si="52"/>
        <v/>
      </c>
      <c r="Y492" s="6" t="str">
        <f t="shared" si="53"/>
        <v/>
      </c>
      <c r="Z492" s="6" t="str">
        <f t="shared" si="54"/>
        <v/>
      </c>
      <c r="AA492" s="5" t="str">
        <f t="shared" si="55"/>
        <v/>
      </c>
    </row>
    <row r="493" spans="1:27" ht="14.5" x14ac:dyDescent="0.35">
      <c r="A493" s="5"/>
      <c r="B493" s="6"/>
      <c r="C493" s="6"/>
      <c r="D493" s="7"/>
      <c r="E493" s="6"/>
      <c r="F493" s="5" t="str">
        <f t="shared" si="49"/>
        <v/>
      </c>
      <c r="G493" s="5"/>
      <c r="H493" s="6"/>
      <c r="I493" s="6"/>
      <c r="J493" s="6"/>
      <c r="K493" s="7"/>
      <c r="L493" s="6"/>
      <c r="M493" s="8" t="str">
        <f t="shared" ca="1" si="50"/>
        <v/>
      </c>
      <c r="N493" s="6"/>
      <c r="O493" s="9"/>
      <c r="P493" s="10"/>
      <c r="Q493" s="6"/>
      <c r="R493" s="6"/>
      <c r="S493" s="6"/>
      <c r="T493" s="6"/>
      <c r="U493" s="6"/>
      <c r="V493" s="6"/>
      <c r="W493" s="6" t="str">
        <f t="shared" si="51"/>
        <v/>
      </c>
      <c r="X493" s="6" t="str">
        <f t="shared" si="52"/>
        <v/>
      </c>
      <c r="Y493" s="6" t="str">
        <f t="shared" si="53"/>
        <v/>
      </c>
      <c r="Z493" s="6" t="str">
        <f t="shared" si="54"/>
        <v/>
      </c>
      <c r="AA493" s="5" t="str">
        <f t="shared" si="55"/>
        <v/>
      </c>
    </row>
    <row r="494" spans="1:27" ht="14.5" x14ac:dyDescent="0.35">
      <c r="A494" s="5"/>
      <c r="B494" s="6"/>
      <c r="C494" s="6"/>
      <c r="D494" s="7"/>
      <c r="E494" s="6"/>
      <c r="F494" s="5" t="str">
        <f t="shared" si="49"/>
        <v/>
      </c>
      <c r="G494" s="5"/>
      <c r="H494" s="6"/>
      <c r="I494" s="6"/>
      <c r="J494" s="6"/>
      <c r="K494" s="7"/>
      <c r="L494" s="6"/>
      <c r="M494" s="8" t="str">
        <f t="shared" ca="1" si="50"/>
        <v/>
      </c>
      <c r="N494" s="6"/>
      <c r="O494" s="9"/>
      <c r="P494" s="10"/>
      <c r="Q494" s="6"/>
      <c r="R494" s="6"/>
      <c r="S494" s="6"/>
      <c r="T494" s="6"/>
      <c r="U494" s="6"/>
      <c r="V494" s="6"/>
      <c r="W494" s="6" t="str">
        <f t="shared" si="51"/>
        <v/>
      </c>
      <c r="X494" s="6" t="str">
        <f t="shared" si="52"/>
        <v/>
      </c>
      <c r="Y494" s="6" t="str">
        <f t="shared" si="53"/>
        <v/>
      </c>
      <c r="Z494" s="6" t="str">
        <f t="shared" si="54"/>
        <v/>
      </c>
      <c r="AA494" s="5" t="str">
        <f t="shared" si="55"/>
        <v/>
      </c>
    </row>
    <row r="495" spans="1:27" ht="14.5" x14ac:dyDescent="0.35">
      <c r="A495" s="5"/>
      <c r="B495" s="6"/>
      <c r="C495" s="6"/>
      <c r="D495" s="7"/>
      <c r="E495" s="6"/>
      <c r="F495" s="5" t="str">
        <f t="shared" si="49"/>
        <v/>
      </c>
      <c r="G495" s="5"/>
      <c r="H495" s="6"/>
      <c r="I495" s="6"/>
      <c r="J495" s="6"/>
      <c r="K495" s="7"/>
      <c r="L495" s="6"/>
      <c r="M495" s="8" t="str">
        <f t="shared" ca="1" si="50"/>
        <v/>
      </c>
      <c r="N495" s="6"/>
      <c r="O495" s="9"/>
      <c r="P495" s="10"/>
      <c r="Q495" s="6"/>
      <c r="R495" s="6"/>
      <c r="S495" s="6"/>
      <c r="T495" s="6"/>
      <c r="U495" s="6"/>
      <c r="V495" s="6"/>
      <c r="W495" s="6" t="str">
        <f t="shared" si="51"/>
        <v/>
      </c>
      <c r="X495" s="6" t="str">
        <f t="shared" si="52"/>
        <v/>
      </c>
      <c r="Y495" s="6" t="str">
        <f t="shared" si="53"/>
        <v/>
      </c>
      <c r="Z495" s="6" t="str">
        <f t="shared" si="54"/>
        <v/>
      </c>
      <c r="AA495" s="5" t="str">
        <f t="shared" si="55"/>
        <v/>
      </c>
    </row>
    <row r="496" spans="1:27" ht="14.5" x14ac:dyDescent="0.35">
      <c r="A496" s="5"/>
      <c r="B496" s="6"/>
      <c r="C496" s="6"/>
      <c r="D496" s="7"/>
      <c r="E496" s="6"/>
      <c r="F496" s="5" t="str">
        <f t="shared" si="49"/>
        <v/>
      </c>
      <c r="G496" s="5"/>
      <c r="H496" s="6"/>
      <c r="I496" s="6"/>
      <c r="J496" s="6"/>
      <c r="K496" s="7"/>
      <c r="L496" s="6"/>
      <c r="M496" s="8" t="str">
        <f t="shared" ca="1" si="50"/>
        <v/>
      </c>
      <c r="N496" s="6"/>
      <c r="O496" s="9"/>
      <c r="P496" s="10"/>
      <c r="Q496" s="6"/>
      <c r="R496" s="6"/>
      <c r="S496" s="6"/>
      <c r="T496" s="6"/>
      <c r="U496" s="6"/>
      <c r="V496" s="6"/>
      <c r="W496" s="6" t="str">
        <f t="shared" si="51"/>
        <v/>
      </c>
      <c r="X496" s="6" t="str">
        <f t="shared" si="52"/>
        <v/>
      </c>
      <c r="Y496" s="6" t="str">
        <f t="shared" si="53"/>
        <v/>
      </c>
      <c r="Z496" s="6" t="str">
        <f t="shared" si="54"/>
        <v/>
      </c>
      <c r="AA496" s="5" t="str">
        <f t="shared" si="55"/>
        <v/>
      </c>
    </row>
    <row r="497" spans="1:27" ht="14.5" x14ac:dyDescent="0.35">
      <c r="A497" s="5"/>
      <c r="B497" s="6"/>
      <c r="C497" s="6"/>
      <c r="D497" s="7"/>
      <c r="E497" s="6"/>
      <c r="F497" s="5" t="str">
        <f t="shared" si="49"/>
        <v/>
      </c>
      <c r="G497" s="5"/>
      <c r="H497" s="6"/>
      <c r="I497" s="6"/>
      <c r="J497" s="6"/>
      <c r="K497" s="7"/>
      <c r="L497" s="6"/>
      <c r="M497" s="8" t="str">
        <f t="shared" ca="1" si="50"/>
        <v/>
      </c>
      <c r="N497" s="6"/>
      <c r="O497" s="9"/>
      <c r="P497" s="10"/>
      <c r="Q497" s="6"/>
      <c r="R497" s="6"/>
      <c r="S497" s="6"/>
      <c r="T497" s="6"/>
      <c r="U497" s="6"/>
      <c r="V497" s="6"/>
      <c r="W497" s="6" t="str">
        <f t="shared" si="51"/>
        <v/>
      </c>
      <c r="X497" s="6" t="str">
        <f t="shared" si="52"/>
        <v/>
      </c>
      <c r="Y497" s="6" t="str">
        <f t="shared" si="53"/>
        <v/>
      </c>
      <c r="Z497" s="6" t="str">
        <f t="shared" si="54"/>
        <v/>
      </c>
      <c r="AA497" s="5" t="str">
        <f t="shared" si="55"/>
        <v/>
      </c>
    </row>
    <row r="498" spans="1:27" ht="14.5" x14ac:dyDescent="0.35">
      <c r="A498" s="5"/>
      <c r="B498" s="6"/>
      <c r="C498" s="6"/>
      <c r="D498" s="7"/>
      <c r="E498" s="6"/>
      <c r="F498" s="5" t="str">
        <f t="shared" si="49"/>
        <v/>
      </c>
      <c r="G498" s="5"/>
      <c r="H498" s="6"/>
      <c r="I498" s="6"/>
      <c r="J498" s="6"/>
      <c r="K498" s="7"/>
      <c r="L498" s="6"/>
      <c r="M498" s="8" t="str">
        <f t="shared" ca="1" si="50"/>
        <v/>
      </c>
      <c r="N498" s="6"/>
      <c r="O498" s="9"/>
      <c r="P498" s="10"/>
      <c r="Q498" s="6"/>
      <c r="R498" s="6"/>
      <c r="S498" s="6"/>
      <c r="T498" s="6"/>
      <c r="U498" s="6"/>
      <c r="V498" s="6"/>
      <c r="W498" s="6" t="str">
        <f t="shared" si="51"/>
        <v/>
      </c>
      <c r="X498" s="6" t="str">
        <f t="shared" si="52"/>
        <v/>
      </c>
      <c r="Y498" s="6" t="str">
        <f t="shared" si="53"/>
        <v/>
      </c>
      <c r="Z498" s="6" t="str">
        <f t="shared" si="54"/>
        <v/>
      </c>
      <c r="AA498" s="5" t="str">
        <f t="shared" si="55"/>
        <v/>
      </c>
    </row>
    <row r="499" spans="1:27" ht="14.5" x14ac:dyDescent="0.35">
      <c r="A499" s="5"/>
      <c r="B499" s="6"/>
      <c r="C499" s="6"/>
      <c r="D499" s="7"/>
      <c r="E499" s="6"/>
      <c r="F499" s="5" t="str">
        <f t="shared" si="49"/>
        <v/>
      </c>
      <c r="G499" s="5"/>
      <c r="H499" s="6"/>
      <c r="I499" s="6"/>
      <c r="J499" s="6"/>
      <c r="K499" s="7"/>
      <c r="L499" s="6"/>
      <c r="M499" s="8" t="str">
        <f t="shared" ca="1" si="50"/>
        <v/>
      </c>
      <c r="N499" s="6"/>
      <c r="O499" s="9"/>
      <c r="P499" s="10"/>
      <c r="Q499" s="6"/>
      <c r="R499" s="6"/>
      <c r="S499" s="6"/>
      <c r="T499" s="6"/>
      <c r="U499" s="6"/>
      <c r="V499" s="6"/>
      <c r="W499" s="6" t="str">
        <f t="shared" si="51"/>
        <v/>
      </c>
      <c r="X499" s="6" t="str">
        <f t="shared" si="52"/>
        <v/>
      </c>
      <c r="Y499" s="6" t="str">
        <f t="shared" si="53"/>
        <v/>
      </c>
      <c r="Z499" s="6" t="str">
        <f t="shared" si="54"/>
        <v/>
      </c>
      <c r="AA499" s="5" t="str">
        <f t="shared" si="55"/>
        <v/>
      </c>
    </row>
    <row r="500" spans="1:27" ht="14.5" x14ac:dyDescent="0.35">
      <c r="A500" s="5"/>
      <c r="B500" s="6"/>
      <c r="C500" s="6"/>
      <c r="D500" s="7"/>
      <c r="E500" s="6"/>
      <c r="F500" s="5" t="str">
        <f t="shared" si="49"/>
        <v/>
      </c>
      <c r="G500" s="5"/>
      <c r="H500" s="6"/>
      <c r="I500" s="6"/>
      <c r="J500" s="6"/>
      <c r="K500" s="7"/>
      <c r="L500" s="6"/>
      <c r="M500" s="8" t="str">
        <f t="shared" ca="1" si="50"/>
        <v/>
      </c>
      <c r="N500" s="6"/>
      <c r="O500" s="9"/>
      <c r="P500" s="10"/>
      <c r="Q500" s="6"/>
      <c r="R500" s="6"/>
      <c r="S500" s="6"/>
      <c r="T500" s="6"/>
      <c r="U500" s="6"/>
      <c r="V500" s="6"/>
      <c r="W500" s="6" t="str">
        <f t="shared" si="51"/>
        <v/>
      </c>
      <c r="X500" s="6" t="str">
        <f t="shared" si="52"/>
        <v/>
      </c>
      <c r="Y500" s="6" t="str">
        <f t="shared" si="53"/>
        <v/>
      </c>
      <c r="Z500" s="6" t="str">
        <f t="shared" si="54"/>
        <v/>
      </c>
      <c r="AA500" s="5" t="str">
        <f t="shared" si="55"/>
        <v/>
      </c>
    </row>
    <row r="501" spans="1:27" ht="14.5" x14ac:dyDescent="0.35">
      <c r="A501" s="5"/>
      <c r="B501" s="6"/>
      <c r="C501" s="6"/>
      <c r="D501" s="7"/>
      <c r="E501" s="6"/>
      <c r="F501" s="5" t="str">
        <f t="shared" si="49"/>
        <v/>
      </c>
      <c r="G501" s="5"/>
      <c r="H501" s="6"/>
      <c r="I501" s="6"/>
      <c r="J501" s="6"/>
      <c r="K501" s="7"/>
      <c r="L501" s="6"/>
      <c r="M501" s="8" t="str">
        <f t="shared" ca="1" si="50"/>
        <v/>
      </c>
      <c r="N501" s="6"/>
      <c r="O501" s="9"/>
      <c r="P501" s="10"/>
      <c r="Q501" s="6"/>
      <c r="R501" s="6"/>
      <c r="S501" s="6"/>
      <c r="T501" s="6"/>
      <c r="U501" s="6"/>
      <c r="V501" s="6"/>
      <c r="W501" s="6" t="str">
        <f t="shared" si="51"/>
        <v/>
      </c>
      <c r="X501" s="6" t="str">
        <f t="shared" si="52"/>
        <v/>
      </c>
      <c r="Y501" s="6" t="str">
        <f t="shared" si="53"/>
        <v/>
      </c>
      <c r="Z501" s="6" t="str">
        <f t="shared" si="54"/>
        <v/>
      </c>
      <c r="AA501" s="5" t="str">
        <f t="shared" si="55"/>
        <v/>
      </c>
    </row>
  </sheetData>
  <conditionalFormatting sqref="A2:P501">
    <cfRule type="expression" dxfId="479" priority="10">
      <formula>$S2=1</formula>
    </cfRule>
    <cfRule type="expression" dxfId="478" priority="11">
      <formula>$S2=2</formula>
    </cfRule>
    <cfRule type="expression" dxfId="477" priority="12">
      <formula>$S2=3</formula>
    </cfRule>
    <cfRule type="expression" dxfId="476" priority="13">
      <formula>$S2=4</formula>
    </cfRule>
    <cfRule type="expression" dxfId="475" priority="14">
      <formula>$S2=5</formula>
    </cfRule>
  </conditionalFormatting>
  <conditionalFormatting sqref="E2:E501">
    <cfRule type="expression" dxfId="474" priority="15">
      <formula>$S2&gt;=1</formula>
    </cfRule>
  </conditionalFormatting>
  <conditionalFormatting sqref="F2:F501">
    <cfRule type="expression" dxfId="473" priority="16">
      <formula>AND(ISNUMBER($F2),$F2&gt;=1,$F2&lt;3)</formula>
    </cfRule>
    <cfRule type="expression" dxfId="472" priority="17">
      <formula>AND(ISNUMBER($F2),$F2&gt;=3,$F2&lt;6)</formula>
    </cfRule>
    <cfRule type="expression" dxfId="471" priority="18">
      <formula>AND(ISNUMBER($F2),$F2&gt;=6,$F2&lt;11)</formula>
    </cfRule>
    <cfRule type="expression" dxfId="470" priority="19">
      <formula>AND(ISNUMBER($F2),$F2&gt;=11,$F2&lt;21)</formula>
    </cfRule>
    <cfRule type="expression" dxfId="469" priority="20">
      <formula>AND(ISNUMBER($F2),$F2&gt;=21)</formula>
    </cfRule>
  </conditionalFormatting>
  <conditionalFormatting sqref="J2:J501">
    <cfRule type="expression" dxfId="468" priority="1">
      <formula>$J2="Low"</formula>
    </cfRule>
    <cfRule type="expression" dxfId="467" priority="2">
      <formula>$J2="Medium"</formula>
    </cfRule>
    <cfRule type="expression" dxfId="466" priority="3">
      <formula>$J2="High"</formula>
    </cfRule>
  </conditionalFormatting>
  <conditionalFormatting sqref="L2:L501">
    <cfRule type="expression" dxfId="465" priority="7">
      <formula>$L2="Not Started"</formula>
    </cfRule>
    <cfRule type="expression" dxfId="464" priority="8">
      <formula>$L2="In Progress"</formula>
    </cfRule>
    <cfRule type="expression" dxfId="463" priority="9">
      <formula>$L2="Completed"</formula>
    </cfRule>
  </conditionalFormatting>
  <conditionalFormatting sqref="M2:M501">
    <cfRule type="expression" dxfId="462" priority="4">
      <formula>AND(ISNUMBER($M2),$M2&lt;0)</formula>
    </cfRule>
    <cfRule type="expression" dxfId="461" priority="5">
      <formula>AND(ISNUMBER($M2),$M2&gt;=0,$M2&lt;=2)</formula>
    </cfRule>
    <cfRule type="expression" dxfId="460" priority="6">
      <formula>AND(ISNUMBER($M2),$M2&gt;2)</formula>
    </cfRule>
  </conditionalFormatting>
  <dataValidations count="5">
    <dataValidation type="list" allowBlank="1" sqref="J2:J501" xr:uid="{00000000-0002-0000-0100-000000000000}">
      <formula1>"Low,Medium,High"</formula1>
    </dataValidation>
    <dataValidation type="list" allowBlank="1" sqref="L2:L501" xr:uid="{00000000-0002-0000-0100-000001000000}">
      <formula1>"Not Started,In Progress,Completed,Delete"</formula1>
    </dataValidation>
    <dataValidation type="list" allowBlank="1" sqref="I2:I501" xr:uid="{00000000-0002-0000-0100-000002000000}">
      <formula1>CampaignNameList</formula1>
    </dataValidation>
    <dataValidation type="custom" showErrorMessage="1" errorTitle="Use the picker instead" error="Double-click this cell to pick a date from the Calendar instead." sqref="K2:K501" xr:uid="{00000000-0002-0000-0100-000003000000}">
      <formula1>FALSE</formula1>
    </dataValidation>
    <dataValidation type="custom" showErrorMessage="1" errorTitle="Use the picker instead" error="Double-click this cell to open the Notes popup instead." sqref="P2:P501" xr:uid="{00000000-0002-0000-0100-000004000000}">
      <formula1>FALSE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898781"/>
  </sheetPr>
  <dimension ref="A1:R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0" customWidth="1"/>
    <col min="2" max="2" width="19" customWidth="1"/>
    <col min="3" max="3" width="32" customWidth="1"/>
    <col min="4" max="5" width="10" customWidth="1"/>
    <col min="6" max="7" width="18" customWidth="1"/>
    <col min="8" max="8" width="10" customWidth="1"/>
    <col min="9" max="9" width="19" customWidth="1"/>
    <col min="10" max="10" width="13" customWidth="1"/>
    <col min="11" max="11" width="10" customWidth="1"/>
    <col min="12" max="12" width="13" hidden="1" customWidth="1"/>
    <col min="13" max="13" width="8" customWidth="1"/>
    <col min="14" max="14" width="19" customWidth="1"/>
    <col min="15" max="17" width="13" hidden="1" customWidth="1"/>
    <col min="18" max="18" width="12" customWidth="1"/>
  </cols>
  <sheetData>
    <row r="1" spans="1:18" ht="32" customHeight="1" x14ac:dyDescent="0.35">
      <c r="A1" s="4" t="s">
        <v>3</v>
      </c>
      <c r="B1" s="4" t="s">
        <v>6</v>
      </c>
      <c r="C1" s="4" t="s">
        <v>7</v>
      </c>
      <c r="D1" s="4" t="s">
        <v>8</v>
      </c>
      <c r="E1" s="4" t="s">
        <v>9</v>
      </c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4" t="s">
        <v>17</v>
      </c>
      <c r="M1" s="4" t="s">
        <v>18</v>
      </c>
      <c r="N1" s="4" t="s">
        <v>29</v>
      </c>
      <c r="O1" s="4" t="s">
        <v>0</v>
      </c>
      <c r="P1" s="4" t="s">
        <v>19</v>
      </c>
      <c r="Q1" s="4" t="s">
        <v>20</v>
      </c>
      <c r="R1" s="11" t="s">
        <v>28</v>
      </c>
    </row>
    <row r="2" spans="1:18" ht="14.5" x14ac:dyDescent="0.35">
      <c r="A2" s="12"/>
      <c r="B2" s="13"/>
      <c r="D2" s="14"/>
      <c r="E2" s="12"/>
      <c r="I2" s="13"/>
      <c r="K2" s="15"/>
      <c r="L2" s="3"/>
      <c r="M2" s="16"/>
      <c r="N2" s="13"/>
      <c r="R2" s="14" t="str">
        <f>TEXT(INT(ROUND(L2*60,0)/60),"0")&amp;"h "&amp;TEXT(MOD(ROUND(L2*60,0),60),"00")&amp;"m"</f>
        <v>0h 00m</v>
      </c>
    </row>
  </sheetData>
  <sheetProtection sheet="1"/>
  <conditionalFormatting sqref="A2:R1000">
    <cfRule type="expression" dxfId="459" priority="7">
      <formula>MOD(ROW()-2,2)=0</formula>
    </cfRule>
  </conditionalFormatting>
  <conditionalFormatting sqref="H2:H1000">
    <cfRule type="expression" dxfId="458" priority="1">
      <formula>$H2="Low"</formula>
    </cfRule>
    <cfRule type="expression" dxfId="457" priority="2">
      <formula>$H2="Medium"</formula>
    </cfRule>
    <cfRule type="expression" dxfId="456" priority="3">
      <formula>$H2="High"</formula>
    </cfRule>
  </conditionalFormatting>
  <conditionalFormatting sqref="K2:K1000">
    <cfRule type="expression" dxfId="455" priority="4">
      <formula>$K2&gt;0</formula>
    </cfRule>
    <cfRule type="expression" dxfId="454" priority="5">
      <formula>$K2&lt;0</formula>
    </cfRule>
    <cfRule type="expression" dxfId="453" priority="6">
      <formula>$K2=0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1F4E79"/>
  </sheetPr>
  <dimension ref="A1:AB202"/>
  <sheetViews>
    <sheetView showGridLines="0" zoomScale="115" workbookViewId="0">
      <pane ySplit="2" topLeftCell="A3" activePane="bottomLeft" state="frozen"/>
      <selection pane="bottomLeft"/>
    </sheetView>
  </sheetViews>
  <sheetFormatPr defaultRowHeight="19" customHeight="1" x14ac:dyDescent="0.35"/>
  <cols>
    <col min="1" max="2" width="4" customWidth="1"/>
    <col min="3" max="3" width="22" customWidth="1"/>
    <col min="4" max="4" width="12" customWidth="1"/>
    <col min="5" max="6" width="13" customWidth="1"/>
    <col min="7" max="7" width="11" customWidth="1"/>
    <col min="8" max="8" width="10" customWidth="1"/>
    <col min="9" max="9" width="8" customWidth="1"/>
    <col min="10" max="24" width="9" customWidth="1"/>
    <col min="25" max="28" width="13" hidden="1" customWidth="1"/>
  </cols>
  <sheetData>
    <row r="1" spans="1:28" ht="14.5" hidden="1" x14ac:dyDescent="0.35">
      <c r="A1">
        <f ca="1">TODAY()-WEEKDAY(TODAY(),3)</f>
        <v>46216</v>
      </c>
      <c r="J1">
        <f ca="1">A1</f>
        <v>46216</v>
      </c>
      <c r="K1">
        <f ca="1">A1+7</f>
        <v>46223</v>
      </c>
      <c r="L1">
        <f ca="1">A1+14</f>
        <v>46230</v>
      </c>
      <c r="M1">
        <f ca="1">A1+21</f>
        <v>46237</v>
      </c>
      <c r="N1">
        <f ca="1">A1+28</f>
        <v>46244</v>
      </c>
      <c r="O1">
        <f ca="1">A1+35</f>
        <v>46251</v>
      </c>
      <c r="P1">
        <f ca="1">A1+42</f>
        <v>46258</v>
      </c>
      <c r="Q1">
        <f ca="1">A1+49</f>
        <v>46265</v>
      </c>
      <c r="R1">
        <f ca="1">A1+56</f>
        <v>46272</v>
      </c>
      <c r="S1">
        <f ca="1">A1+63</f>
        <v>46279</v>
      </c>
      <c r="T1">
        <f ca="1">A1+70</f>
        <v>46286</v>
      </c>
      <c r="U1">
        <f ca="1">A1+77</f>
        <v>46293</v>
      </c>
      <c r="V1">
        <f ca="1">A1+84</f>
        <v>46300</v>
      </c>
      <c r="W1">
        <f ca="1">A1+91</f>
        <v>46307</v>
      </c>
      <c r="X1">
        <f ca="1">A1+98</f>
        <v>46314</v>
      </c>
    </row>
    <row r="2" spans="1:28" ht="32" customHeight="1" x14ac:dyDescent="0.35">
      <c r="A2" s="4" t="s">
        <v>4</v>
      </c>
      <c r="B2" s="4" t="s">
        <v>5</v>
      </c>
      <c r="C2" s="4" t="s">
        <v>30</v>
      </c>
      <c r="D2" s="4" t="s">
        <v>31</v>
      </c>
      <c r="E2" s="4" t="s">
        <v>6</v>
      </c>
      <c r="F2" s="4" t="s">
        <v>32</v>
      </c>
      <c r="G2" s="4" t="s">
        <v>14</v>
      </c>
      <c r="H2" s="4" t="s">
        <v>33</v>
      </c>
      <c r="I2" s="4" t="s">
        <v>18</v>
      </c>
      <c r="J2" s="17" t="str">
        <f ca="1">"Week "&amp;WEEKNUM(J1,2)&amp;CHAR(10)&amp;TEXT(J1,"dd")&amp;"–"&amp;TEXT(J1+6,"dd")&amp;" "&amp;INDEX({"Jan","Feb","Mar","Apr","May","Jun","Jul","Aug","Sep","Oct","Nov","Dec"},MONTH(J1+6))</f>
        <v>Week 29
13–19 Jul</v>
      </c>
      <c r="K2" s="4" t="str">
        <f ca="1">"Week "&amp;WEEKNUM(K1,2)&amp;CHAR(10)&amp;TEXT(K1,"dd")&amp;"–"&amp;TEXT(K1+6,"dd")&amp;" "&amp;INDEX({"Jan","Feb","Mar","Apr","May","Jun","Jul","Aug","Sep","Oct","Nov","Dec"},MONTH(K1+6))</f>
        <v>Week 30
20–26 Jul</v>
      </c>
      <c r="L2" s="4" t="str">
        <f ca="1">"Week "&amp;WEEKNUM(L1,2)&amp;CHAR(10)&amp;TEXT(L1,"dd")&amp;"–"&amp;TEXT(L1+6,"dd")&amp;" "&amp;INDEX({"Jan","Feb","Mar","Apr","May","Jun","Jul","Aug","Sep","Oct","Nov","Dec"},MONTH(L1+6))</f>
        <v>Week 31
27–02 Aug</v>
      </c>
      <c r="M2" s="4" t="str">
        <f ca="1">"Week "&amp;WEEKNUM(M1,2)&amp;CHAR(10)&amp;TEXT(M1,"dd")&amp;"–"&amp;TEXT(M1+6,"dd")&amp;" "&amp;INDEX({"Jan","Feb","Mar","Apr","May","Jun","Jul","Aug","Sep","Oct","Nov","Dec"},MONTH(M1+6))</f>
        <v>Week 32
03–09 Aug</v>
      </c>
      <c r="N2" s="4" t="str">
        <f ca="1">"Week "&amp;WEEKNUM(N1,2)&amp;CHAR(10)&amp;TEXT(N1,"dd")&amp;"–"&amp;TEXT(N1+6,"dd")&amp;" "&amp;INDEX({"Jan","Feb","Mar","Apr","May","Jun","Jul","Aug","Sep","Oct","Nov","Dec"},MONTH(N1+6))</f>
        <v>Week 33
10–16 Aug</v>
      </c>
      <c r="O2" s="4" t="str">
        <f ca="1">"Week "&amp;WEEKNUM(O1,2)&amp;CHAR(10)&amp;TEXT(O1,"dd")&amp;"–"&amp;TEXT(O1+6,"dd")&amp;" "&amp;INDEX({"Jan","Feb","Mar","Apr","May","Jun","Jul","Aug","Sep","Oct","Nov","Dec"},MONTH(O1+6))</f>
        <v>Week 34
17–23 Aug</v>
      </c>
      <c r="P2" s="4" t="str">
        <f ca="1">"Week "&amp;WEEKNUM(P1,2)&amp;CHAR(10)&amp;TEXT(P1,"dd")&amp;"–"&amp;TEXT(P1+6,"dd")&amp;" "&amp;INDEX({"Jan","Feb","Mar","Apr","May","Jun","Jul","Aug","Sep","Oct","Nov","Dec"},MONTH(P1+6))</f>
        <v>Week 35
24–30 Aug</v>
      </c>
      <c r="Q2" s="4" t="str">
        <f ca="1">"Week "&amp;WEEKNUM(Q1,2)&amp;CHAR(10)&amp;TEXT(Q1,"dd")&amp;"–"&amp;TEXT(Q1+6,"dd")&amp;" "&amp;INDEX({"Jan","Feb","Mar","Apr","May","Jun","Jul","Aug","Sep","Oct","Nov","Dec"},MONTH(Q1+6))</f>
        <v>Week 36
31–06 Sep</v>
      </c>
      <c r="R2" s="4" t="str">
        <f ca="1">"Week "&amp;WEEKNUM(R1,2)&amp;CHAR(10)&amp;TEXT(R1,"dd")&amp;"–"&amp;TEXT(R1+6,"dd")&amp;" "&amp;INDEX({"Jan","Feb","Mar","Apr","May","Jun","Jul","Aug","Sep","Oct","Nov","Dec"},MONTH(R1+6))</f>
        <v>Week 37
07–13 Sep</v>
      </c>
      <c r="S2" s="4" t="str">
        <f ca="1">"Week "&amp;WEEKNUM(S1,2)&amp;CHAR(10)&amp;TEXT(S1,"dd")&amp;"–"&amp;TEXT(S1+6,"dd")&amp;" "&amp;INDEX({"Jan","Feb","Mar","Apr","May","Jun","Jul","Aug","Sep","Oct","Nov","Dec"},MONTH(S1+6))</f>
        <v>Week 38
14–20 Sep</v>
      </c>
      <c r="T2" s="4" t="str">
        <f ca="1">"Week "&amp;WEEKNUM(T1,2)&amp;CHAR(10)&amp;TEXT(T1,"dd")&amp;"–"&amp;TEXT(T1+6,"dd")&amp;" "&amp;INDEX({"Jan","Feb","Mar","Apr","May","Jun","Jul","Aug","Sep","Oct","Nov","Dec"},MONTH(T1+6))</f>
        <v>Week 39
21–27 Sep</v>
      </c>
      <c r="U2" s="4" t="str">
        <f ca="1">"Week "&amp;WEEKNUM(U1,2)&amp;CHAR(10)&amp;TEXT(U1,"dd")&amp;"–"&amp;TEXT(U1+6,"dd")&amp;" "&amp;INDEX({"Jan","Feb","Mar","Apr","May","Jun","Jul","Aug","Sep","Oct","Nov","Dec"},MONTH(U1+6))</f>
        <v>Week 40
28–04 Oct</v>
      </c>
      <c r="V2" s="4" t="str">
        <f ca="1">"Week "&amp;WEEKNUM(V1,2)&amp;CHAR(10)&amp;TEXT(V1,"dd")&amp;"–"&amp;TEXT(V1+6,"dd")&amp;" "&amp;INDEX({"Jan","Feb","Mar","Apr","May","Jun","Jul","Aug","Sep","Oct","Nov","Dec"},MONTH(V1+6))</f>
        <v>Week 41
05–11 Oct</v>
      </c>
      <c r="W2" s="4" t="str">
        <f ca="1">"Week "&amp;WEEKNUM(W1,2)&amp;CHAR(10)&amp;TEXT(W1,"dd")&amp;"–"&amp;TEXT(W1+6,"dd")&amp;" "&amp;INDEX({"Jan","Feb","Mar","Apr","May","Jun","Jul","Aug","Sep","Oct","Nov","Dec"},MONTH(W1+6))</f>
        <v>Week 42
12–18 Oct</v>
      </c>
      <c r="X2" s="4" t="str">
        <f ca="1">"Week "&amp;WEEKNUM(X1,2)&amp;CHAR(10)&amp;TEXT(X1,"dd")&amp;"–"&amp;TEXT(X1+6,"dd")&amp;" "&amp;INDEX({"Jan","Feb","Mar","Apr","May","Jun","Jul","Aug","Sep","Oct","Nov","Dec"},MONTH(X1+6))</f>
        <v>Week 43
19–25 Oct</v>
      </c>
      <c r="Y2" t="s">
        <v>34</v>
      </c>
      <c r="Z2" t="s">
        <v>35</v>
      </c>
      <c r="AA2" t="s">
        <v>36</v>
      </c>
      <c r="AB2" t="s">
        <v>37</v>
      </c>
    </row>
    <row r="3" spans="1:28" ht="14.5" x14ac:dyDescent="0.35">
      <c r="A3" s="6"/>
      <c r="B3" s="6"/>
      <c r="C3" s="6"/>
      <c r="D3" s="5" t="str">
        <f>IF(COUNTIFS(Tasks!$V$2:$V$501,Y3)=0,"",COUNTIFS(Tasks!$V$2:$V$501,Y3))</f>
        <v/>
      </c>
      <c r="E3" s="18"/>
      <c r="F3" s="18"/>
      <c r="G3" s="6"/>
      <c r="H3" s="19" t="str">
        <f ca="1">IF(OR(E3="",F3=""),"",IF(E3=F3,IF(TODAY()&gt;=E3,1,0),MAX(0,MIN(1,(TODAY()-E3)/(F3-E3)))))</f>
        <v/>
      </c>
      <c r="I3" s="10"/>
      <c r="J3" s="20"/>
      <c r="Z3" t="s">
        <v>38</v>
      </c>
      <c r="AA3">
        <f ca="1">IF(TODAY()&lt;E3,E3-TODAY(),F3-TODAY())</f>
        <v>-46216</v>
      </c>
      <c r="AB3" t="str">
        <f ca="1">IF(AND(OR(G3="Planned",G3="Active"),ABS(AA3)&lt;=7),AA3+Y3/1000000,"")</f>
        <v/>
      </c>
    </row>
    <row r="4" spans="1:28" ht="15" hidden="1" x14ac:dyDescent="0.4">
      <c r="C4" s="21" t="s">
        <v>39</v>
      </c>
      <c r="D4" s="22" t="s">
        <v>40</v>
      </c>
      <c r="E4" s="22" t="s">
        <v>13</v>
      </c>
      <c r="F4" s="22" t="s">
        <v>14</v>
      </c>
      <c r="G4" s="22" t="s">
        <v>18</v>
      </c>
    </row>
    <row r="5" spans="1:28" ht="17" hidden="1" x14ac:dyDescent="0.5">
      <c r="C5" s="23" t="str">
        <f>IFERROR(INDEX(Tasks!$E$2:$E$501,MATCH($Y3&amp;"|"&amp;1,Tasks!$Z$2:$Z$501,0)),"")</f>
        <v/>
      </c>
      <c r="D5" s="24" t="str">
        <f>IFERROR(INDEX(Tasks!$F$2:$F$501,MATCH($Y3&amp;"|"&amp;1,Tasks!$Z$2:$Z$501,0)),"")</f>
        <v/>
      </c>
      <c r="E5" s="25" t="str">
        <f>IFERROR(IF(INDEX(Tasks!$K$2:$K$501,MATCH($Y3&amp;"|"&amp;1,Tasks!$Z$2:$Z$501,0))=0,"",INDEX(Tasks!$K$2:$K$501,MATCH($Y3&amp;"|"&amp;1,Tasks!$Z$2:$Z$501,0))),"")</f>
        <v/>
      </c>
      <c r="F5" s="24" t="str">
        <f>IFERROR(IF(INDEX(Tasks!$L$2:$L$501,MATCH($Y3&amp;"|"&amp;1,Tasks!$Z$2:$Z$501,0))=0,"",INDEX(Tasks!$L$2:$L$501,MATCH($Y3&amp;"|"&amp;1,Tasks!$Z$2:$Z$501,0))),"")</f>
        <v/>
      </c>
      <c r="G5" s="26" t="str">
        <f>IFERROR(IF(INDEX(Tasks!$P$2:$P$501,MATCH($Y3&amp;"|"&amp;1,Tasks!$Z$2:$Z$501,0))=0,"",INDEX(Tasks!$P$2:$P$501,MATCH($Y3&amp;"|"&amp;1,Tasks!$Z$2:$Z$501,0))),"")</f>
        <v/>
      </c>
    </row>
    <row r="6" spans="1:28" ht="17" hidden="1" x14ac:dyDescent="0.5">
      <c r="C6" s="23" t="str">
        <f>IFERROR(INDEX(Tasks!$E$2:$E$501,MATCH($Y3&amp;"|"&amp;2,Tasks!$Z$2:$Z$501,0)),"")</f>
        <v/>
      </c>
      <c r="D6" s="24" t="str">
        <f>IFERROR(INDEX(Tasks!$F$2:$F$501,MATCH($Y3&amp;"|"&amp;2,Tasks!$Z$2:$Z$501,0)),"")</f>
        <v/>
      </c>
      <c r="E6" s="25" t="str">
        <f>IFERROR(IF(INDEX(Tasks!$K$2:$K$501,MATCH($Y3&amp;"|"&amp;2,Tasks!$Z$2:$Z$501,0))=0,"",INDEX(Tasks!$K$2:$K$501,MATCH($Y3&amp;"|"&amp;2,Tasks!$Z$2:$Z$501,0))),"")</f>
        <v/>
      </c>
      <c r="F6" s="24" t="str">
        <f>IFERROR(IF(INDEX(Tasks!$L$2:$L$501,MATCH($Y3&amp;"|"&amp;2,Tasks!$Z$2:$Z$501,0))=0,"",INDEX(Tasks!$L$2:$L$501,MATCH($Y3&amp;"|"&amp;2,Tasks!$Z$2:$Z$501,0))),"")</f>
        <v/>
      </c>
      <c r="G6" s="26" t="str">
        <f>IFERROR(IF(INDEX(Tasks!$P$2:$P$501,MATCH($Y3&amp;"|"&amp;2,Tasks!$Z$2:$Z$501,0))=0,"",INDEX(Tasks!$P$2:$P$501,MATCH($Y3&amp;"|"&amp;2,Tasks!$Z$2:$Z$501,0))),"")</f>
        <v/>
      </c>
    </row>
    <row r="7" spans="1:28" ht="17" hidden="1" x14ac:dyDescent="0.5">
      <c r="C7" s="23" t="str">
        <f>IFERROR(INDEX(Tasks!$E$2:$E$501,MATCH($Y3&amp;"|"&amp;3,Tasks!$Z$2:$Z$501,0)),"")</f>
        <v/>
      </c>
      <c r="D7" s="24" t="str">
        <f>IFERROR(INDEX(Tasks!$F$2:$F$501,MATCH($Y3&amp;"|"&amp;3,Tasks!$Z$2:$Z$501,0)),"")</f>
        <v/>
      </c>
      <c r="E7" s="25" t="str">
        <f>IFERROR(IF(INDEX(Tasks!$K$2:$K$501,MATCH($Y3&amp;"|"&amp;3,Tasks!$Z$2:$Z$501,0))=0,"",INDEX(Tasks!$K$2:$K$501,MATCH($Y3&amp;"|"&amp;3,Tasks!$Z$2:$Z$501,0))),"")</f>
        <v/>
      </c>
      <c r="F7" s="24" t="str">
        <f>IFERROR(IF(INDEX(Tasks!$L$2:$L$501,MATCH($Y3&amp;"|"&amp;3,Tasks!$Z$2:$Z$501,0))=0,"",INDEX(Tasks!$L$2:$L$501,MATCH($Y3&amp;"|"&amp;3,Tasks!$Z$2:$Z$501,0))),"")</f>
        <v/>
      </c>
      <c r="G7" s="26" t="str">
        <f>IFERROR(IF(INDEX(Tasks!$P$2:$P$501,MATCH($Y3&amp;"|"&amp;3,Tasks!$Z$2:$Z$501,0))=0,"",INDEX(Tasks!$P$2:$P$501,MATCH($Y3&amp;"|"&amp;3,Tasks!$Z$2:$Z$501,0))),"")</f>
        <v/>
      </c>
    </row>
    <row r="8" spans="1:28" ht="17" hidden="1" x14ac:dyDescent="0.5">
      <c r="C8" s="23" t="str">
        <f>IFERROR(INDEX(Tasks!$E$2:$E$501,MATCH($Y3&amp;"|"&amp;4,Tasks!$Z$2:$Z$501,0)),"")</f>
        <v/>
      </c>
      <c r="D8" s="24" t="str">
        <f>IFERROR(INDEX(Tasks!$F$2:$F$501,MATCH($Y3&amp;"|"&amp;4,Tasks!$Z$2:$Z$501,0)),"")</f>
        <v/>
      </c>
      <c r="E8" s="25" t="str">
        <f>IFERROR(IF(INDEX(Tasks!$K$2:$K$501,MATCH($Y3&amp;"|"&amp;4,Tasks!$Z$2:$Z$501,0))=0,"",INDEX(Tasks!$K$2:$K$501,MATCH($Y3&amp;"|"&amp;4,Tasks!$Z$2:$Z$501,0))),"")</f>
        <v/>
      </c>
      <c r="F8" s="24" t="str">
        <f>IFERROR(IF(INDEX(Tasks!$L$2:$L$501,MATCH($Y3&amp;"|"&amp;4,Tasks!$Z$2:$Z$501,0))=0,"",INDEX(Tasks!$L$2:$L$501,MATCH($Y3&amp;"|"&amp;4,Tasks!$Z$2:$Z$501,0))),"")</f>
        <v/>
      </c>
      <c r="G8" s="26" t="str">
        <f>IFERROR(IF(INDEX(Tasks!$P$2:$P$501,MATCH($Y3&amp;"|"&amp;4,Tasks!$Z$2:$Z$501,0))=0,"",INDEX(Tasks!$P$2:$P$501,MATCH($Y3&amp;"|"&amp;4,Tasks!$Z$2:$Z$501,0))),"")</f>
        <v/>
      </c>
    </row>
    <row r="9" spans="1:28" ht="17" hidden="1" x14ac:dyDescent="0.5">
      <c r="C9" s="23" t="str">
        <f>IFERROR(INDEX(Tasks!$E$2:$E$501,MATCH($Y3&amp;"|"&amp;5,Tasks!$Z$2:$Z$501,0)),"")</f>
        <v/>
      </c>
      <c r="D9" s="24" t="str">
        <f>IFERROR(INDEX(Tasks!$F$2:$F$501,MATCH($Y3&amp;"|"&amp;5,Tasks!$Z$2:$Z$501,0)),"")</f>
        <v/>
      </c>
      <c r="E9" s="25" t="str">
        <f>IFERROR(IF(INDEX(Tasks!$K$2:$K$501,MATCH($Y3&amp;"|"&amp;5,Tasks!$Z$2:$Z$501,0))=0,"",INDEX(Tasks!$K$2:$K$501,MATCH($Y3&amp;"|"&amp;5,Tasks!$Z$2:$Z$501,0))),"")</f>
        <v/>
      </c>
      <c r="F9" s="24" t="str">
        <f>IFERROR(IF(INDEX(Tasks!$L$2:$L$501,MATCH($Y3&amp;"|"&amp;5,Tasks!$Z$2:$Z$501,0))=0,"",INDEX(Tasks!$L$2:$L$501,MATCH($Y3&amp;"|"&amp;5,Tasks!$Z$2:$Z$501,0))),"")</f>
        <v/>
      </c>
      <c r="G9" s="26" t="str">
        <f>IFERROR(IF(INDEX(Tasks!$P$2:$P$501,MATCH($Y3&amp;"|"&amp;5,Tasks!$Z$2:$Z$501,0))=0,"",INDEX(Tasks!$P$2:$P$501,MATCH($Y3&amp;"|"&amp;5,Tasks!$Z$2:$Z$501,0))),"")</f>
        <v/>
      </c>
    </row>
    <row r="10" spans="1:28" ht="17" hidden="1" x14ac:dyDescent="0.5">
      <c r="C10" s="23" t="str">
        <f>IFERROR(INDEX(Tasks!$E$2:$E$501,MATCH($Y3&amp;"|"&amp;6,Tasks!$Z$2:$Z$501,0)),"")</f>
        <v/>
      </c>
      <c r="D10" s="24" t="str">
        <f>IFERROR(INDEX(Tasks!$F$2:$F$501,MATCH($Y3&amp;"|"&amp;6,Tasks!$Z$2:$Z$501,0)),"")</f>
        <v/>
      </c>
      <c r="E10" s="25" t="str">
        <f>IFERROR(IF(INDEX(Tasks!$K$2:$K$501,MATCH($Y3&amp;"|"&amp;6,Tasks!$Z$2:$Z$501,0))=0,"",INDEX(Tasks!$K$2:$K$501,MATCH($Y3&amp;"|"&amp;6,Tasks!$Z$2:$Z$501,0))),"")</f>
        <v/>
      </c>
      <c r="F10" s="24" t="str">
        <f>IFERROR(IF(INDEX(Tasks!$L$2:$L$501,MATCH($Y3&amp;"|"&amp;6,Tasks!$Z$2:$Z$501,0))=0,"",INDEX(Tasks!$L$2:$L$501,MATCH($Y3&amp;"|"&amp;6,Tasks!$Z$2:$Z$501,0))),"")</f>
        <v/>
      </c>
      <c r="G10" s="26" t="str">
        <f>IFERROR(IF(INDEX(Tasks!$P$2:$P$501,MATCH($Y3&amp;"|"&amp;6,Tasks!$Z$2:$Z$501,0))=0,"",INDEX(Tasks!$P$2:$P$501,MATCH($Y3&amp;"|"&amp;6,Tasks!$Z$2:$Z$501,0))),"")</f>
        <v/>
      </c>
    </row>
    <row r="11" spans="1:28" ht="17" hidden="1" x14ac:dyDescent="0.5">
      <c r="C11" s="23" t="str">
        <f>IFERROR(INDEX(Tasks!$E$2:$E$501,MATCH($Y3&amp;"|"&amp;7,Tasks!$Z$2:$Z$501,0)),"")</f>
        <v/>
      </c>
      <c r="D11" s="24" t="str">
        <f>IFERROR(INDEX(Tasks!$F$2:$F$501,MATCH($Y3&amp;"|"&amp;7,Tasks!$Z$2:$Z$501,0)),"")</f>
        <v/>
      </c>
      <c r="E11" s="25" t="str">
        <f>IFERROR(IF(INDEX(Tasks!$K$2:$K$501,MATCH($Y3&amp;"|"&amp;7,Tasks!$Z$2:$Z$501,0))=0,"",INDEX(Tasks!$K$2:$K$501,MATCH($Y3&amp;"|"&amp;7,Tasks!$Z$2:$Z$501,0))),"")</f>
        <v/>
      </c>
      <c r="F11" s="24" t="str">
        <f>IFERROR(IF(INDEX(Tasks!$L$2:$L$501,MATCH($Y3&amp;"|"&amp;7,Tasks!$Z$2:$Z$501,0))=0,"",INDEX(Tasks!$L$2:$L$501,MATCH($Y3&amp;"|"&amp;7,Tasks!$Z$2:$Z$501,0))),"")</f>
        <v/>
      </c>
      <c r="G11" s="26" t="str">
        <f>IFERROR(IF(INDEX(Tasks!$P$2:$P$501,MATCH($Y3&amp;"|"&amp;7,Tasks!$Z$2:$Z$501,0))=0,"",INDEX(Tasks!$P$2:$P$501,MATCH($Y3&amp;"|"&amp;7,Tasks!$Z$2:$Z$501,0))),"")</f>
        <v/>
      </c>
    </row>
    <row r="12" spans="1:28" ht="17" hidden="1" x14ac:dyDescent="0.5">
      <c r="C12" s="23" t="str">
        <f>IF(N($D3)&gt;8,"+ "&amp;(N($D3)-7)&amp;" more — see Tasks",IFERROR(INDEX(Tasks!$E$2:$E$501,MATCH($Y3&amp;"|"&amp;8,Tasks!$Z$2:$Z$501,0)),""))</f>
        <v/>
      </c>
      <c r="D12" s="24" t="str">
        <f>IF(N($D3)&gt;8,"",IFERROR(INDEX(Tasks!$F$2:$F$501,MATCH($Y3&amp;"|"&amp;8,Tasks!$Z$2:$Z$501,0)),""))</f>
        <v/>
      </c>
      <c r="E12" s="25" t="str">
        <f>IF(N($D3)&gt;8,"",IFERROR(IF(INDEX(Tasks!$K$2:$K$501,MATCH($Y3&amp;"|"&amp;8,Tasks!$Z$2:$Z$501,0))=0,"",INDEX(Tasks!$K$2:$K$501,MATCH($Y3&amp;"|"&amp;8,Tasks!$Z$2:$Z$501,0))),""))</f>
        <v/>
      </c>
      <c r="F12" s="24" t="str">
        <f>IF(N($D3)&gt;8,"",IFERROR(IF(INDEX(Tasks!$L$2:$L$501,MATCH($Y3&amp;"|"&amp;8,Tasks!$Z$2:$Z$501,0))=0,"",INDEX(Tasks!$L$2:$L$501,MATCH($Y3&amp;"|"&amp;8,Tasks!$Z$2:$Z$501,0))),""))</f>
        <v/>
      </c>
      <c r="G12" s="26" t="str">
        <f>IF(N($D3)&gt;8,"",IFERROR(IF(INDEX(Tasks!$P$2:$P$501,MATCH($Y3&amp;"|"&amp;8,Tasks!$Z$2:$Z$501,0))=0,"",INDEX(Tasks!$P$2:$P$501,MATCH($Y3&amp;"|"&amp;8,Tasks!$Z$2:$Z$501,0))),""))</f>
        <v/>
      </c>
    </row>
    <row r="13" spans="1:28" ht="14.5" x14ac:dyDescent="0.35">
      <c r="A13" s="6"/>
      <c r="B13" s="6"/>
      <c r="C13" s="6"/>
      <c r="D13" s="5" t="str">
        <f>IF(COUNTIFS(Tasks!$V$2:$V$501,Y13)=0,"",COUNTIFS(Tasks!$V$2:$V$501,Y13))</f>
        <v/>
      </c>
      <c r="E13" s="18"/>
      <c r="F13" s="18"/>
      <c r="G13" s="6"/>
      <c r="H13" s="19" t="str">
        <f ca="1">IF(OR(E13="",F13=""),"",IF(E13=F13,IF(TODAY()&gt;=E13,1,0),MAX(0,MIN(1,(TODAY()-E13)/(F13-E13)))))</f>
        <v/>
      </c>
      <c r="I13" s="10"/>
      <c r="J13" s="20"/>
      <c r="AA13">
        <f ca="1">IF(TODAY()&lt;E13,E13-TODAY(),F13-TODAY())</f>
        <v>-46216</v>
      </c>
      <c r="AB13" t="str">
        <f ca="1">IF(AND(OR(G13="Planned",G13="Active"),ABS(AA13)&lt;=7),AA13+Y13/1000000,"")</f>
        <v/>
      </c>
    </row>
    <row r="14" spans="1:28" ht="15" hidden="1" x14ac:dyDescent="0.4">
      <c r="C14" s="21" t="s">
        <v>39</v>
      </c>
      <c r="D14" s="22" t="s">
        <v>40</v>
      </c>
      <c r="E14" s="22" t="s">
        <v>13</v>
      </c>
      <c r="F14" s="22" t="s">
        <v>14</v>
      </c>
      <c r="G14" s="22" t="s">
        <v>18</v>
      </c>
    </row>
    <row r="15" spans="1:28" ht="17" hidden="1" x14ac:dyDescent="0.5">
      <c r="C15" s="23" t="str">
        <f>IFERROR(INDEX(Tasks!$E$2:$E$501,MATCH($Y13&amp;"|"&amp;1,Tasks!$Z$2:$Z$501,0)),"")</f>
        <v/>
      </c>
      <c r="D15" s="24" t="str">
        <f>IFERROR(INDEX(Tasks!$F$2:$F$501,MATCH($Y13&amp;"|"&amp;1,Tasks!$Z$2:$Z$501,0)),"")</f>
        <v/>
      </c>
      <c r="E15" s="25" t="str">
        <f>IFERROR(IF(INDEX(Tasks!$K$2:$K$501,MATCH($Y13&amp;"|"&amp;1,Tasks!$Z$2:$Z$501,0))=0,"",INDEX(Tasks!$K$2:$K$501,MATCH($Y13&amp;"|"&amp;1,Tasks!$Z$2:$Z$501,0))),"")</f>
        <v/>
      </c>
      <c r="F15" s="24" t="str">
        <f>IFERROR(IF(INDEX(Tasks!$L$2:$L$501,MATCH($Y13&amp;"|"&amp;1,Tasks!$Z$2:$Z$501,0))=0,"",INDEX(Tasks!$L$2:$L$501,MATCH($Y13&amp;"|"&amp;1,Tasks!$Z$2:$Z$501,0))),"")</f>
        <v/>
      </c>
      <c r="G15" s="26" t="str">
        <f>IFERROR(IF(INDEX(Tasks!$P$2:$P$501,MATCH($Y13&amp;"|"&amp;1,Tasks!$Z$2:$Z$501,0))=0,"",INDEX(Tasks!$P$2:$P$501,MATCH($Y13&amp;"|"&amp;1,Tasks!$Z$2:$Z$501,0))),"")</f>
        <v/>
      </c>
    </row>
    <row r="16" spans="1:28" ht="17" hidden="1" x14ac:dyDescent="0.5">
      <c r="C16" s="23" t="str">
        <f>IFERROR(INDEX(Tasks!$E$2:$E$501,MATCH($Y13&amp;"|"&amp;2,Tasks!$Z$2:$Z$501,0)),"")</f>
        <v/>
      </c>
      <c r="D16" s="24" t="str">
        <f>IFERROR(INDEX(Tasks!$F$2:$F$501,MATCH($Y13&amp;"|"&amp;2,Tasks!$Z$2:$Z$501,0)),"")</f>
        <v/>
      </c>
      <c r="E16" s="25" t="str">
        <f>IFERROR(IF(INDEX(Tasks!$K$2:$K$501,MATCH($Y13&amp;"|"&amp;2,Tasks!$Z$2:$Z$501,0))=0,"",INDEX(Tasks!$K$2:$K$501,MATCH($Y13&amp;"|"&amp;2,Tasks!$Z$2:$Z$501,0))),"")</f>
        <v/>
      </c>
      <c r="F16" s="24" t="str">
        <f>IFERROR(IF(INDEX(Tasks!$L$2:$L$501,MATCH($Y13&amp;"|"&amp;2,Tasks!$Z$2:$Z$501,0))=0,"",INDEX(Tasks!$L$2:$L$501,MATCH($Y13&amp;"|"&amp;2,Tasks!$Z$2:$Z$501,0))),"")</f>
        <v/>
      </c>
      <c r="G16" s="26" t="str">
        <f>IFERROR(IF(INDEX(Tasks!$P$2:$P$501,MATCH($Y13&amp;"|"&amp;2,Tasks!$Z$2:$Z$501,0))=0,"",INDEX(Tasks!$P$2:$P$501,MATCH($Y13&amp;"|"&amp;2,Tasks!$Z$2:$Z$501,0))),"")</f>
        <v/>
      </c>
    </row>
    <row r="17" spans="1:28" ht="17" hidden="1" x14ac:dyDescent="0.5">
      <c r="C17" s="23" t="str">
        <f>IFERROR(INDEX(Tasks!$E$2:$E$501,MATCH($Y13&amp;"|"&amp;3,Tasks!$Z$2:$Z$501,0)),"")</f>
        <v/>
      </c>
      <c r="D17" s="24" t="str">
        <f>IFERROR(INDEX(Tasks!$F$2:$F$501,MATCH($Y13&amp;"|"&amp;3,Tasks!$Z$2:$Z$501,0)),"")</f>
        <v/>
      </c>
      <c r="E17" s="25" t="str">
        <f>IFERROR(IF(INDEX(Tasks!$K$2:$K$501,MATCH($Y13&amp;"|"&amp;3,Tasks!$Z$2:$Z$501,0))=0,"",INDEX(Tasks!$K$2:$K$501,MATCH($Y13&amp;"|"&amp;3,Tasks!$Z$2:$Z$501,0))),"")</f>
        <v/>
      </c>
      <c r="F17" s="24" t="str">
        <f>IFERROR(IF(INDEX(Tasks!$L$2:$L$501,MATCH($Y13&amp;"|"&amp;3,Tasks!$Z$2:$Z$501,0))=0,"",INDEX(Tasks!$L$2:$L$501,MATCH($Y13&amp;"|"&amp;3,Tasks!$Z$2:$Z$501,0))),"")</f>
        <v/>
      </c>
      <c r="G17" s="26" t="str">
        <f>IFERROR(IF(INDEX(Tasks!$P$2:$P$501,MATCH($Y13&amp;"|"&amp;3,Tasks!$Z$2:$Z$501,0))=0,"",INDEX(Tasks!$P$2:$P$501,MATCH($Y13&amp;"|"&amp;3,Tasks!$Z$2:$Z$501,0))),"")</f>
        <v/>
      </c>
    </row>
    <row r="18" spans="1:28" ht="17" hidden="1" x14ac:dyDescent="0.5">
      <c r="C18" s="23" t="str">
        <f>IFERROR(INDEX(Tasks!$E$2:$E$501,MATCH($Y13&amp;"|"&amp;4,Tasks!$Z$2:$Z$501,0)),"")</f>
        <v/>
      </c>
      <c r="D18" s="24" t="str">
        <f>IFERROR(INDEX(Tasks!$F$2:$F$501,MATCH($Y13&amp;"|"&amp;4,Tasks!$Z$2:$Z$501,0)),"")</f>
        <v/>
      </c>
      <c r="E18" s="25" t="str">
        <f>IFERROR(IF(INDEX(Tasks!$K$2:$K$501,MATCH($Y13&amp;"|"&amp;4,Tasks!$Z$2:$Z$501,0))=0,"",INDEX(Tasks!$K$2:$K$501,MATCH($Y13&amp;"|"&amp;4,Tasks!$Z$2:$Z$501,0))),"")</f>
        <v/>
      </c>
      <c r="F18" s="24" t="str">
        <f>IFERROR(IF(INDEX(Tasks!$L$2:$L$501,MATCH($Y13&amp;"|"&amp;4,Tasks!$Z$2:$Z$501,0))=0,"",INDEX(Tasks!$L$2:$L$501,MATCH($Y13&amp;"|"&amp;4,Tasks!$Z$2:$Z$501,0))),"")</f>
        <v/>
      </c>
      <c r="G18" s="26" t="str">
        <f>IFERROR(IF(INDEX(Tasks!$P$2:$P$501,MATCH($Y13&amp;"|"&amp;4,Tasks!$Z$2:$Z$501,0))=0,"",INDEX(Tasks!$P$2:$P$501,MATCH($Y13&amp;"|"&amp;4,Tasks!$Z$2:$Z$501,0))),"")</f>
        <v/>
      </c>
    </row>
    <row r="19" spans="1:28" ht="17" hidden="1" x14ac:dyDescent="0.5">
      <c r="C19" s="23" t="str">
        <f>IFERROR(INDEX(Tasks!$E$2:$E$501,MATCH($Y13&amp;"|"&amp;5,Tasks!$Z$2:$Z$501,0)),"")</f>
        <v/>
      </c>
      <c r="D19" s="24" t="str">
        <f>IFERROR(INDEX(Tasks!$F$2:$F$501,MATCH($Y13&amp;"|"&amp;5,Tasks!$Z$2:$Z$501,0)),"")</f>
        <v/>
      </c>
      <c r="E19" s="25" t="str">
        <f>IFERROR(IF(INDEX(Tasks!$K$2:$K$501,MATCH($Y13&amp;"|"&amp;5,Tasks!$Z$2:$Z$501,0))=0,"",INDEX(Tasks!$K$2:$K$501,MATCH($Y13&amp;"|"&amp;5,Tasks!$Z$2:$Z$501,0))),"")</f>
        <v/>
      </c>
      <c r="F19" s="24" t="str">
        <f>IFERROR(IF(INDEX(Tasks!$L$2:$L$501,MATCH($Y13&amp;"|"&amp;5,Tasks!$Z$2:$Z$501,0))=0,"",INDEX(Tasks!$L$2:$L$501,MATCH($Y13&amp;"|"&amp;5,Tasks!$Z$2:$Z$501,0))),"")</f>
        <v/>
      </c>
      <c r="G19" s="26" t="str">
        <f>IFERROR(IF(INDEX(Tasks!$P$2:$P$501,MATCH($Y13&amp;"|"&amp;5,Tasks!$Z$2:$Z$501,0))=0,"",INDEX(Tasks!$P$2:$P$501,MATCH($Y13&amp;"|"&amp;5,Tasks!$Z$2:$Z$501,0))),"")</f>
        <v/>
      </c>
    </row>
    <row r="20" spans="1:28" ht="17" hidden="1" x14ac:dyDescent="0.5">
      <c r="C20" s="23" t="str">
        <f>IFERROR(INDEX(Tasks!$E$2:$E$501,MATCH($Y13&amp;"|"&amp;6,Tasks!$Z$2:$Z$501,0)),"")</f>
        <v/>
      </c>
      <c r="D20" s="24" t="str">
        <f>IFERROR(INDEX(Tasks!$F$2:$F$501,MATCH($Y13&amp;"|"&amp;6,Tasks!$Z$2:$Z$501,0)),"")</f>
        <v/>
      </c>
      <c r="E20" s="25" t="str">
        <f>IFERROR(IF(INDEX(Tasks!$K$2:$K$501,MATCH($Y13&amp;"|"&amp;6,Tasks!$Z$2:$Z$501,0))=0,"",INDEX(Tasks!$K$2:$K$501,MATCH($Y13&amp;"|"&amp;6,Tasks!$Z$2:$Z$501,0))),"")</f>
        <v/>
      </c>
      <c r="F20" s="24" t="str">
        <f>IFERROR(IF(INDEX(Tasks!$L$2:$L$501,MATCH($Y13&amp;"|"&amp;6,Tasks!$Z$2:$Z$501,0))=0,"",INDEX(Tasks!$L$2:$L$501,MATCH($Y13&amp;"|"&amp;6,Tasks!$Z$2:$Z$501,0))),"")</f>
        <v/>
      </c>
      <c r="G20" s="26" t="str">
        <f>IFERROR(IF(INDEX(Tasks!$P$2:$P$501,MATCH($Y13&amp;"|"&amp;6,Tasks!$Z$2:$Z$501,0))=0,"",INDEX(Tasks!$P$2:$P$501,MATCH($Y13&amp;"|"&amp;6,Tasks!$Z$2:$Z$501,0))),"")</f>
        <v/>
      </c>
    </row>
    <row r="21" spans="1:28" ht="17" hidden="1" x14ac:dyDescent="0.5">
      <c r="C21" s="23" t="str">
        <f>IFERROR(INDEX(Tasks!$E$2:$E$501,MATCH($Y13&amp;"|"&amp;7,Tasks!$Z$2:$Z$501,0)),"")</f>
        <v/>
      </c>
      <c r="D21" s="24" t="str">
        <f>IFERROR(INDEX(Tasks!$F$2:$F$501,MATCH($Y13&amp;"|"&amp;7,Tasks!$Z$2:$Z$501,0)),"")</f>
        <v/>
      </c>
      <c r="E21" s="25" t="str">
        <f>IFERROR(IF(INDEX(Tasks!$K$2:$K$501,MATCH($Y13&amp;"|"&amp;7,Tasks!$Z$2:$Z$501,0))=0,"",INDEX(Tasks!$K$2:$K$501,MATCH($Y13&amp;"|"&amp;7,Tasks!$Z$2:$Z$501,0))),"")</f>
        <v/>
      </c>
      <c r="F21" s="24" t="str">
        <f>IFERROR(IF(INDEX(Tasks!$L$2:$L$501,MATCH($Y13&amp;"|"&amp;7,Tasks!$Z$2:$Z$501,0))=0,"",INDEX(Tasks!$L$2:$L$501,MATCH($Y13&amp;"|"&amp;7,Tasks!$Z$2:$Z$501,0))),"")</f>
        <v/>
      </c>
      <c r="G21" s="26" t="str">
        <f>IFERROR(IF(INDEX(Tasks!$P$2:$P$501,MATCH($Y13&amp;"|"&amp;7,Tasks!$Z$2:$Z$501,0))=0,"",INDEX(Tasks!$P$2:$P$501,MATCH($Y13&amp;"|"&amp;7,Tasks!$Z$2:$Z$501,0))),"")</f>
        <v/>
      </c>
    </row>
    <row r="22" spans="1:28" ht="17" hidden="1" x14ac:dyDescent="0.5">
      <c r="C22" s="23" t="str">
        <f>IF(N($D13)&gt;8,"+ "&amp;(N($D13)-7)&amp;" more — see Tasks",IFERROR(INDEX(Tasks!$E$2:$E$501,MATCH($Y13&amp;"|"&amp;8,Tasks!$Z$2:$Z$501,0)),""))</f>
        <v/>
      </c>
      <c r="D22" s="24" t="str">
        <f>IF(N($D13)&gt;8,"",IFERROR(INDEX(Tasks!$F$2:$F$501,MATCH($Y13&amp;"|"&amp;8,Tasks!$Z$2:$Z$501,0)),""))</f>
        <v/>
      </c>
      <c r="E22" s="25" t="str">
        <f>IF(N($D13)&gt;8,"",IFERROR(IF(INDEX(Tasks!$K$2:$K$501,MATCH($Y13&amp;"|"&amp;8,Tasks!$Z$2:$Z$501,0))=0,"",INDEX(Tasks!$K$2:$K$501,MATCH($Y13&amp;"|"&amp;8,Tasks!$Z$2:$Z$501,0))),""))</f>
        <v/>
      </c>
      <c r="F22" s="24" t="str">
        <f>IF(N($D13)&gt;8,"",IFERROR(IF(INDEX(Tasks!$L$2:$L$501,MATCH($Y13&amp;"|"&amp;8,Tasks!$Z$2:$Z$501,0))=0,"",INDEX(Tasks!$L$2:$L$501,MATCH($Y13&amp;"|"&amp;8,Tasks!$Z$2:$Z$501,0))),""))</f>
        <v/>
      </c>
      <c r="G22" s="26" t="str">
        <f>IF(N($D13)&gt;8,"",IFERROR(IF(INDEX(Tasks!$P$2:$P$501,MATCH($Y13&amp;"|"&amp;8,Tasks!$Z$2:$Z$501,0))=0,"",INDEX(Tasks!$P$2:$P$501,MATCH($Y13&amp;"|"&amp;8,Tasks!$Z$2:$Z$501,0))),""))</f>
        <v/>
      </c>
    </row>
    <row r="23" spans="1:28" ht="14.5" x14ac:dyDescent="0.35">
      <c r="A23" s="6"/>
      <c r="B23" s="6"/>
      <c r="C23" s="6"/>
      <c r="D23" s="5" t="str">
        <f>IF(COUNTIFS(Tasks!$V$2:$V$501,Y23)=0,"",COUNTIFS(Tasks!$V$2:$V$501,Y23))</f>
        <v/>
      </c>
      <c r="E23" s="18"/>
      <c r="F23" s="18"/>
      <c r="G23" s="6"/>
      <c r="H23" s="19" t="str">
        <f ca="1">IF(OR(E23="",F23=""),"",IF(E23=F23,IF(TODAY()&gt;=E23,1,0),MAX(0,MIN(1,(TODAY()-E23)/(F23-E23)))))</f>
        <v/>
      </c>
      <c r="I23" s="10"/>
      <c r="J23" s="20"/>
      <c r="AA23">
        <f ca="1">IF(TODAY()&lt;E23,E23-TODAY(),F23-TODAY())</f>
        <v>-46216</v>
      </c>
      <c r="AB23" t="str">
        <f ca="1">IF(AND(OR(G23="Planned",G23="Active"),ABS(AA23)&lt;=7),AA23+Y23/1000000,"")</f>
        <v/>
      </c>
    </row>
    <row r="24" spans="1:28" ht="15" hidden="1" x14ac:dyDescent="0.4">
      <c r="C24" s="21" t="s">
        <v>39</v>
      </c>
      <c r="D24" s="22" t="s">
        <v>40</v>
      </c>
      <c r="E24" s="22" t="s">
        <v>13</v>
      </c>
      <c r="F24" s="22" t="s">
        <v>14</v>
      </c>
      <c r="G24" s="22" t="s">
        <v>18</v>
      </c>
    </row>
    <row r="25" spans="1:28" ht="17" hidden="1" x14ac:dyDescent="0.5">
      <c r="C25" s="23" t="str">
        <f>IFERROR(INDEX(Tasks!$E$2:$E$501,MATCH($Y23&amp;"|"&amp;1,Tasks!$Z$2:$Z$501,0)),"")</f>
        <v/>
      </c>
      <c r="D25" s="24" t="str">
        <f>IFERROR(INDEX(Tasks!$F$2:$F$501,MATCH($Y23&amp;"|"&amp;1,Tasks!$Z$2:$Z$501,0)),"")</f>
        <v/>
      </c>
      <c r="E25" s="25" t="str">
        <f>IFERROR(IF(INDEX(Tasks!$K$2:$K$501,MATCH($Y23&amp;"|"&amp;1,Tasks!$Z$2:$Z$501,0))=0,"",INDEX(Tasks!$K$2:$K$501,MATCH($Y23&amp;"|"&amp;1,Tasks!$Z$2:$Z$501,0))),"")</f>
        <v/>
      </c>
      <c r="F25" s="24" t="str">
        <f>IFERROR(IF(INDEX(Tasks!$L$2:$L$501,MATCH($Y23&amp;"|"&amp;1,Tasks!$Z$2:$Z$501,0))=0,"",INDEX(Tasks!$L$2:$L$501,MATCH($Y23&amp;"|"&amp;1,Tasks!$Z$2:$Z$501,0))),"")</f>
        <v/>
      </c>
      <c r="G25" s="26" t="str">
        <f>IFERROR(IF(INDEX(Tasks!$P$2:$P$501,MATCH($Y23&amp;"|"&amp;1,Tasks!$Z$2:$Z$501,0))=0,"",INDEX(Tasks!$P$2:$P$501,MATCH($Y23&amp;"|"&amp;1,Tasks!$Z$2:$Z$501,0))),"")</f>
        <v/>
      </c>
    </row>
    <row r="26" spans="1:28" ht="17" hidden="1" x14ac:dyDescent="0.5">
      <c r="C26" s="23" t="str">
        <f>IFERROR(INDEX(Tasks!$E$2:$E$501,MATCH($Y23&amp;"|"&amp;2,Tasks!$Z$2:$Z$501,0)),"")</f>
        <v/>
      </c>
      <c r="D26" s="24" t="str">
        <f>IFERROR(INDEX(Tasks!$F$2:$F$501,MATCH($Y23&amp;"|"&amp;2,Tasks!$Z$2:$Z$501,0)),"")</f>
        <v/>
      </c>
      <c r="E26" s="25" t="str">
        <f>IFERROR(IF(INDEX(Tasks!$K$2:$K$501,MATCH($Y23&amp;"|"&amp;2,Tasks!$Z$2:$Z$501,0))=0,"",INDEX(Tasks!$K$2:$K$501,MATCH($Y23&amp;"|"&amp;2,Tasks!$Z$2:$Z$501,0))),"")</f>
        <v/>
      </c>
      <c r="F26" s="24" t="str">
        <f>IFERROR(IF(INDEX(Tasks!$L$2:$L$501,MATCH($Y23&amp;"|"&amp;2,Tasks!$Z$2:$Z$501,0))=0,"",INDEX(Tasks!$L$2:$L$501,MATCH($Y23&amp;"|"&amp;2,Tasks!$Z$2:$Z$501,0))),"")</f>
        <v/>
      </c>
      <c r="G26" s="26" t="str">
        <f>IFERROR(IF(INDEX(Tasks!$P$2:$P$501,MATCH($Y23&amp;"|"&amp;2,Tasks!$Z$2:$Z$501,0))=0,"",INDEX(Tasks!$P$2:$P$501,MATCH($Y23&amp;"|"&amp;2,Tasks!$Z$2:$Z$501,0))),"")</f>
        <v/>
      </c>
    </row>
    <row r="27" spans="1:28" ht="17" hidden="1" x14ac:dyDescent="0.5">
      <c r="C27" s="23" t="str">
        <f>IFERROR(INDEX(Tasks!$E$2:$E$501,MATCH($Y23&amp;"|"&amp;3,Tasks!$Z$2:$Z$501,0)),"")</f>
        <v/>
      </c>
      <c r="D27" s="24" t="str">
        <f>IFERROR(INDEX(Tasks!$F$2:$F$501,MATCH($Y23&amp;"|"&amp;3,Tasks!$Z$2:$Z$501,0)),"")</f>
        <v/>
      </c>
      <c r="E27" s="25" t="str">
        <f>IFERROR(IF(INDEX(Tasks!$K$2:$K$501,MATCH($Y23&amp;"|"&amp;3,Tasks!$Z$2:$Z$501,0))=0,"",INDEX(Tasks!$K$2:$K$501,MATCH($Y23&amp;"|"&amp;3,Tasks!$Z$2:$Z$501,0))),"")</f>
        <v/>
      </c>
      <c r="F27" s="24" t="str">
        <f>IFERROR(IF(INDEX(Tasks!$L$2:$L$501,MATCH($Y23&amp;"|"&amp;3,Tasks!$Z$2:$Z$501,0))=0,"",INDEX(Tasks!$L$2:$L$501,MATCH($Y23&amp;"|"&amp;3,Tasks!$Z$2:$Z$501,0))),"")</f>
        <v/>
      </c>
      <c r="G27" s="26" t="str">
        <f>IFERROR(IF(INDEX(Tasks!$P$2:$P$501,MATCH($Y23&amp;"|"&amp;3,Tasks!$Z$2:$Z$501,0))=0,"",INDEX(Tasks!$P$2:$P$501,MATCH($Y23&amp;"|"&amp;3,Tasks!$Z$2:$Z$501,0))),"")</f>
        <v/>
      </c>
    </row>
    <row r="28" spans="1:28" ht="17" hidden="1" x14ac:dyDescent="0.5">
      <c r="C28" s="23" t="str">
        <f>IFERROR(INDEX(Tasks!$E$2:$E$501,MATCH($Y23&amp;"|"&amp;4,Tasks!$Z$2:$Z$501,0)),"")</f>
        <v/>
      </c>
      <c r="D28" s="24" t="str">
        <f>IFERROR(INDEX(Tasks!$F$2:$F$501,MATCH($Y23&amp;"|"&amp;4,Tasks!$Z$2:$Z$501,0)),"")</f>
        <v/>
      </c>
      <c r="E28" s="25" t="str">
        <f>IFERROR(IF(INDEX(Tasks!$K$2:$K$501,MATCH($Y23&amp;"|"&amp;4,Tasks!$Z$2:$Z$501,0))=0,"",INDEX(Tasks!$K$2:$K$501,MATCH($Y23&amp;"|"&amp;4,Tasks!$Z$2:$Z$501,0))),"")</f>
        <v/>
      </c>
      <c r="F28" s="24" t="str">
        <f>IFERROR(IF(INDEX(Tasks!$L$2:$L$501,MATCH($Y23&amp;"|"&amp;4,Tasks!$Z$2:$Z$501,0))=0,"",INDEX(Tasks!$L$2:$L$501,MATCH($Y23&amp;"|"&amp;4,Tasks!$Z$2:$Z$501,0))),"")</f>
        <v/>
      </c>
      <c r="G28" s="26" t="str">
        <f>IFERROR(IF(INDEX(Tasks!$P$2:$P$501,MATCH($Y23&amp;"|"&amp;4,Tasks!$Z$2:$Z$501,0))=0,"",INDEX(Tasks!$P$2:$P$501,MATCH($Y23&amp;"|"&amp;4,Tasks!$Z$2:$Z$501,0))),"")</f>
        <v/>
      </c>
    </row>
    <row r="29" spans="1:28" ht="17" hidden="1" x14ac:dyDescent="0.5">
      <c r="C29" s="23" t="str">
        <f>IFERROR(INDEX(Tasks!$E$2:$E$501,MATCH($Y23&amp;"|"&amp;5,Tasks!$Z$2:$Z$501,0)),"")</f>
        <v/>
      </c>
      <c r="D29" s="24" t="str">
        <f>IFERROR(INDEX(Tasks!$F$2:$F$501,MATCH($Y23&amp;"|"&amp;5,Tasks!$Z$2:$Z$501,0)),"")</f>
        <v/>
      </c>
      <c r="E29" s="25" t="str">
        <f>IFERROR(IF(INDEX(Tasks!$K$2:$K$501,MATCH($Y23&amp;"|"&amp;5,Tasks!$Z$2:$Z$501,0))=0,"",INDEX(Tasks!$K$2:$K$501,MATCH($Y23&amp;"|"&amp;5,Tasks!$Z$2:$Z$501,0))),"")</f>
        <v/>
      </c>
      <c r="F29" s="24" t="str">
        <f>IFERROR(IF(INDEX(Tasks!$L$2:$L$501,MATCH($Y23&amp;"|"&amp;5,Tasks!$Z$2:$Z$501,0))=0,"",INDEX(Tasks!$L$2:$L$501,MATCH($Y23&amp;"|"&amp;5,Tasks!$Z$2:$Z$501,0))),"")</f>
        <v/>
      </c>
      <c r="G29" s="26" t="str">
        <f>IFERROR(IF(INDEX(Tasks!$P$2:$P$501,MATCH($Y23&amp;"|"&amp;5,Tasks!$Z$2:$Z$501,0))=0,"",INDEX(Tasks!$P$2:$P$501,MATCH($Y23&amp;"|"&amp;5,Tasks!$Z$2:$Z$501,0))),"")</f>
        <v/>
      </c>
    </row>
    <row r="30" spans="1:28" ht="17" hidden="1" x14ac:dyDescent="0.5">
      <c r="C30" s="23" t="str">
        <f>IFERROR(INDEX(Tasks!$E$2:$E$501,MATCH($Y23&amp;"|"&amp;6,Tasks!$Z$2:$Z$501,0)),"")</f>
        <v/>
      </c>
      <c r="D30" s="24" t="str">
        <f>IFERROR(INDEX(Tasks!$F$2:$F$501,MATCH($Y23&amp;"|"&amp;6,Tasks!$Z$2:$Z$501,0)),"")</f>
        <v/>
      </c>
      <c r="E30" s="25" t="str">
        <f>IFERROR(IF(INDEX(Tasks!$K$2:$K$501,MATCH($Y23&amp;"|"&amp;6,Tasks!$Z$2:$Z$501,0))=0,"",INDEX(Tasks!$K$2:$K$501,MATCH($Y23&amp;"|"&amp;6,Tasks!$Z$2:$Z$501,0))),"")</f>
        <v/>
      </c>
      <c r="F30" s="24" t="str">
        <f>IFERROR(IF(INDEX(Tasks!$L$2:$L$501,MATCH($Y23&amp;"|"&amp;6,Tasks!$Z$2:$Z$501,0))=0,"",INDEX(Tasks!$L$2:$L$501,MATCH($Y23&amp;"|"&amp;6,Tasks!$Z$2:$Z$501,0))),"")</f>
        <v/>
      </c>
      <c r="G30" s="26" t="str">
        <f>IFERROR(IF(INDEX(Tasks!$P$2:$P$501,MATCH($Y23&amp;"|"&amp;6,Tasks!$Z$2:$Z$501,0))=0,"",INDEX(Tasks!$P$2:$P$501,MATCH($Y23&amp;"|"&amp;6,Tasks!$Z$2:$Z$501,0))),"")</f>
        <v/>
      </c>
    </row>
    <row r="31" spans="1:28" ht="17" hidden="1" x14ac:dyDescent="0.5">
      <c r="C31" s="23" t="str">
        <f>IFERROR(INDEX(Tasks!$E$2:$E$501,MATCH($Y23&amp;"|"&amp;7,Tasks!$Z$2:$Z$501,0)),"")</f>
        <v/>
      </c>
      <c r="D31" s="24" t="str">
        <f>IFERROR(INDEX(Tasks!$F$2:$F$501,MATCH($Y23&amp;"|"&amp;7,Tasks!$Z$2:$Z$501,0)),"")</f>
        <v/>
      </c>
      <c r="E31" s="25" t="str">
        <f>IFERROR(IF(INDEX(Tasks!$K$2:$K$501,MATCH($Y23&amp;"|"&amp;7,Tasks!$Z$2:$Z$501,0))=0,"",INDEX(Tasks!$K$2:$K$501,MATCH($Y23&amp;"|"&amp;7,Tasks!$Z$2:$Z$501,0))),"")</f>
        <v/>
      </c>
      <c r="F31" s="24" t="str">
        <f>IFERROR(IF(INDEX(Tasks!$L$2:$L$501,MATCH($Y23&amp;"|"&amp;7,Tasks!$Z$2:$Z$501,0))=0,"",INDEX(Tasks!$L$2:$L$501,MATCH($Y23&amp;"|"&amp;7,Tasks!$Z$2:$Z$501,0))),"")</f>
        <v/>
      </c>
      <c r="G31" s="26" t="str">
        <f>IFERROR(IF(INDEX(Tasks!$P$2:$P$501,MATCH($Y23&amp;"|"&amp;7,Tasks!$Z$2:$Z$501,0))=0,"",INDEX(Tasks!$P$2:$P$501,MATCH($Y23&amp;"|"&amp;7,Tasks!$Z$2:$Z$501,0))),"")</f>
        <v/>
      </c>
    </row>
    <row r="32" spans="1:28" ht="17" hidden="1" x14ac:dyDescent="0.5">
      <c r="C32" s="23" t="str">
        <f>IF(N($D23)&gt;8,"+ "&amp;(N($D23)-7)&amp;" more — see Tasks",IFERROR(INDEX(Tasks!$E$2:$E$501,MATCH($Y23&amp;"|"&amp;8,Tasks!$Z$2:$Z$501,0)),""))</f>
        <v/>
      </c>
      <c r="D32" s="24" t="str">
        <f>IF(N($D23)&gt;8,"",IFERROR(INDEX(Tasks!$F$2:$F$501,MATCH($Y23&amp;"|"&amp;8,Tasks!$Z$2:$Z$501,0)),""))</f>
        <v/>
      </c>
      <c r="E32" s="25" t="str">
        <f>IF(N($D23)&gt;8,"",IFERROR(IF(INDEX(Tasks!$K$2:$K$501,MATCH($Y23&amp;"|"&amp;8,Tasks!$Z$2:$Z$501,0))=0,"",INDEX(Tasks!$K$2:$K$501,MATCH($Y23&amp;"|"&amp;8,Tasks!$Z$2:$Z$501,0))),""))</f>
        <v/>
      </c>
      <c r="F32" s="24" t="str">
        <f>IF(N($D23)&gt;8,"",IFERROR(IF(INDEX(Tasks!$L$2:$L$501,MATCH($Y23&amp;"|"&amp;8,Tasks!$Z$2:$Z$501,0))=0,"",INDEX(Tasks!$L$2:$L$501,MATCH($Y23&amp;"|"&amp;8,Tasks!$Z$2:$Z$501,0))),""))</f>
        <v/>
      </c>
      <c r="G32" s="26" t="str">
        <f>IF(N($D23)&gt;8,"",IFERROR(IF(INDEX(Tasks!$P$2:$P$501,MATCH($Y23&amp;"|"&amp;8,Tasks!$Z$2:$Z$501,0))=0,"",INDEX(Tasks!$P$2:$P$501,MATCH($Y23&amp;"|"&amp;8,Tasks!$Z$2:$Z$501,0))),""))</f>
        <v/>
      </c>
    </row>
    <row r="33" spans="1:28" ht="14.5" x14ac:dyDescent="0.35">
      <c r="A33" s="6"/>
      <c r="B33" s="6"/>
      <c r="C33" s="6"/>
      <c r="D33" s="5" t="str">
        <f>IF(COUNTIFS(Tasks!$V$2:$V$501,Y33)=0,"",COUNTIFS(Tasks!$V$2:$V$501,Y33))</f>
        <v/>
      </c>
      <c r="E33" s="18"/>
      <c r="F33" s="18"/>
      <c r="G33" s="6"/>
      <c r="H33" s="19" t="str">
        <f ca="1">IF(OR(E33="",F33=""),"",IF(E33=F33,IF(TODAY()&gt;=E33,1,0),MAX(0,MIN(1,(TODAY()-E33)/(F33-E33)))))</f>
        <v/>
      </c>
      <c r="I33" s="10"/>
      <c r="J33" s="20"/>
      <c r="AA33">
        <f ca="1">IF(TODAY()&lt;E33,E33-TODAY(),F33-TODAY())</f>
        <v>-46216</v>
      </c>
      <c r="AB33" t="str">
        <f ca="1">IF(AND(OR(G33="Planned",G33="Active"),ABS(AA33)&lt;=7),AA33+Y33/1000000,"")</f>
        <v/>
      </c>
    </row>
    <row r="34" spans="1:28" ht="15" hidden="1" x14ac:dyDescent="0.4">
      <c r="C34" s="21" t="s">
        <v>39</v>
      </c>
      <c r="D34" s="22" t="s">
        <v>40</v>
      </c>
      <c r="E34" s="22" t="s">
        <v>13</v>
      </c>
      <c r="F34" s="22" t="s">
        <v>14</v>
      </c>
      <c r="G34" s="22" t="s">
        <v>18</v>
      </c>
    </row>
    <row r="35" spans="1:28" ht="17" hidden="1" x14ac:dyDescent="0.5">
      <c r="C35" s="23" t="str">
        <f>IFERROR(INDEX(Tasks!$E$2:$E$501,MATCH($Y33&amp;"|"&amp;1,Tasks!$Z$2:$Z$501,0)),"")</f>
        <v/>
      </c>
      <c r="D35" s="24" t="str">
        <f>IFERROR(INDEX(Tasks!$F$2:$F$501,MATCH($Y33&amp;"|"&amp;1,Tasks!$Z$2:$Z$501,0)),"")</f>
        <v/>
      </c>
      <c r="E35" s="25" t="str">
        <f>IFERROR(IF(INDEX(Tasks!$K$2:$K$501,MATCH($Y33&amp;"|"&amp;1,Tasks!$Z$2:$Z$501,0))=0,"",INDEX(Tasks!$K$2:$K$501,MATCH($Y33&amp;"|"&amp;1,Tasks!$Z$2:$Z$501,0))),"")</f>
        <v/>
      </c>
      <c r="F35" s="24" t="str">
        <f>IFERROR(IF(INDEX(Tasks!$L$2:$L$501,MATCH($Y33&amp;"|"&amp;1,Tasks!$Z$2:$Z$501,0))=0,"",INDEX(Tasks!$L$2:$L$501,MATCH($Y33&amp;"|"&amp;1,Tasks!$Z$2:$Z$501,0))),"")</f>
        <v/>
      </c>
      <c r="G35" s="26" t="str">
        <f>IFERROR(IF(INDEX(Tasks!$P$2:$P$501,MATCH($Y33&amp;"|"&amp;1,Tasks!$Z$2:$Z$501,0))=0,"",INDEX(Tasks!$P$2:$P$501,MATCH($Y33&amp;"|"&amp;1,Tasks!$Z$2:$Z$501,0))),"")</f>
        <v/>
      </c>
    </row>
    <row r="36" spans="1:28" ht="17" hidden="1" x14ac:dyDescent="0.5">
      <c r="C36" s="23" t="str">
        <f>IFERROR(INDEX(Tasks!$E$2:$E$501,MATCH($Y33&amp;"|"&amp;2,Tasks!$Z$2:$Z$501,0)),"")</f>
        <v/>
      </c>
      <c r="D36" s="24" t="str">
        <f>IFERROR(INDEX(Tasks!$F$2:$F$501,MATCH($Y33&amp;"|"&amp;2,Tasks!$Z$2:$Z$501,0)),"")</f>
        <v/>
      </c>
      <c r="E36" s="25" t="str">
        <f>IFERROR(IF(INDEX(Tasks!$K$2:$K$501,MATCH($Y33&amp;"|"&amp;2,Tasks!$Z$2:$Z$501,0))=0,"",INDEX(Tasks!$K$2:$K$501,MATCH($Y33&amp;"|"&amp;2,Tasks!$Z$2:$Z$501,0))),"")</f>
        <v/>
      </c>
      <c r="F36" s="24" t="str">
        <f>IFERROR(IF(INDEX(Tasks!$L$2:$L$501,MATCH($Y33&amp;"|"&amp;2,Tasks!$Z$2:$Z$501,0))=0,"",INDEX(Tasks!$L$2:$L$501,MATCH($Y33&amp;"|"&amp;2,Tasks!$Z$2:$Z$501,0))),"")</f>
        <v/>
      </c>
      <c r="G36" s="26" t="str">
        <f>IFERROR(IF(INDEX(Tasks!$P$2:$P$501,MATCH($Y33&amp;"|"&amp;2,Tasks!$Z$2:$Z$501,0))=0,"",INDEX(Tasks!$P$2:$P$501,MATCH($Y33&amp;"|"&amp;2,Tasks!$Z$2:$Z$501,0))),"")</f>
        <v/>
      </c>
    </row>
    <row r="37" spans="1:28" ht="17" hidden="1" x14ac:dyDescent="0.5">
      <c r="C37" s="23" t="str">
        <f>IFERROR(INDEX(Tasks!$E$2:$E$501,MATCH($Y33&amp;"|"&amp;3,Tasks!$Z$2:$Z$501,0)),"")</f>
        <v/>
      </c>
      <c r="D37" s="24" t="str">
        <f>IFERROR(INDEX(Tasks!$F$2:$F$501,MATCH($Y33&amp;"|"&amp;3,Tasks!$Z$2:$Z$501,0)),"")</f>
        <v/>
      </c>
      <c r="E37" s="25" t="str">
        <f>IFERROR(IF(INDEX(Tasks!$K$2:$K$501,MATCH($Y33&amp;"|"&amp;3,Tasks!$Z$2:$Z$501,0))=0,"",INDEX(Tasks!$K$2:$K$501,MATCH($Y33&amp;"|"&amp;3,Tasks!$Z$2:$Z$501,0))),"")</f>
        <v/>
      </c>
      <c r="F37" s="24" t="str">
        <f>IFERROR(IF(INDEX(Tasks!$L$2:$L$501,MATCH($Y33&amp;"|"&amp;3,Tasks!$Z$2:$Z$501,0))=0,"",INDEX(Tasks!$L$2:$L$501,MATCH($Y33&amp;"|"&amp;3,Tasks!$Z$2:$Z$501,0))),"")</f>
        <v/>
      </c>
      <c r="G37" s="26" t="str">
        <f>IFERROR(IF(INDEX(Tasks!$P$2:$P$501,MATCH($Y33&amp;"|"&amp;3,Tasks!$Z$2:$Z$501,0))=0,"",INDEX(Tasks!$P$2:$P$501,MATCH($Y33&amp;"|"&amp;3,Tasks!$Z$2:$Z$501,0))),"")</f>
        <v/>
      </c>
    </row>
    <row r="38" spans="1:28" ht="17" hidden="1" x14ac:dyDescent="0.5">
      <c r="C38" s="23" t="str">
        <f>IFERROR(INDEX(Tasks!$E$2:$E$501,MATCH($Y33&amp;"|"&amp;4,Tasks!$Z$2:$Z$501,0)),"")</f>
        <v/>
      </c>
      <c r="D38" s="24" t="str">
        <f>IFERROR(INDEX(Tasks!$F$2:$F$501,MATCH($Y33&amp;"|"&amp;4,Tasks!$Z$2:$Z$501,0)),"")</f>
        <v/>
      </c>
      <c r="E38" s="25" t="str">
        <f>IFERROR(IF(INDEX(Tasks!$K$2:$K$501,MATCH($Y33&amp;"|"&amp;4,Tasks!$Z$2:$Z$501,0))=0,"",INDEX(Tasks!$K$2:$K$501,MATCH($Y33&amp;"|"&amp;4,Tasks!$Z$2:$Z$501,0))),"")</f>
        <v/>
      </c>
      <c r="F38" s="24" t="str">
        <f>IFERROR(IF(INDEX(Tasks!$L$2:$L$501,MATCH($Y33&amp;"|"&amp;4,Tasks!$Z$2:$Z$501,0))=0,"",INDEX(Tasks!$L$2:$L$501,MATCH($Y33&amp;"|"&amp;4,Tasks!$Z$2:$Z$501,0))),"")</f>
        <v/>
      </c>
      <c r="G38" s="26" t="str">
        <f>IFERROR(IF(INDEX(Tasks!$P$2:$P$501,MATCH($Y33&amp;"|"&amp;4,Tasks!$Z$2:$Z$501,0))=0,"",INDEX(Tasks!$P$2:$P$501,MATCH($Y33&amp;"|"&amp;4,Tasks!$Z$2:$Z$501,0))),"")</f>
        <v/>
      </c>
    </row>
    <row r="39" spans="1:28" ht="17" hidden="1" x14ac:dyDescent="0.5">
      <c r="C39" s="23" t="str">
        <f>IFERROR(INDEX(Tasks!$E$2:$E$501,MATCH($Y33&amp;"|"&amp;5,Tasks!$Z$2:$Z$501,0)),"")</f>
        <v/>
      </c>
      <c r="D39" s="24" t="str">
        <f>IFERROR(INDEX(Tasks!$F$2:$F$501,MATCH($Y33&amp;"|"&amp;5,Tasks!$Z$2:$Z$501,0)),"")</f>
        <v/>
      </c>
      <c r="E39" s="25" t="str">
        <f>IFERROR(IF(INDEX(Tasks!$K$2:$K$501,MATCH($Y33&amp;"|"&amp;5,Tasks!$Z$2:$Z$501,0))=0,"",INDEX(Tasks!$K$2:$K$501,MATCH($Y33&amp;"|"&amp;5,Tasks!$Z$2:$Z$501,0))),"")</f>
        <v/>
      </c>
      <c r="F39" s="24" t="str">
        <f>IFERROR(IF(INDEX(Tasks!$L$2:$L$501,MATCH($Y33&amp;"|"&amp;5,Tasks!$Z$2:$Z$501,0))=0,"",INDEX(Tasks!$L$2:$L$501,MATCH($Y33&amp;"|"&amp;5,Tasks!$Z$2:$Z$501,0))),"")</f>
        <v/>
      </c>
      <c r="G39" s="26" t="str">
        <f>IFERROR(IF(INDEX(Tasks!$P$2:$P$501,MATCH($Y33&amp;"|"&amp;5,Tasks!$Z$2:$Z$501,0))=0,"",INDEX(Tasks!$P$2:$P$501,MATCH($Y33&amp;"|"&amp;5,Tasks!$Z$2:$Z$501,0))),"")</f>
        <v/>
      </c>
    </row>
    <row r="40" spans="1:28" ht="17" hidden="1" x14ac:dyDescent="0.5">
      <c r="C40" s="23" t="str">
        <f>IFERROR(INDEX(Tasks!$E$2:$E$501,MATCH($Y33&amp;"|"&amp;6,Tasks!$Z$2:$Z$501,0)),"")</f>
        <v/>
      </c>
      <c r="D40" s="24" t="str">
        <f>IFERROR(INDEX(Tasks!$F$2:$F$501,MATCH($Y33&amp;"|"&amp;6,Tasks!$Z$2:$Z$501,0)),"")</f>
        <v/>
      </c>
      <c r="E40" s="25" t="str">
        <f>IFERROR(IF(INDEX(Tasks!$K$2:$K$501,MATCH($Y33&amp;"|"&amp;6,Tasks!$Z$2:$Z$501,0))=0,"",INDEX(Tasks!$K$2:$K$501,MATCH($Y33&amp;"|"&amp;6,Tasks!$Z$2:$Z$501,0))),"")</f>
        <v/>
      </c>
      <c r="F40" s="24" t="str">
        <f>IFERROR(IF(INDEX(Tasks!$L$2:$L$501,MATCH($Y33&amp;"|"&amp;6,Tasks!$Z$2:$Z$501,0))=0,"",INDEX(Tasks!$L$2:$L$501,MATCH($Y33&amp;"|"&amp;6,Tasks!$Z$2:$Z$501,0))),"")</f>
        <v/>
      </c>
      <c r="G40" s="26" t="str">
        <f>IFERROR(IF(INDEX(Tasks!$P$2:$P$501,MATCH($Y33&amp;"|"&amp;6,Tasks!$Z$2:$Z$501,0))=0,"",INDEX(Tasks!$P$2:$P$501,MATCH($Y33&amp;"|"&amp;6,Tasks!$Z$2:$Z$501,0))),"")</f>
        <v/>
      </c>
    </row>
    <row r="41" spans="1:28" ht="17" hidden="1" x14ac:dyDescent="0.5">
      <c r="C41" s="23" t="str">
        <f>IFERROR(INDEX(Tasks!$E$2:$E$501,MATCH($Y33&amp;"|"&amp;7,Tasks!$Z$2:$Z$501,0)),"")</f>
        <v/>
      </c>
      <c r="D41" s="24" t="str">
        <f>IFERROR(INDEX(Tasks!$F$2:$F$501,MATCH($Y33&amp;"|"&amp;7,Tasks!$Z$2:$Z$501,0)),"")</f>
        <v/>
      </c>
      <c r="E41" s="25" t="str">
        <f>IFERROR(IF(INDEX(Tasks!$K$2:$K$501,MATCH($Y33&amp;"|"&amp;7,Tasks!$Z$2:$Z$501,0))=0,"",INDEX(Tasks!$K$2:$K$501,MATCH($Y33&amp;"|"&amp;7,Tasks!$Z$2:$Z$501,0))),"")</f>
        <v/>
      </c>
      <c r="F41" s="24" t="str">
        <f>IFERROR(IF(INDEX(Tasks!$L$2:$L$501,MATCH($Y33&amp;"|"&amp;7,Tasks!$Z$2:$Z$501,0))=0,"",INDEX(Tasks!$L$2:$L$501,MATCH($Y33&amp;"|"&amp;7,Tasks!$Z$2:$Z$501,0))),"")</f>
        <v/>
      </c>
      <c r="G41" s="26" t="str">
        <f>IFERROR(IF(INDEX(Tasks!$P$2:$P$501,MATCH($Y33&amp;"|"&amp;7,Tasks!$Z$2:$Z$501,0))=0,"",INDEX(Tasks!$P$2:$P$501,MATCH($Y33&amp;"|"&amp;7,Tasks!$Z$2:$Z$501,0))),"")</f>
        <v/>
      </c>
    </row>
    <row r="42" spans="1:28" ht="17" hidden="1" x14ac:dyDescent="0.5">
      <c r="C42" s="23" t="str">
        <f>IF(N($D33)&gt;8,"+ "&amp;(N($D33)-7)&amp;" more — see Tasks",IFERROR(INDEX(Tasks!$E$2:$E$501,MATCH($Y33&amp;"|"&amp;8,Tasks!$Z$2:$Z$501,0)),""))</f>
        <v/>
      </c>
      <c r="D42" s="24" t="str">
        <f>IF(N($D33)&gt;8,"",IFERROR(INDEX(Tasks!$F$2:$F$501,MATCH($Y33&amp;"|"&amp;8,Tasks!$Z$2:$Z$501,0)),""))</f>
        <v/>
      </c>
      <c r="E42" s="25" t="str">
        <f>IF(N($D33)&gt;8,"",IFERROR(IF(INDEX(Tasks!$K$2:$K$501,MATCH($Y33&amp;"|"&amp;8,Tasks!$Z$2:$Z$501,0))=0,"",INDEX(Tasks!$K$2:$K$501,MATCH($Y33&amp;"|"&amp;8,Tasks!$Z$2:$Z$501,0))),""))</f>
        <v/>
      </c>
      <c r="F42" s="24" t="str">
        <f>IF(N($D33)&gt;8,"",IFERROR(IF(INDEX(Tasks!$L$2:$L$501,MATCH($Y33&amp;"|"&amp;8,Tasks!$Z$2:$Z$501,0))=0,"",INDEX(Tasks!$L$2:$L$501,MATCH($Y33&amp;"|"&amp;8,Tasks!$Z$2:$Z$501,0))),""))</f>
        <v/>
      </c>
      <c r="G42" s="26" t="str">
        <f>IF(N($D33)&gt;8,"",IFERROR(IF(INDEX(Tasks!$P$2:$P$501,MATCH($Y33&amp;"|"&amp;8,Tasks!$Z$2:$Z$501,0))=0,"",INDEX(Tasks!$P$2:$P$501,MATCH($Y33&amp;"|"&amp;8,Tasks!$Z$2:$Z$501,0))),""))</f>
        <v/>
      </c>
    </row>
    <row r="43" spans="1:28" ht="14.5" x14ac:dyDescent="0.35">
      <c r="A43" s="6"/>
      <c r="B43" s="6"/>
      <c r="C43" s="6"/>
      <c r="D43" s="5" t="str">
        <f>IF(COUNTIFS(Tasks!$V$2:$V$501,Y43)=0,"",COUNTIFS(Tasks!$V$2:$V$501,Y43))</f>
        <v/>
      </c>
      <c r="E43" s="18"/>
      <c r="F43" s="18"/>
      <c r="G43" s="6"/>
      <c r="H43" s="19" t="str">
        <f ca="1">IF(OR(E43="",F43=""),"",IF(E43=F43,IF(TODAY()&gt;=E43,1,0),MAX(0,MIN(1,(TODAY()-E43)/(F43-E43)))))</f>
        <v/>
      </c>
      <c r="I43" s="10"/>
      <c r="J43" s="20"/>
      <c r="AA43">
        <f ca="1">IF(TODAY()&lt;E43,E43-TODAY(),F43-TODAY())</f>
        <v>-46216</v>
      </c>
      <c r="AB43" t="str">
        <f ca="1">IF(AND(OR(G43="Planned",G43="Active"),ABS(AA43)&lt;=7),AA43+Y43/1000000,"")</f>
        <v/>
      </c>
    </row>
    <row r="44" spans="1:28" ht="15" hidden="1" x14ac:dyDescent="0.4">
      <c r="C44" s="21" t="s">
        <v>39</v>
      </c>
      <c r="D44" s="22" t="s">
        <v>40</v>
      </c>
      <c r="E44" s="22" t="s">
        <v>13</v>
      </c>
      <c r="F44" s="22" t="s">
        <v>14</v>
      </c>
      <c r="G44" s="22" t="s">
        <v>18</v>
      </c>
    </row>
    <row r="45" spans="1:28" ht="17" hidden="1" x14ac:dyDescent="0.5">
      <c r="C45" s="23" t="str">
        <f>IFERROR(INDEX(Tasks!$E$2:$E$501,MATCH($Y43&amp;"|"&amp;1,Tasks!$Z$2:$Z$501,0)),"")</f>
        <v/>
      </c>
      <c r="D45" s="24" t="str">
        <f>IFERROR(INDEX(Tasks!$F$2:$F$501,MATCH($Y43&amp;"|"&amp;1,Tasks!$Z$2:$Z$501,0)),"")</f>
        <v/>
      </c>
      <c r="E45" s="25" t="str">
        <f>IFERROR(IF(INDEX(Tasks!$K$2:$K$501,MATCH($Y43&amp;"|"&amp;1,Tasks!$Z$2:$Z$501,0))=0,"",INDEX(Tasks!$K$2:$K$501,MATCH($Y43&amp;"|"&amp;1,Tasks!$Z$2:$Z$501,0))),"")</f>
        <v/>
      </c>
      <c r="F45" s="24" t="str">
        <f>IFERROR(IF(INDEX(Tasks!$L$2:$L$501,MATCH($Y43&amp;"|"&amp;1,Tasks!$Z$2:$Z$501,0))=0,"",INDEX(Tasks!$L$2:$L$501,MATCH($Y43&amp;"|"&amp;1,Tasks!$Z$2:$Z$501,0))),"")</f>
        <v/>
      </c>
      <c r="G45" s="26" t="str">
        <f>IFERROR(IF(INDEX(Tasks!$P$2:$P$501,MATCH($Y43&amp;"|"&amp;1,Tasks!$Z$2:$Z$501,0))=0,"",INDEX(Tasks!$P$2:$P$501,MATCH($Y43&amp;"|"&amp;1,Tasks!$Z$2:$Z$501,0))),"")</f>
        <v/>
      </c>
    </row>
    <row r="46" spans="1:28" ht="17" hidden="1" x14ac:dyDescent="0.5">
      <c r="C46" s="23" t="str">
        <f>IFERROR(INDEX(Tasks!$E$2:$E$501,MATCH($Y43&amp;"|"&amp;2,Tasks!$Z$2:$Z$501,0)),"")</f>
        <v/>
      </c>
      <c r="D46" s="24" t="str">
        <f>IFERROR(INDEX(Tasks!$F$2:$F$501,MATCH($Y43&amp;"|"&amp;2,Tasks!$Z$2:$Z$501,0)),"")</f>
        <v/>
      </c>
      <c r="E46" s="25" t="str">
        <f>IFERROR(IF(INDEX(Tasks!$K$2:$K$501,MATCH($Y43&amp;"|"&amp;2,Tasks!$Z$2:$Z$501,0))=0,"",INDEX(Tasks!$K$2:$K$501,MATCH($Y43&amp;"|"&amp;2,Tasks!$Z$2:$Z$501,0))),"")</f>
        <v/>
      </c>
      <c r="F46" s="24" t="str">
        <f>IFERROR(IF(INDEX(Tasks!$L$2:$L$501,MATCH($Y43&amp;"|"&amp;2,Tasks!$Z$2:$Z$501,0))=0,"",INDEX(Tasks!$L$2:$L$501,MATCH($Y43&amp;"|"&amp;2,Tasks!$Z$2:$Z$501,0))),"")</f>
        <v/>
      </c>
      <c r="G46" s="26" t="str">
        <f>IFERROR(IF(INDEX(Tasks!$P$2:$P$501,MATCH($Y43&amp;"|"&amp;2,Tasks!$Z$2:$Z$501,0))=0,"",INDEX(Tasks!$P$2:$P$501,MATCH($Y43&amp;"|"&amp;2,Tasks!$Z$2:$Z$501,0))),"")</f>
        <v/>
      </c>
    </row>
    <row r="47" spans="1:28" ht="17" hidden="1" x14ac:dyDescent="0.5">
      <c r="C47" s="23" t="str">
        <f>IFERROR(INDEX(Tasks!$E$2:$E$501,MATCH($Y43&amp;"|"&amp;3,Tasks!$Z$2:$Z$501,0)),"")</f>
        <v/>
      </c>
      <c r="D47" s="24" t="str">
        <f>IFERROR(INDEX(Tasks!$F$2:$F$501,MATCH($Y43&amp;"|"&amp;3,Tasks!$Z$2:$Z$501,0)),"")</f>
        <v/>
      </c>
      <c r="E47" s="25" t="str">
        <f>IFERROR(IF(INDEX(Tasks!$K$2:$K$501,MATCH($Y43&amp;"|"&amp;3,Tasks!$Z$2:$Z$501,0))=0,"",INDEX(Tasks!$K$2:$K$501,MATCH($Y43&amp;"|"&amp;3,Tasks!$Z$2:$Z$501,0))),"")</f>
        <v/>
      </c>
      <c r="F47" s="24" t="str">
        <f>IFERROR(IF(INDEX(Tasks!$L$2:$L$501,MATCH($Y43&amp;"|"&amp;3,Tasks!$Z$2:$Z$501,0))=0,"",INDEX(Tasks!$L$2:$L$501,MATCH($Y43&amp;"|"&amp;3,Tasks!$Z$2:$Z$501,0))),"")</f>
        <v/>
      </c>
      <c r="G47" s="26" t="str">
        <f>IFERROR(IF(INDEX(Tasks!$P$2:$P$501,MATCH($Y43&amp;"|"&amp;3,Tasks!$Z$2:$Z$501,0))=0,"",INDEX(Tasks!$P$2:$P$501,MATCH($Y43&amp;"|"&amp;3,Tasks!$Z$2:$Z$501,0))),"")</f>
        <v/>
      </c>
    </row>
    <row r="48" spans="1:28" ht="17" hidden="1" x14ac:dyDescent="0.5">
      <c r="C48" s="23" t="str">
        <f>IFERROR(INDEX(Tasks!$E$2:$E$501,MATCH($Y43&amp;"|"&amp;4,Tasks!$Z$2:$Z$501,0)),"")</f>
        <v/>
      </c>
      <c r="D48" s="24" t="str">
        <f>IFERROR(INDEX(Tasks!$F$2:$F$501,MATCH($Y43&amp;"|"&amp;4,Tasks!$Z$2:$Z$501,0)),"")</f>
        <v/>
      </c>
      <c r="E48" s="25" t="str">
        <f>IFERROR(IF(INDEX(Tasks!$K$2:$K$501,MATCH($Y43&amp;"|"&amp;4,Tasks!$Z$2:$Z$501,0))=0,"",INDEX(Tasks!$K$2:$K$501,MATCH($Y43&amp;"|"&amp;4,Tasks!$Z$2:$Z$501,0))),"")</f>
        <v/>
      </c>
      <c r="F48" s="24" t="str">
        <f>IFERROR(IF(INDEX(Tasks!$L$2:$L$501,MATCH($Y43&amp;"|"&amp;4,Tasks!$Z$2:$Z$501,0))=0,"",INDEX(Tasks!$L$2:$L$501,MATCH($Y43&amp;"|"&amp;4,Tasks!$Z$2:$Z$501,0))),"")</f>
        <v/>
      </c>
      <c r="G48" s="26" t="str">
        <f>IFERROR(IF(INDEX(Tasks!$P$2:$P$501,MATCH($Y43&amp;"|"&amp;4,Tasks!$Z$2:$Z$501,0))=0,"",INDEX(Tasks!$P$2:$P$501,MATCH($Y43&amp;"|"&amp;4,Tasks!$Z$2:$Z$501,0))),"")</f>
        <v/>
      </c>
    </row>
    <row r="49" spans="1:28" ht="17" hidden="1" x14ac:dyDescent="0.5">
      <c r="C49" s="23" t="str">
        <f>IFERROR(INDEX(Tasks!$E$2:$E$501,MATCH($Y43&amp;"|"&amp;5,Tasks!$Z$2:$Z$501,0)),"")</f>
        <v/>
      </c>
      <c r="D49" s="24" t="str">
        <f>IFERROR(INDEX(Tasks!$F$2:$F$501,MATCH($Y43&amp;"|"&amp;5,Tasks!$Z$2:$Z$501,0)),"")</f>
        <v/>
      </c>
      <c r="E49" s="25" t="str">
        <f>IFERROR(IF(INDEX(Tasks!$K$2:$K$501,MATCH($Y43&amp;"|"&amp;5,Tasks!$Z$2:$Z$501,0))=0,"",INDEX(Tasks!$K$2:$K$501,MATCH($Y43&amp;"|"&amp;5,Tasks!$Z$2:$Z$501,0))),"")</f>
        <v/>
      </c>
      <c r="F49" s="24" t="str">
        <f>IFERROR(IF(INDEX(Tasks!$L$2:$L$501,MATCH($Y43&amp;"|"&amp;5,Tasks!$Z$2:$Z$501,0))=0,"",INDEX(Tasks!$L$2:$L$501,MATCH($Y43&amp;"|"&amp;5,Tasks!$Z$2:$Z$501,0))),"")</f>
        <v/>
      </c>
      <c r="G49" s="26" t="str">
        <f>IFERROR(IF(INDEX(Tasks!$P$2:$P$501,MATCH($Y43&amp;"|"&amp;5,Tasks!$Z$2:$Z$501,0))=0,"",INDEX(Tasks!$P$2:$P$501,MATCH($Y43&amp;"|"&amp;5,Tasks!$Z$2:$Z$501,0))),"")</f>
        <v/>
      </c>
    </row>
    <row r="50" spans="1:28" ht="17" hidden="1" x14ac:dyDescent="0.5">
      <c r="C50" s="23" t="str">
        <f>IFERROR(INDEX(Tasks!$E$2:$E$501,MATCH($Y43&amp;"|"&amp;6,Tasks!$Z$2:$Z$501,0)),"")</f>
        <v/>
      </c>
      <c r="D50" s="24" t="str">
        <f>IFERROR(INDEX(Tasks!$F$2:$F$501,MATCH($Y43&amp;"|"&amp;6,Tasks!$Z$2:$Z$501,0)),"")</f>
        <v/>
      </c>
      <c r="E50" s="25" t="str">
        <f>IFERROR(IF(INDEX(Tasks!$K$2:$K$501,MATCH($Y43&amp;"|"&amp;6,Tasks!$Z$2:$Z$501,0))=0,"",INDEX(Tasks!$K$2:$K$501,MATCH($Y43&amp;"|"&amp;6,Tasks!$Z$2:$Z$501,0))),"")</f>
        <v/>
      </c>
      <c r="F50" s="24" t="str">
        <f>IFERROR(IF(INDEX(Tasks!$L$2:$L$501,MATCH($Y43&amp;"|"&amp;6,Tasks!$Z$2:$Z$501,0))=0,"",INDEX(Tasks!$L$2:$L$501,MATCH($Y43&amp;"|"&amp;6,Tasks!$Z$2:$Z$501,0))),"")</f>
        <v/>
      </c>
      <c r="G50" s="26" t="str">
        <f>IFERROR(IF(INDEX(Tasks!$P$2:$P$501,MATCH($Y43&amp;"|"&amp;6,Tasks!$Z$2:$Z$501,0))=0,"",INDEX(Tasks!$P$2:$P$501,MATCH($Y43&amp;"|"&amp;6,Tasks!$Z$2:$Z$501,0))),"")</f>
        <v/>
      </c>
    </row>
    <row r="51" spans="1:28" ht="17" hidden="1" x14ac:dyDescent="0.5">
      <c r="C51" s="23" t="str">
        <f>IFERROR(INDEX(Tasks!$E$2:$E$501,MATCH($Y43&amp;"|"&amp;7,Tasks!$Z$2:$Z$501,0)),"")</f>
        <v/>
      </c>
      <c r="D51" s="24" t="str">
        <f>IFERROR(INDEX(Tasks!$F$2:$F$501,MATCH($Y43&amp;"|"&amp;7,Tasks!$Z$2:$Z$501,0)),"")</f>
        <v/>
      </c>
      <c r="E51" s="25" t="str">
        <f>IFERROR(IF(INDEX(Tasks!$K$2:$K$501,MATCH($Y43&amp;"|"&amp;7,Tasks!$Z$2:$Z$501,0))=0,"",INDEX(Tasks!$K$2:$K$501,MATCH($Y43&amp;"|"&amp;7,Tasks!$Z$2:$Z$501,0))),"")</f>
        <v/>
      </c>
      <c r="F51" s="24" t="str">
        <f>IFERROR(IF(INDEX(Tasks!$L$2:$L$501,MATCH($Y43&amp;"|"&amp;7,Tasks!$Z$2:$Z$501,0))=0,"",INDEX(Tasks!$L$2:$L$501,MATCH($Y43&amp;"|"&amp;7,Tasks!$Z$2:$Z$501,0))),"")</f>
        <v/>
      </c>
      <c r="G51" s="26" t="str">
        <f>IFERROR(IF(INDEX(Tasks!$P$2:$P$501,MATCH($Y43&amp;"|"&amp;7,Tasks!$Z$2:$Z$501,0))=0,"",INDEX(Tasks!$P$2:$P$501,MATCH($Y43&amp;"|"&amp;7,Tasks!$Z$2:$Z$501,0))),"")</f>
        <v/>
      </c>
    </row>
    <row r="52" spans="1:28" ht="17" hidden="1" x14ac:dyDescent="0.5">
      <c r="C52" s="23" t="str">
        <f>IF(N($D43)&gt;8,"+ "&amp;(N($D43)-7)&amp;" more — see Tasks",IFERROR(INDEX(Tasks!$E$2:$E$501,MATCH($Y43&amp;"|"&amp;8,Tasks!$Z$2:$Z$501,0)),""))</f>
        <v/>
      </c>
      <c r="D52" s="24" t="str">
        <f>IF(N($D43)&gt;8,"",IFERROR(INDEX(Tasks!$F$2:$F$501,MATCH($Y43&amp;"|"&amp;8,Tasks!$Z$2:$Z$501,0)),""))</f>
        <v/>
      </c>
      <c r="E52" s="25" t="str">
        <f>IF(N($D43)&gt;8,"",IFERROR(IF(INDEX(Tasks!$K$2:$K$501,MATCH($Y43&amp;"|"&amp;8,Tasks!$Z$2:$Z$501,0))=0,"",INDEX(Tasks!$K$2:$K$501,MATCH($Y43&amp;"|"&amp;8,Tasks!$Z$2:$Z$501,0))),""))</f>
        <v/>
      </c>
      <c r="F52" s="24" t="str">
        <f>IF(N($D43)&gt;8,"",IFERROR(IF(INDEX(Tasks!$L$2:$L$501,MATCH($Y43&amp;"|"&amp;8,Tasks!$Z$2:$Z$501,0))=0,"",INDEX(Tasks!$L$2:$L$501,MATCH($Y43&amp;"|"&amp;8,Tasks!$Z$2:$Z$501,0))),""))</f>
        <v/>
      </c>
      <c r="G52" s="26" t="str">
        <f>IF(N($D43)&gt;8,"",IFERROR(IF(INDEX(Tasks!$P$2:$P$501,MATCH($Y43&amp;"|"&amp;8,Tasks!$Z$2:$Z$501,0))=0,"",INDEX(Tasks!$P$2:$P$501,MATCH($Y43&amp;"|"&amp;8,Tasks!$Z$2:$Z$501,0))),""))</f>
        <v/>
      </c>
    </row>
    <row r="53" spans="1:28" ht="14.5" x14ac:dyDescent="0.35">
      <c r="A53" s="6"/>
      <c r="B53" s="6"/>
      <c r="C53" s="6"/>
      <c r="D53" s="5" t="str">
        <f>IF(COUNTIFS(Tasks!$V$2:$V$501,Y53)=0,"",COUNTIFS(Tasks!$V$2:$V$501,Y53))</f>
        <v/>
      </c>
      <c r="E53" s="18"/>
      <c r="F53" s="18"/>
      <c r="G53" s="6"/>
      <c r="H53" s="19" t="str">
        <f ca="1">IF(OR(E53="",F53=""),"",IF(E53=F53,IF(TODAY()&gt;=E53,1,0),MAX(0,MIN(1,(TODAY()-E53)/(F53-E53)))))</f>
        <v/>
      </c>
      <c r="I53" s="10"/>
      <c r="J53" s="20"/>
      <c r="AA53">
        <f ca="1">IF(TODAY()&lt;E53,E53-TODAY(),F53-TODAY())</f>
        <v>-46216</v>
      </c>
      <c r="AB53" t="str">
        <f ca="1">IF(AND(OR(G53="Planned",G53="Active"),ABS(AA53)&lt;=7),AA53+Y53/1000000,"")</f>
        <v/>
      </c>
    </row>
    <row r="54" spans="1:28" ht="15" hidden="1" x14ac:dyDescent="0.4">
      <c r="C54" s="21" t="s">
        <v>39</v>
      </c>
      <c r="D54" s="22" t="s">
        <v>40</v>
      </c>
      <c r="E54" s="22" t="s">
        <v>13</v>
      </c>
      <c r="F54" s="22" t="s">
        <v>14</v>
      </c>
      <c r="G54" s="22" t="s">
        <v>18</v>
      </c>
    </row>
    <row r="55" spans="1:28" ht="17" hidden="1" x14ac:dyDescent="0.5">
      <c r="C55" s="23" t="str">
        <f>IFERROR(INDEX(Tasks!$E$2:$E$501,MATCH($Y53&amp;"|"&amp;1,Tasks!$Z$2:$Z$501,0)),"")</f>
        <v/>
      </c>
      <c r="D55" s="24" t="str">
        <f>IFERROR(INDEX(Tasks!$F$2:$F$501,MATCH($Y53&amp;"|"&amp;1,Tasks!$Z$2:$Z$501,0)),"")</f>
        <v/>
      </c>
      <c r="E55" s="25" t="str">
        <f>IFERROR(IF(INDEX(Tasks!$K$2:$K$501,MATCH($Y53&amp;"|"&amp;1,Tasks!$Z$2:$Z$501,0))=0,"",INDEX(Tasks!$K$2:$K$501,MATCH($Y53&amp;"|"&amp;1,Tasks!$Z$2:$Z$501,0))),"")</f>
        <v/>
      </c>
      <c r="F55" s="24" t="str">
        <f>IFERROR(IF(INDEX(Tasks!$L$2:$L$501,MATCH($Y53&amp;"|"&amp;1,Tasks!$Z$2:$Z$501,0))=0,"",INDEX(Tasks!$L$2:$L$501,MATCH($Y53&amp;"|"&amp;1,Tasks!$Z$2:$Z$501,0))),"")</f>
        <v/>
      </c>
      <c r="G55" s="26" t="str">
        <f>IFERROR(IF(INDEX(Tasks!$P$2:$P$501,MATCH($Y53&amp;"|"&amp;1,Tasks!$Z$2:$Z$501,0))=0,"",INDEX(Tasks!$P$2:$P$501,MATCH($Y53&amp;"|"&amp;1,Tasks!$Z$2:$Z$501,0))),"")</f>
        <v/>
      </c>
    </row>
    <row r="56" spans="1:28" ht="17" hidden="1" x14ac:dyDescent="0.5">
      <c r="C56" s="23" t="str">
        <f>IFERROR(INDEX(Tasks!$E$2:$E$501,MATCH($Y53&amp;"|"&amp;2,Tasks!$Z$2:$Z$501,0)),"")</f>
        <v/>
      </c>
      <c r="D56" s="24" t="str">
        <f>IFERROR(INDEX(Tasks!$F$2:$F$501,MATCH($Y53&amp;"|"&amp;2,Tasks!$Z$2:$Z$501,0)),"")</f>
        <v/>
      </c>
      <c r="E56" s="25" t="str">
        <f>IFERROR(IF(INDEX(Tasks!$K$2:$K$501,MATCH($Y53&amp;"|"&amp;2,Tasks!$Z$2:$Z$501,0))=0,"",INDEX(Tasks!$K$2:$K$501,MATCH($Y53&amp;"|"&amp;2,Tasks!$Z$2:$Z$501,0))),"")</f>
        <v/>
      </c>
      <c r="F56" s="24" t="str">
        <f>IFERROR(IF(INDEX(Tasks!$L$2:$L$501,MATCH($Y53&amp;"|"&amp;2,Tasks!$Z$2:$Z$501,0))=0,"",INDEX(Tasks!$L$2:$L$501,MATCH($Y53&amp;"|"&amp;2,Tasks!$Z$2:$Z$501,0))),"")</f>
        <v/>
      </c>
      <c r="G56" s="26" t="str">
        <f>IFERROR(IF(INDEX(Tasks!$P$2:$P$501,MATCH($Y53&amp;"|"&amp;2,Tasks!$Z$2:$Z$501,0))=0,"",INDEX(Tasks!$P$2:$P$501,MATCH($Y53&amp;"|"&amp;2,Tasks!$Z$2:$Z$501,0))),"")</f>
        <v/>
      </c>
    </row>
    <row r="57" spans="1:28" ht="17" hidden="1" x14ac:dyDescent="0.5">
      <c r="C57" s="23" t="str">
        <f>IFERROR(INDEX(Tasks!$E$2:$E$501,MATCH($Y53&amp;"|"&amp;3,Tasks!$Z$2:$Z$501,0)),"")</f>
        <v/>
      </c>
      <c r="D57" s="24" t="str">
        <f>IFERROR(INDEX(Tasks!$F$2:$F$501,MATCH($Y53&amp;"|"&amp;3,Tasks!$Z$2:$Z$501,0)),"")</f>
        <v/>
      </c>
      <c r="E57" s="25" t="str">
        <f>IFERROR(IF(INDEX(Tasks!$K$2:$K$501,MATCH($Y53&amp;"|"&amp;3,Tasks!$Z$2:$Z$501,0))=0,"",INDEX(Tasks!$K$2:$K$501,MATCH($Y53&amp;"|"&amp;3,Tasks!$Z$2:$Z$501,0))),"")</f>
        <v/>
      </c>
      <c r="F57" s="24" t="str">
        <f>IFERROR(IF(INDEX(Tasks!$L$2:$L$501,MATCH($Y53&amp;"|"&amp;3,Tasks!$Z$2:$Z$501,0))=0,"",INDEX(Tasks!$L$2:$L$501,MATCH($Y53&amp;"|"&amp;3,Tasks!$Z$2:$Z$501,0))),"")</f>
        <v/>
      </c>
      <c r="G57" s="26" t="str">
        <f>IFERROR(IF(INDEX(Tasks!$P$2:$P$501,MATCH($Y53&amp;"|"&amp;3,Tasks!$Z$2:$Z$501,0))=0,"",INDEX(Tasks!$P$2:$P$501,MATCH($Y53&amp;"|"&amp;3,Tasks!$Z$2:$Z$501,0))),"")</f>
        <v/>
      </c>
    </row>
    <row r="58" spans="1:28" ht="17" hidden="1" x14ac:dyDescent="0.5">
      <c r="C58" s="23" t="str">
        <f>IFERROR(INDEX(Tasks!$E$2:$E$501,MATCH($Y53&amp;"|"&amp;4,Tasks!$Z$2:$Z$501,0)),"")</f>
        <v/>
      </c>
      <c r="D58" s="24" t="str">
        <f>IFERROR(INDEX(Tasks!$F$2:$F$501,MATCH($Y53&amp;"|"&amp;4,Tasks!$Z$2:$Z$501,0)),"")</f>
        <v/>
      </c>
      <c r="E58" s="25" t="str">
        <f>IFERROR(IF(INDEX(Tasks!$K$2:$K$501,MATCH($Y53&amp;"|"&amp;4,Tasks!$Z$2:$Z$501,0))=0,"",INDEX(Tasks!$K$2:$K$501,MATCH($Y53&amp;"|"&amp;4,Tasks!$Z$2:$Z$501,0))),"")</f>
        <v/>
      </c>
      <c r="F58" s="24" t="str">
        <f>IFERROR(IF(INDEX(Tasks!$L$2:$L$501,MATCH($Y53&amp;"|"&amp;4,Tasks!$Z$2:$Z$501,0))=0,"",INDEX(Tasks!$L$2:$L$501,MATCH($Y53&amp;"|"&amp;4,Tasks!$Z$2:$Z$501,0))),"")</f>
        <v/>
      </c>
      <c r="G58" s="26" t="str">
        <f>IFERROR(IF(INDEX(Tasks!$P$2:$P$501,MATCH($Y53&amp;"|"&amp;4,Tasks!$Z$2:$Z$501,0))=0,"",INDEX(Tasks!$P$2:$P$501,MATCH($Y53&amp;"|"&amp;4,Tasks!$Z$2:$Z$501,0))),"")</f>
        <v/>
      </c>
    </row>
    <row r="59" spans="1:28" ht="17" hidden="1" x14ac:dyDescent="0.5">
      <c r="C59" s="23" t="str">
        <f>IFERROR(INDEX(Tasks!$E$2:$E$501,MATCH($Y53&amp;"|"&amp;5,Tasks!$Z$2:$Z$501,0)),"")</f>
        <v/>
      </c>
      <c r="D59" s="24" t="str">
        <f>IFERROR(INDEX(Tasks!$F$2:$F$501,MATCH($Y53&amp;"|"&amp;5,Tasks!$Z$2:$Z$501,0)),"")</f>
        <v/>
      </c>
      <c r="E59" s="25" t="str">
        <f>IFERROR(IF(INDEX(Tasks!$K$2:$K$501,MATCH($Y53&amp;"|"&amp;5,Tasks!$Z$2:$Z$501,0))=0,"",INDEX(Tasks!$K$2:$K$501,MATCH($Y53&amp;"|"&amp;5,Tasks!$Z$2:$Z$501,0))),"")</f>
        <v/>
      </c>
      <c r="F59" s="24" t="str">
        <f>IFERROR(IF(INDEX(Tasks!$L$2:$L$501,MATCH($Y53&amp;"|"&amp;5,Tasks!$Z$2:$Z$501,0))=0,"",INDEX(Tasks!$L$2:$L$501,MATCH($Y53&amp;"|"&amp;5,Tasks!$Z$2:$Z$501,0))),"")</f>
        <v/>
      </c>
      <c r="G59" s="26" t="str">
        <f>IFERROR(IF(INDEX(Tasks!$P$2:$P$501,MATCH($Y53&amp;"|"&amp;5,Tasks!$Z$2:$Z$501,0))=0,"",INDEX(Tasks!$P$2:$P$501,MATCH($Y53&amp;"|"&amp;5,Tasks!$Z$2:$Z$501,0))),"")</f>
        <v/>
      </c>
    </row>
    <row r="60" spans="1:28" ht="17" hidden="1" x14ac:dyDescent="0.5">
      <c r="C60" s="23" t="str">
        <f>IFERROR(INDEX(Tasks!$E$2:$E$501,MATCH($Y53&amp;"|"&amp;6,Tasks!$Z$2:$Z$501,0)),"")</f>
        <v/>
      </c>
      <c r="D60" s="24" t="str">
        <f>IFERROR(INDEX(Tasks!$F$2:$F$501,MATCH($Y53&amp;"|"&amp;6,Tasks!$Z$2:$Z$501,0)),"")</f>
        <v/>
      </c>
      <c r="E60" s="25" t="str">
        <f>IFERROR(IF(INDEX(Tasks!$K$2:$K$501,MATCH($Y53&amp;"|"&amp;6,Tasks!$Z$2:$Z$501,0))=0,"",INDEX(Tasks!$K$2:$K$501,MATCH($Y53&amp;"|"&amp;6,Tasks!$Z$2:$Z$501,0))),"")</f>
        <v/>
      </c>
      <c r="F60" s="24" t="str">
        <f>IFERROR(IF(INDEX(Tasks!$L$2:$L$501,MATCH($Y53&amp;"|"&amp;6,Tasks!$Z$2:$Z$501,0))=0,"",INDEX(Tasks!$L$2:$L$501,MATCH($Y53&amp;"|"&amp;6,Tasks!$Z$2:$Z$501,0))),"")</f>
        <v/>
      </c>
      <c r="G60" s="26" t="str">
        <f>IFERROR(IF(INDEX(Tasks!$P$2:$P$501,MATCH($Y53&amp;"|"&amp;6,Tasks!$Z$2:$Z$501,0))=0,"",INDEX(Tasks!$P$2:$P$501,MATCH($Y53&amp;"|"&amp;6,Tasks!$Z$2:$Z$501,0))),"")</f>
        <v/>
      </c>
    </row>
    <row r="61" spans="1:28" ht="17" hidden="1" x14ac:dyDescent="0.5">
      <c r="C61" s="23" t="str">
        <f>IFERROR(INDEX(Tasks!$E$2:$E$501,MATCH($Y53&amp;"|"&amp;7,Tasks!$Z$2:$Z$501,0)),"")</f>
        <v/>
      </c>
      <c r="D61" s="24" t="str">
        <f>IFERROR(INDEX(Tasks!$F$2:$F$501,MATCH($Y53&amp;"|"&amp;7,Tasks!$Z$2:$Z$501,0)),"")</f>
        <v/>
      </c>
      <c r="E61" s="25" t="str">
        <f>IFERROR(IF(INDEX(Tasks!$K$2:$K$501,MATCH($Y53&amp;"|"&amp;7,Tasks!$Z$2:$Z$501,0))=0,"",INDEX(Tasks!$K$2:$K$501,MATCH($Y53&amp;"|"&amp;7,Tasks!$Z$2:$Z$501,0))),"")</f>
        <v/>
      </c>
      <c r="F61" s="24" t="str">
        <f>IFERROR(IF(INDEX(Tasks!$L$2:$L$501,MATCH($Y53&amp;"|"&amp;7,Tasks!$Z$2:$Z$501,0))=0,"",INDEX(Tasks!$L$2:$L$501,MATCH($Y53&amp;"|"&amp;7,Tasks!$Z$2:$Z$501,0))),"")</f>
        <v/>
      </c>
      <c r="G61" s="26" t="str">
        <f>IFERROR(IF(INDEX(Tasks!$P$2:$P$501,MATCH($Y53&amp;"|"&amp;7,Tasks!$Z$2:$Z$501,0))=0,"",INDEX(Tasks!$P$2:$P$501,MATCH($Y53&amp;"|"&amp;7,Tasks!$Z$2:$Z$501,0))),"")</f>
        <v/>
      </c>
    </row>
    <row r="62" spans="1:28" ht="17" hidden="1" x14ac:dyDescent="0.5">
      <c r="C62" s="23" t="str">
        <f>IF(N($D53)&gt;8,"+ "&amp;(N($D53)-7)&amp;" more — see Tasks",IFERROR(INDEX(Tasks!$E$2:$E$501,MATCH($Y53&amp;"|"&amp;8,Tasks!$Z$2:$Z$501,0)),""))</f>
        <v/>
      </c>
      <c r="D62" s="24" t="str">
        <f>IF(N($D53)&gt;8,"",IFERROR(INDEX(Tasks!$F$2:$F$501,MATCH($Y53&amp;"|"&amp;8,Tasks!$Z$2:$Z$501,0)),""))</f>
        <v/>
      </c>
      <c r="E62" s="25" t="str">
        <f>IF(N($D53)&gt;8,"",IFERROR(IF(INDEX(Tasks!$K$2:$K$501,MATCH($Y53&amp;"|"&amp;8,Tasks!$Z$2:$Z$501,0))=0,"",INDEX(Tasks!$K$2:$K$501,MATCH($Y53&amp;"|"&amp;8,Tasks!$Z$2:$Z$501,0))),""))</f>
        <v/>
      </c>
      <c r="F62" s="24" t="str">
        <f>IF(N($D53)&gt;8,"",IFERROR(IF(INDEX(Tasks!$L$2:$L$501,MATCH($Y53&amp;"|"&amp;8,Tasks!$Z$2:$Z$501,0))=0,"",INDEX(Tasks!$L$2:$L$501,MATCH($Y53&amp;"|"&amp;8,Tasks!$Z$2:$Z$501,0))),""))</f>
        <v/>
      </c>
      <c r="G62" s="26" t="str">
        <f>IF(N($D53)&gt;8,"",IFERROR(IF(INDEX(Tasks!$P$2:$P$501,MATCH($Y53&amp;"|"&amp;8,Tasks!$Z$2:$Z$501,0))=0,"",INDEX(Tasks!$P$2:$P$501,MATCH($Y53&amp;"|"&amp;8,Tasks!$Z$2:$Z$501,0))),""))</f>
        <v/>
      </c>
    </row>
    <row r="63" spans="1:28" ht="14.5" x14ac:dyDescent="0.35">
      <c r="A63" s="6"/>
      <c r="B63" s="6"/>
      <c r="C63" s="6"/>
      <c r="D63" s="5" t="str">
        <f>IF(COUNTIFS(Tasks!$V$2:$V$501,Y63)=0,"",COUNTIFS(Tasks!$V$2:$V$501,Y63))</f>
        <v/>
      </c>
      <c r="E63" s="18"/>
      <c r="F63" s="18"/>
      <c r="G63" s="6"/>
      <c r="H63" s="19" t="str">
        <f ca="1">IF(OR(E63="",F63=""),"",IF(E63=F63,IF(TODAY()&gt;=E63,1,0),MAX(0,MIN(1,(TODAY()-E63)/(F63-E63)))))</f>
        <v/>
      </c>
      <c r="I63" s="10"/>
      <c r="J63" s="20"/>
      <c r="AA63">
        <f ca="1">IF(TODAY()&lt;E63,E63-TODAY(),F63-TODAY())</f>
        <v>-46216</v>
      </c>
      <c r="AB63" t="str">
        <f ca="1">IF(AND(OR(G63="Planned",G63="Active"),ABS(AA63)&lt;=7),AA63+Y63/1000000,"")</f>
        <v/>
      </c>
    </row>
    <row r="64" spans="1:28" ht="15" hidden="1" x14ac:dyDescent="0.4">
      <c r="C64" s="21" t="s">
        <v>39</v>
      </c>
      <c r="D64" s="22" t="s">
        <v>40</v>
      </c>
      <c r="E64" s="22" t="s">
        <v>13</v>
      </c>
      <c r="F64" s="22" t="s">
        <v>14</v>
      </c>
      <c r="G64" s="22" t="s">
        <v>18</v>
      </c>
    </row>
    <row r="65" spans="1:28" ht="17" hidden="1" x14ac:dyDescent="0.5">
      <c r="C65" s="23" t="str">
        <f>IFERROR(INDEX(Tasks!$E$2:$E$501,MATCH($Y63&amp;"|"&amp;1,Tasks!$Z$2:$Z$501,0)),"")</f>
        <v/>
      </c>
      <c r="D65" s="24" t="str">
        <f>IFERROR(INDEX(Tasks!$F$2:$F$501,MATCH($Y63&amp;"|"&amp;1,Tasks!$Z$2:$Z$501,0)),"")</f>
        <v/>
      </c>
      <c r="E65" s="25" t="str">
        <f>IFERROR(IF(INDEX(Tasks!$K$2:$K$501,MATCH($Y63&amp;"|"&amp;1,Tasks!$Z$2:$Z$501,0))=0,"",INDEX(Tasks!$K$2:$K$501,MATCH($Y63&amp;"|"&amp;1,Tasks!$Z$2:$Z$501,0))),"")</f>
        <v/>
      </c>
      <c r="F65" s="24" t="str">
        <f>IFERROR(IF(INDEX(Tasks!$L$2:$L$501,MATCH($Y63&amp;"|"&amp;1,Tasks!$Z$2:$Z$501,0))=0,"",INDEX(Tasks!$L$2:$L$501,MATCH($Y63&amp;"|"&amp;1,Tasks!$Z$2:$Z$501,0))),"")</f>
        <v/>
      </c>
      <c r="G65" s="26" t="str">
        <f>IFERROR(IF(INDEX(Tasks!$P$2:$P$501,MATCH($Y63&amp;"|"&amp;1,Tasks!$Z$2:$Z$501,0))=0,"",INDEX(Tasks!$P$2:$P$501,MATCH($Y63&amp;"|"&amp;1,Tasks!$Z$2:$Z$501,0))),"")</f>
        <v/>
      </c>
    </row>
    <row r="66" spans="1:28" ht="17" hidden="1" x14ac:dyDescent="0.5">
      <c r="C66" s="23" t="str">
        <f>IFERROR(INDEX(Tasks!$E$2:$E$501,MATCH($Y63&amp;"|"&amp;2,Tasks!$Z$2:$Z$501,0)),"")</f>
        <v/>
      </c>
      <c r="D66" s="24" t="str">
        <f>IFERROR(INDEX(Tasks!$F$2:$F$501,MATCH($Y63&amp;"|"&amp;2,Tasks!$Z$2:$Z$501,0)),"")</f>
        <v/>
      </c>
      <c r="E66" s="25" t="str">
        <f>IFERROR(IF(INDEX(Tasks!$K$2:$K$501,MATCH($Y63&amp;"|"&amp;2,Tasks!$Z$2:$Z$501,0))=0,"",INDEX(Tasks!$K$2:$K$501,MATCH($Y63&amp;"|"&amp;2,Tasks!$Z$2:$Z$501,0))),"")</f>
        <v/>
      </c>
      <c r="F66" s="24" t="str">
        <f>IFERROR(IF(INDEX(Tasks!$L$2:$L$501,MATCH($Y63&amp;"|"&amp;2,Tasks!$Z$2:$Z$501,0))=0,"",INDEX(Tasks!$L$2:$L$501,MATCH($Y63&amp;"|"&amp;2,Tasks!$Z$2:$Z$501,0))),"")</f>
        <v/>
      </c>
      <c r="G66" s="26" t="str">
        <f>IFERROR(IF(INDEX(Tasks!$P$2:$P$501,MATCH($Y63&amp;"|"&amp;2,Tasks!$Z$2:$Z$501,0))=0,"",INDEX(Tasks!$P$2:$P$501,MATCH($Y63&amp;"|"&amp;2,Tasks!$Z$2:$Z$501,0))),"")</f>
        <v/>
      </c>
    </row>
    <row r="67" spans="1:28" ht="17" hidden="1" x14ac:dyDescent="0.5">
      <c r="C67" s="23" t="str">
        <f>IFERROR(INDEX(Tasks!$E$2:$E$501,MATCH($Y63&amp;"|"&amp;3,Tasks!$Z$2:$Z$501,0)),"")</f>
        <v/>
      </c>
      <c r="D67" s="24" t="str">
        <f>IFERROR(INDEX(Tasks!$F$2:$F$501,MATCH($Y63&amp;"|"&amp;3,Tasks!$Z$2:$Z$501,0)),"")</f>
        <v/>
      </c>
      <c r="E67" s="25" t="str">
        <f>IFERROR(IF(INDEX(Tasks!$K$2:$K$501,MATCH($Y63&amp;"|"&amp;3,Tasks!$Z$2:$Z$501,0))=0,"",INDEX(Tasks!$K$2:$K$501,MATCH($Y63&amp;"|"&amp;3,Tasks!$Z$2:$Z$501,0))),"")</f>
        <v/>
      </c>
      <c r="F67" s="24" t="str">
        <f>IFERROR(IF(INDEX(Tasks!$L$2:$L$501,MATCH($Y63&amp;"|"&amp;3,Tasks!$Z$2:$Z$501,0))=0,"",INDEX(Tasks!$L$2:$L$501,MATCH($Y63&amp;"|"&amp;3,Tasks!$Z$2:$Z$501,0))),"")</f>
        <v/>
      </c>
      <c r="G67" s="26" t="str">
        <f>IFERROR(IF(INDEX(Tasks!$P$2:$P$501,MATCH($Y63&amp;"|"&amp;3,Tasks!$Z$2:$Z$501,0))=0,"",INDEX(Tasks!$P$2:$P$501,MATCH($Y63&amp;"|"&amp;3,Tasks!$Z$2:$Z$501,0))),"")</f>
        <v/>
      </c>
    </row>
    <row r="68" spans="1:28" ht="17" hidden="1" x14ac:dyDescent="0.5">
      <c r="C68" s="23" t="str">
        <f>IFERROR(INDEX(Tasks!$E$2:$E$501,MATCH($Y63&amp;"|"&amp;4,Tasks!$Z$2:$Z$501,0)),"")</f>
        <v/>
      </c>
      <c r="D68" s="24" t="str">
        <f>IFERROR(INDEX(Tasks!$F$2:$F$501,MATCH($Y63&amp;"|"&amp;4,Tasks!$Z$2:$Z$501,0)),"")</f>
        <v/>
      </c>
      <c r="E68" s="25" t="str">
        <f>IFERROR(IF(INDEX(Tasks!$K$2:$K$501,MATCH($Y63&amp;"|"&amp;4,Tasks!$Z$2:$Z$501,0))=0,"",INDEX(Tasks!$K$2:$K$501,MATCH($Y63&amp;"|"&amp;4,Tasks!$Z$2:$Z$501,0))),"")</f>
        <v/>
      </c>
      <c r="F68" s="24" t="str">
        <f>IFERROR(IF(INDEX(Tasks!$L$2:$L$501,MATCH($Y63&amp;"|"&amp;4,Tasks!$Z$2:$Z$501,0))=0,"",INDEX(Tasks!$L$2:$L$501,MATCH($Y63&amp;"|"&amp;4,Tasks!$Z$2:$Z$501,0))),"")</f>
        <v/>
      </c>
      <c r="G68" s="26" t="str">
        <f>IFERROR(IF(INDEX(Tasks!$P$2:$P$501,MATCH($Y63&amp;"|"&amp;4,Tasks!$Z$2:$Z$501,0))=0,"",INDEX(Tasks!$P$2:$P$501,MATCH($Y63&amp;"|"&amp;4,Tasks!$Z$2:$Z$501,0))),"")</f>
        <v/>
      </c>
    </row>
    <row r="69" spans="1:28" ht="17" hidden="1" x14ac:dyDescent="0.5">
      <c r="C69" s="23" t="str">
        <f>IFERROR(INDEX(Tasks!$E$2:$E$501,MATCH($Y63&amp;"|"&amp;5,Tasks!$Z$2:$Z$501,0)),"")</f>
        <v/>
      </c>
      <c r="D69" s="24" t="str">
        <f>IFERROR(INDEX(Tasks!$F$2:$F$501,MATCH($Y63&amp;"|"&amp;5,Tasks!$Z$2:$Z$501,0)),"")</f>
        <v/>
      </c>
      <c r="E69" s="25" t="str">
        <f>IFERROR(IF(INDEX(Tasks!$K$2:$K$501,MATCH($Y63&amp;"|"&amp;5,Tasks!$Z$2:$Z$501,0))=0,"",INDEX(Tasks!$K$2:$K$501,MATCH($Y63&amp;"|"&amp;5,Tasks!$Z$2:$Z$501,0))),"")</f>
        <v/>
      </c>
      <c r="F69" s="24" t="str">
        <f>IFERROR(IF(INDEX(Tasks!$L$2:$L$501,MATCH($Y63&amp;"|"&amp;5,Tasks!$Z$2:$Z$501,0))=0,"",INDEX(Tasks!$L$2:$L$501,MATCH($Y63&amp;"|"&amp;5,Tasks!$Z$2:$Z$501,0))),"")</f>
        <v/>
      </c>
      <c r="G69" s="26" t="str">
        <f>IFERROR(IF(INDEX(Tasks!$P$2:$P$501,MATCH($Y63&amp;"|"&amp;5,Tasks!$Z$2:$Z$501,0))=0,"",INDEX(Tasks!$P$2:$P$501,MATCH($Y63&amp;"|"&amp;5,Tasks!$Z$2:$Z$501,0))),"")</f>
        <v/>
      </c>
    </row>
    <row r="70" spans="1:28" ht="17" hidden="1" x14ac:dyDescent="0.5">
      <c r="C70" s="23" t="str">
        <f>IFERROR(INDEX(Tasks!$E$2:$E$501,MATCH($Y63&amp;"|"&amp;6,Tasks!$Z$2:$Z$501,0)),"")</f>
        <v/>
      </c>
      <c r="D70" s="24" t="str">
        <f>IFERROR(INDEX(Tasks!$F$2:$F$501,MATCH($Y63&amp;"|"&amp;6,Tasks!$Z$2:$Z$501,0)),"")</f>
        <v/>
      </c>
      <c r="E70" s="25" t="str">
        <f>IFERROR(IF(INDEX(Tasks!$K$2:$K$501,MATCH($Y63&amp;"|"&amp;6,Tasks!$Z$2:$Z$501,0))=0,"",INDEX(Tasks!$K$2:$K$501,MATCH($Y63&amp;"|"&amp;6,Tasks!$Z$2:$Z$501,0))),"")</f>
        <v/>
      </c>
      <c r="F70" s="24" t="str">
        <f>IFERROR(IF(INDEX(Tasks!$L$2:$L$501,MATCH($Y63&amp;"|"&amp;6,Tasks!$Z$2:$Z$501,0))=0,"",INDEX(Tasks!$L$2:$L$501,MATCH($Y63&amp;"|"&amp;6,Tasks!$Z$2:$Z$501,0))),"")</f>
        <v/>
      </c>
      <c r="G70" s="26" t="str">
        <f>IFERROR(IF(INDEX(Tasks!$P$2:$P$501,MATCH($Y63&amp;"|"&amp;6,Tasks!$Z$2:$Z$501,0))=0,"",INDEX(Tasks!$P$2:$P$501,MATCH($Y63&amp;"|"&amp;6,Tasks!$Z$2:$Z$501,0))),"")</f>
        <v/>
      </c>
    </row>
    <row r="71" spans="1:28" ht="17" hidden="1" x14ac:dyDescent="0.5">
      <c r="C71" s="23" t="str">
        <f>IFERROR(INDEX(Tasks!$E$2:$E$501,MATCH($Y63&amp;"|"&amp;7,Tasks!$Z$2:$Z$501,0)),"")</f>
        <v/>
      </c>
      <c r="D71" s="24" t="str">
        <f>IFERROR(INDEX(Tasks!$F$2:$F$501,MATCH($Y63&amp;"|"&amp;7,Tasks!$Z$2:$Z$501,0)),"")</f>
        <v/>
      </c>
      <c r="E71" s="25" t="str">
        <f>IFERROR(IF(INDEX(Tasks!$K$2:$K$501,MATCH($Y63&amp;"|"&amp;7,Tasks!$Z$2:$Z$501,0))=0,"",INDEX(Tasks!$K$2:$K$501,MATCH($Y63&amp;"|"&amp;7,Tasks!$Z$2:$Z$501,0))),"")</f>
        <v/>
      </c>
      <c r="F71" s="24" t="str">
        <f>IFERROR(IF(INDEX(Tasks!$L$2:$L$501,MATCH($Y63&amp;"|"&amp;7,Tasks!$Z$2:$Z$501,0))=0,"",INDEX(Tasks!$L$2:$L$501,MATCH($Y63&amp;"|"&amp;7,Tasks!$Z$2:$Z$501,0))),"")</f>
        <v/>
      </c>
      <c r="G71" s="26" t="str">
        <f>IFERROR(IF(INDEX(Tasks!$P$2:$P$501,MATCH($Y63&amp;"|"&amp;7,Tasks!$Z$2:$Z$501,0))=0,"",INDEX(Tasks!$P$2:$P$501,MATCH($Y63&amp;"|"&amp;7,Tasks!$Z$2:$Z$501,0))),"")</f>
        <v/>
      </c>
    </row>
    <row r="72" spans="1:28" ht="17" hidden="1" x14ac:dyDescent="0.5">
      <c r="C72" s="23" t="str">
        <f>IF(N($D63)&gt;8,"+ "&amp;(N($D63)-7)&amp;" more — see Tasks",IFERROR(INDEX(Tasks!$E$2:$E$501,MATCH($Y63&amp;"|"&amp;8,Tasks!$Z$2:$Z$501,0)),""))</f>
        <v/>
      </c>
      <c r="D72" s="24" t="str">
        <f>IF(N($D63)&gt;8,"",IFERROR(INDEX(Tasks!$F$2:$F$501,MATCH($Y63&amp;"|"&amp;8,Tasks!$Z$2:$Z$501,0)),""))</f>
        <v/>
      </c>
      <c r="E72" s="25" t="str">
        <f>IF(N($D63)&gt;8,"",IFERROR(IF(INDEX(Tasks!$K$2:$K$501,MATCH($Y63&amp;"|"&amp;8,Tasks!$Z$2:$Z$501,0))=0,"",INDEX(Tasks!$K$2:$K$501,MATCH($Y63&amp;"|"&amp;8,Tasks!$Z$2:$Z$501,0))),""))</f>
        <v/>
      </c>
      <c r="F72" s="24" t="str">
        <f>IF(N($D63)&gt;8,"",IFERROR(IF(INDEX(Tasks!$L$2:$L$501,MATCH($Y63&amp;"|"&amp;8,Tasks!$Z$2:$Z$501,0))=0,"",INDEX(Tasks!$L$2:$L$501,MATCH($Y63&amp;"|"&amp;8,Tasks!$Z$2:$Z$501,0))),""))</f>
        <v/>
      </c>
      <c r="G72" s="26" t="str">
        <f>IF(N($D63)&gt;8,"",IFERROR(IF(INDEX(Tasks!$P$2:$P$501,MATCH($Y63&amp;"|"&amp;8,Tasks!$Z$2:$Z$501,0))=0,"",INDEX(Tasks!$P$2:$P$501,MATCH($Y63&amp;"|"&amp;8,Tasks!$Z$2:$Z$501,0))),""))</f>
        <v/>
      </c>
    </row>
    <row r="73" spans="1:28" ht="14.5" x14ac:dyDescent="0.35">
      <c r="A73" s="6"/>
      <c r="B73" s="6"/>
      <c r="C73" s="6"/>
      <c r="D73" s="5" t="str">
        <f>IF(COUNTIFS(Tasks!$V$2:$V$501,Y73)=0,"",COUNTIFS(Tasks!$V$2:$V$501,Y73))</f>
        <v/>
      </c>
      <c r="E73" s="18"/>
      <c r="F73" s="18"/>
      <c r="G73" s="6"/>
      <c r="H73" s="19" t="str">
        <f ca="1">IF(OR(E73="",F73=""),"",IF(E73=F73,IF(TODAY()&gt;=E73,1,0),MAX(0,MIN(1,(TODAY()-E73)/(F73-E73)))))</f>
        <v/>
      </c>
      <c r="I73" s="10"/>
      <c r="J73" s="20"/>
      <c r="AA73">
        <f ca="1">IF(TODAY()&lt;E73,E73-TODAY(),F73-TODAY())</f>
        <v>-46216</v>
      </c>
      <c r="AB73" t="str">
        <f ca="1">IF(AND(OR(G73="Planned",G73="Active"),ABS(AA73)&lt;=7),AA73+Y73/1000000,"")</f>
        <v/>
      </c>
    </row>
    <row r="74" spans="1:28" ht="15" hidden="1" x14ac:dyDescent="0.4">
      <c r="C74" s="21" t="s">
        <v>39</v>
      </c>
      <c r="D74" s="22" t="s">
        <v>40</v>
      </c>
      <c r="E74" s="22" t="s">
        <v>13</v>
      </c>
      <c r="F74" s="22" t="s">
        <v>14</v>
      </c>
      <c r="G74" s="22" t="s">
        <v>18</v>
      </c>
    </row>
    <row r="75" spans="1:28" ht="17" hidden="1" x14ac:dyDescent="0.5">
      <c r="C75" s="23" t="str">
        <f>IFERROR(INDEX(Tasks!$E$2:$E$501,MATCH($Y73&amp;"|"&amp;1,Tasks!$Z$2:$Z$501,0)),"")</f>
        <v/>
      </c>
      <c r="D75" s="24" t="str">
        <f>IFERROR(INDEX(Tasks!$F$2:$F$501,MATCH($Y73&amp;"|"&amp;1,Tasks!$Z$2:$Z$501,0)),"")</f>
        <v/>
      </c>
      <c r="E75" s="25" t="str">
        <f>IFERROR(IF(INDEX(Tasks!$K$2:$K$501,MATCH($Y73&amp;"|"&amp;1,Tasks!$Z$2:$Z$501,0))=0,"",INDEX(Tasks!$K$2:$K$501,MATCH($Y73&amp;"|"&amp;1,Tasks!$Z$2:$Z$501,0))),"")</f>
        <v/>
      </c>
      <c r="F75" s="24" t="str">
        <f>IFERROR(IF(INDEX(Tasks!$L$2:$L$501,MATCH($Y73&amp;"|"&amp;1,Tasks!$Z$2:$Z$501,0))=0,"",INDEX(Tasks!$L$2:$L$501,MATCH($Y73&amp;"|"&amp;1,Tasks!$Z$2:$Z$501,0))),"")</f>
        <v/>
      </c>
      <c r="G75" s="26" t="str">
        <f>IFERROR(IF(INDEX(Tasks!$P$2:$P$501,MATCH($Y73&amp;"|"&amp;1,Tasks!$Z$2:$Z$501,0))=0,"",INDEX(Tasks!$P$2:$P$501,MATCH($Y73&amp;"|"&amp;1,Tasks!$Z$2:$Z$501,0))),"")</f>
        <v/>
      </c>
    </row>
    <row r="76" spans="1:28" ht="17" hidden="1" x14ac:dyDescent="0.5">
      <c r="C76" s="23" t="str">
        <f>IFERROR(INDEX(Tasks!$E$2:$E$501,MATCH($Y73&amp;"|"&amp;2,Tasks!$Z$2:$Z$501,0)),"")</f>
        <v/>
      </c>
      <c r="D76" s="24" t="str">
        <f>IFERROR(INDEX(Tasks!$F$2:$F$501,MATCH($Y73&amp;"|"&amp;2,Tasks!$Z$2:$Z$501,0)),"")</f>
        <v/>
      </c>
      <c r="E76" s="25" t="str">
        <f>IFERROR(IF(INDEX(Tasks!$K$2:$K$501,MATCH($Y73&amp;"|"&amp;2,Tasks!$Z$2:$Z$501,0))=0,"",INDEX(Tasks!$K$2:$K$501,MATCH($Y73&amp;"|"&amp;2,Tasks!$Z$2:$Z$501,0))),"")</f>
        <v/>
      </c>
      <c r="F76" s="24" t="str">
        <f>IFERROR(IF(INDEX(Tasks!$L$2:$L$501,MATCH($Y73&amp;"|"&amp;2,Tasks!$Z$2:$Z$501,0))=0,"",INDEX(Tasks!$L$2:$L$501,MATCH($Y73&amp;"|"&amp;2,Tasks!$Z$2:$Z$501,0))),"")</f>
        <v/>
      </c>
      <c r="G76" s="26" t="str">
        <f>IFERROR(IF(INDEX(Tasks!$P$2:$P$501,MATCH($Y73&amp;"|"&amp;2,Tasks!$Z$2:$Z$501,0))=0,"",INDEX(Tasks!$P$2:$P$501,MATCH($Y73&amp;"|"&amp;2,Tasks!$Z$2:$Z$501,0))),"")</f>
        <v/>
      </c>
    </row>
    <row r="77" spans="1:28" ht="17" hidden="1" x14ac:dyDescent="0.5">
      <c r="C77" s="23" t="str">
        <f>IFERROR(INDEX(Tasks!$E$2:$E$501,MATCH($Y73&amp;"|"&amp;3,Tasks!$Z$2:$Z$501,0)),"")</f>
        <v/>
      </c>
      <c r="D77" s="24" t="str">
        <f>IFERROR(INDEX(Tasks!$F$2:$F$501,MATCH($Y73&amp;"|"&amp;3,Tasks!$Z$2:$Z$501,0)),"")</f>
        <v/>
      </c>
      <c r="E77" s="25" t="str">
        <f>IFERROR(IF(INDEX(Tasks!$K$2:$K$501,MATCH($Y73&amp;"|"&amp;3,Tasks!$Z$2:$Z$501,0))=0,"",INDEX(Tasks!$K$2:$K$501,MATCH($Y73&amp;"|"&amp;3,Tasks!$Z$2:$Z$501,0))),"")</f>
        <v/>
      </c>
      <c r="F77" s="24" t="str">
        <f>IFERROR(IF(INDEX(Tasks!$L$2:$L$501,MATCH($Y73&amp;"|"&amp;3,Tasks!$Z$2:$Z$501,0))=0,"",INDEX(Tasks!$L$2:$L$501,MATCH($Y73&amp;"|"&amp;3,Tasks!$Z$2:$Z$501,0))),"")</f>
        <v/>
      </c>
      <c r="G77" s="26" t="str">
        <f>IFERROR(IF(INDEX(Tasks!$P$2:$P$501,MATCH($Y73&amp;"|"&amp;3,Tasks!$Z$2:$Z$501,0))=0,"",INDEX(Tasks!$P$2:$P$501,MATCH($Y73&amp;"|"&amp;3,Tasks!$Z$2:$Z$501,0))),"")</f>
        <v/>
      </c>
    </row>
    <row r="78" spans="1:28" ht="17" hidden="1" x14ac:dyDescent="0.5">
      <c r="C78" s="23" t="str">
        <f>IFERROR(INDEX(Tasks!$E$2:$E$501,MATCH($Y73&amp;"|"&amp;4,Tasks!$Z$2:$Z$501,0)),"")</f>
        <v/>
      </c>
      <c r="D78" s="24" t="str">
        <f>IFERROR(INDEX(Tasks!$F$2:$F$501,MATCH($Y73&amp;"|"&amp;4,Tasks!$Z$2:$Z$501,0)),"")</f>
        <v/>
      </c>
      <c r="E78" s="25" t="str">
        <f>IFERROR(IF(INDEX(Tasks!$K$2:$K$501,MATCH($Y73&amp;"|"&amp;4,Tasks!$Z$2:$Z$501,0))=0,"",INDEX(Tasks!$K$2:$K$501,MATCH($Y73&amp;"|"&amp;4,Tasks!$Z$2:$Z$501,0))),"")</f>
        <v/>
      </c>
      <c r="F78" s="24" t="str">
        <f>IFERROR(IF(INDEX(Tasks!$L$2:$L$501,MATCH($Y73&amp;"|"&amp;4,Tasks!$Z$2:$Z$501,0))=0,"",INDEX(Tasks!$L$2:$L$501,MATCH($Y73&amp;"|"&amp;4,Tasks!$Z$2:$Z$501,0))),"")</f>
        <v/>
      </c>
      <c r="G78" s="26" t="str">
        <f>IFERROR(IF(INDEX(Tasks!$P$2:$P$501,MATCH($Y73&amp;"|"&amp;4,Tasks!$Z$2:$Z$501,0))=0,"",INDEX(Tasks!$P$2:$P$501,MATCH($Y73&amp;"|"&amp;4,Tasks!$Z$2:$Z$501,0))),"")</f>
        <v/>
      </c>
    </row>
    <row r="79" spans="1:28" ht="17" hidden="1" x14ac:dyDescent="0.5">
      <c r="C79" s="23" t="str">
        <f>IFERROR(INDEX(Tasks!$E$2:$E$501,MATCH($Y73&amp;"|"&amp;5,Tasks!$Z$2:$Z$501,0)),"")</f>
        <v/>
      </c>
      <c r="D79" s="24" t="str">
        <f>IFERROR(INDEX(Tasks!$F$2:$F$501,MATCH($Y73&amp;"|"&amp;5,Tasks!$Z$2:$Z$501,0)),"")</f>
        <v/>
      </c>
      <c r="E79" s="25" t="str">
        <f>IFERROR(IF(INDEX(Tasks!$K$2:$K$501,MATCH($Y73&amp;"|"&amp;5,Tasks!$Z$2:$Z$501,0))=0,"",INDEX(Tasks!$K$2:$K$501,MATCH($Y73&amp;"|"&amp;5,Tasks!$Z$2:$Z$501,0))),"")</f>
        <v/>
      </c>
      <c r="F79" s="24" t="str">
        <f>IFERROR(IF(INDEX(Tasks!$L$2:$L$501,MATCH($Y73&amp;"|"&amp;5,Tasks!$Z$2:$Z$501,0))=0,"",INDEX(Tasks!$L$2:$L$501,MATCH($Y73&amp;"|"&amp;5,Tasks!$Z$2:$Z$501,0))),"")</f>
        <v/>
      </c>
      <c r="G79" s="26" t="str">
        <f>IFERROR(IF(INDEX(Tasks!$P$2:$P$501,MATCH($Y73&amp;"|"&amp;5,Tasks!$Z$2:$Z$501,0))=0,"",INDEX(Tasks!$P$2:$P$501,MATCH($Y73&amp;"|"&amp;5,Tasks!$Z$2:$Z$501,0))),"")</f>
        <v/>
      </c>
    </row>
    <row r="80" spans="1:28" ht="17" hidden="1" x14ac:dyDescent="0.5">
      <c r="C80" s="23" t="str">
        <f>IFERROR(INDEX(Tasks!$E$2:$E$501,MATCH($Y73&amp;"|"&amp;6,Tasks!$Z$2:$Z$501,0)),"")</f>
        <v/>
      </c>
      <c r="D80" s="24" t="str">
        <f>IFERROR(INDEX(Tasks!$F$2:$F$501,MATCH($Y73&amp;"|"&amp;6,Tasks!$Z$2:$Z$501,0)),"")</f>
        <v/>
      </c>
      <c r="E80" s="25" t="str">
        <f>IFERROR(IF(INDEX(Tasks!$K$2:$K$501,MATCH($Y73&amp;"|"&amp;6,Tasks!$Z$2:$Z$501,0))=0,"",INDEX(Tasks!$K$2:$K$501,MATCH($Y73&amp;"|"&amp;6,Tasks!$Z$2:$Z$501,0))),"")</f>
        <v/>
      </c>
      <c r="F80" s="24" t="str">
        <f>IFERROR(IF(INDEX(Tasks!$L$2:$L$501,MATCH($Y73&amp;"|"&amp;6,Tasks!$Z$2:$Z$501,0))=0,"",INDEX(Tasks!$L$2:$L$501,MATCH($Y73&amp;"|"&amp;6,Tasks!$Z$2:$Z$501,0))),"")</f>
        <v/>
      </c>
      <c r="G80" s="26" t="str">
        <f>IFERROR(IF(INDEX(Tasks!$P$2:$P$501,MATCH($Y73&amp;"|"&amp;6,Tasks!$Z$2:$Z$501,0))=0,"",INDEX(Tasks!$P$2:$P$501,MATCH($Y73&amp;"|"&amp;6,Tasks!$Z$2:$Z$501,0))),"")</f>
        <v/>
      </c>
    </row>
    <row r="81" spans="1:28" ht="17" hidden="1" x14ac:dyDescent="0.5">
      <c r="C81" s="23" t="str">
        <f>IFERROR(INDEX(Tasks!$E$2:$E$501,MATCH($Y73&amp;"|"&amp;7,Tasks!$Z$2:$Z$501,0)),"")</f>
        <v/>
      </c>
      <c r="D81" s="24" t="str">
        <f>IFERROR(INDEX(Tasks!$F$2:$F$501,MATCH($Y73&amp;"|"&amp;7,Tasks!$Z$2:$Z$501,0)),"")</f>
        <v/>
      </c>
      <c r="E81" s="25" t="str">
        <f>IFERROR(IF(INDEX(Tasks!$K$2:$K$501,MATCH($Y73&amp;"|"&amp;7,Tasks!$Z$2:$Z$501,0))=0,"",INDEX(Tasks!$K$2:$K$501,MATCH($Y73&amp;"|"&amp;7,Tasks!$Z$2:$Z$501,0))),"")</f>
        <v/>
      </c>
      <c r="F81" s="24" t="str">
        <f>IFERROR(IF(INDEX(Tasks!$L$2:$L$501,MATCH($Y73&amp;"|"&amp;7,Tasks!$Z$2:$Z$501,0))=0,"",INDEX(Tasks!$L$2:$L$501,MATCH($Y73&amp;"|"&amp;7,Tasks!$Z$2:$Z$501,0))),"")</f>
        <v/>
      </c>
      <c r="G81" s="26" t="str">
        <f>IFERROR(IF(INDEX(Tasks!$P$2:$P$501,MATCH($Y73&amp;"|"&amp;7,Tasks!$Z$2:$Z$501,0))=0,"",INDEX(Tasks!$P$2:$P$501,MATCH($Y73&amp;"|"&amp;7,Tasks!$Z$2:$Z$501,0))),"")</f>
        <v/>
      </c>
    </row>
    <row r="82" spans="1:28" ht="17" hidden="1" x14ac:dyDescent="0.5">
      <c r="C82" s="23" t="str">
        <f>IF(N($D73)&gt;8,"+ "&amp;(N($D73)-7)&amp;" more — see Tasks",IFERROR(INDEX(Tasks!$E$2:$E$501,MATCH($Y73&amp;"|"&amp;8,Tasks!$Z$2:$Z$501,0)),""))</f>
        <v/>
      </c>
      <c r="D82" s="24" t="str">
        <f>IF(N($D73)&gt;8,"",IFERROR(INDEX(Tasks!$F$2:$F$501,MATCH($Y73&amp;"|"&amp;8,Tasks!$Z$2:$Z$501,0)),""))</f>
        <v/>
      </c>
      <c r="E82" s="25" t="str">
        <f>IF(N($D73)&gt;8,"",IFERROR(IF(INDEX(Tasks!$K$2:$K$501,MATCH($Y73&amp;"|"&amp;8,Tasks!$Z$2:$Z$501,0))=0,"",INDEX(Tasks!$K$2:$K$501,MATCH($Y73&amp;"|"&amp;8,Tasks!$Z$2:$Z$501,0))),""))</f>
        <v/>
      </c>
      <c r="F82" s="24" t="str">
        <f>IF(N($D73)&gt;8,"",IFERROR(IF(INDEX(Tasks!$L$2:$L$501,MATCH($Y73&amp;"|"&amp;8,Tasks!$Z$2:$Z$501,0))=0,"",INDEX(Tasks!$L$2:$L$501,MATCH($Y73&amp;"|"&amp;8,Tasks!$Z$2:$Z$501,0))),""))</f>
        <v/>
      </c>
      <c r="G82" s="26" t="str">
        <f>IF(N($D73)&gt;8,"",IFERROR(IF(INDEX(Tasks!$P$2:$P$501,MATCH($Y73&amp;"|"&amp;8,Tasks!$Z$2:$Z$501,0))=0,"",INDEX(Tasks!$P$2:$P$501,MATCH($Y73&amp;"|"&amp;8,Tasks!$Z$2:$Z$501,0))),""))</f>
        <v/>
      </c>
    </row>
    <row r="83" spans="1:28" ht="14.5" x14ac:dyDescent="0.35">
      <c r="A83" s="6"/>
      <c r="B83" s="6"/>
      <c r="C83" s="6"/>
      <c r="D83" s="5" t="str">
        <f>IF(COUNTIFS(Tasks!$V$2:$V$501,Y83)=0,"",COUNTIFS(Tasks!$V$2:$V$501,Y83))</f>
        <v/>
      </c>
      <c r="E83" s="18"/>
      <c r="F83" s="18"/>
      <c r="G83" s="6"/>
      <c r="H83" s="19" t="str">
        <f ca="1">IF(OR(E83="",F83=""),"",IF(E83=F83,IF(TODAY()&gt;=E83,1,0),MAX(0,MIN(1,(TODAY()-E83)/(F83-E83)))))</f>
        <v/>
      </c>
      <c r="I83" s="10"/>
      <c r="J83" s="20"/>
      <c r="AA83">
        <f ca="1">IF(TODAY()&lt;E83,E83-TODAY(),F83-TODAY())</f>
        <v>-46216</v>
      </c>
      <c r="AB83" t="str">
        <f ca="1">IF(AND(OR(G83="Planned",G83="Active"),ABS(AA83)&lt;=7),AA83+Y83/1000000,"")</f>
        <v/>
      </c>
    </row>
    <row r="84" spans="1:28" ht="15" hidden="1" x14ac:dyDescent="0.4">
      <c r="C84" s="21" t="s">
        <v>39</v>
      </c>
      <c r="D84" s="22" t="s">
        <v>40</v>
      </c>
      <c r="E84" s="22" t="s">
        <v>13</v>
      </c>
      <c r="F84" s="22" t="s">
        <v>14</v>
      </c>
      <c r="G84" s="22" t="s">
        <v>18</v>
      </c>
    </row>
    <row r="85" spans="1:28" ht="17" hidden="1" x14ac:dyDescent="0.5">
      <c r="C85" s="23" t="str">
        <f>IFERROR(INDEX(Tasks!$E$2:$E$501,MATCH($Y83&amp;"|"&amp;1,Tasks!$Z$2:$Z$501,0)),"")</f>
        <v/>
      </c>
      <c r="D85" s="24" t="str">
        <f>IFERROR(INDEX(Tasks!$F$2:$F$501,MATCH($Y83&amp;"|"&amp;1,Tasks!$Z$2:$Z$501,0)),"")</f>
        <v/>
      </c>
      <c r="E85" s="25" t="str">
        <f>IFERROR(IF(INDEX(Tasks!$K$2:$K$501,MATCH($Y83&amp;"|"&amp;1,Tasks!$Z$2:$Z$501,0))=0,"",INDEX(Tasks!$K$2:$K$501,MATCH($Y83&amp;"|"&amp;1,Tasks!$Z$2:$Z$501,0))),"")</f>
        <v/>
      </c>
      <c r="F85" s="24" t="str">
        <f>IFERROR(IF(INDEX(Tasks!$L$2:$L$501,MATCH($Y83&amp;"|"&amp;1,Tasks!$Z$2:$Z$501,0))=0,"",INDEX(Tasks!$L$2:$L$501,MATCH($Y83&amp;"|"&amp;1,Tasks!$Z$2:$Z$501,0))),"")</f>
        <v/>
      </c>
      <c r="G85" s="26" t="str">
        <f>IFERROR(IF(INDEX(Tasks!$P$2:$P$501,MATCH($Y83&amp;"|"&amp;1,Tasks!$Z$2:$Z$501,0))=0,"",INDEX(Tasks!$P$2:$P$501,MATCH($Y83&amp;"|"&amp;1,Tasks!$Z$2:$Z$501,0))),"")</f>
        <v/>
      </c>
    </row>
    <row r="86" spans="1:28" ht="17" hidden="1" x14ac:dyDescent="0.5">
      <c r="C86" s="23" t="str">
        <f>IFERROR(INDEX(Tasks!$E$2:$E$501,MATCH($Y83&amp;"|"&amp;2,Tasks!$Z$2:$Z$501,0)),"")</f>
        <v/>
      </c>
      <c r="D86" s="24" t="str">
        <f>IFERROR(INDEX(Tasks!$F$2:$F$501,MATCH($Y83&amp;"|"&amp;2,Tasks!$Z$2:$Z$501,0)),"")</f>
        <v/>
      </c>
      <c r="E86" s="25" t="str">
        <f>IFERROR(IF(INDEX(Tasks!$K$2:$K$501,MATCH($Y83&amp;"|"&amp;2,Tasks!$Z$2:$Z$501,0))=0,"",INDEX(Tasks!$K$2:$K$501,MATCH($Y83&amp;"|"&amp;2,Tasks!$Z$2:$Z$501,0))),"")</f>
        <v/>
      </c>
      <c r="F86" s="24" t="str">
        <f>IFERROR(IF(INDEX(Tasks!$L$2:$L$501,MATCH($Y83&amp;"|"&amp;2,Tasks!$Z$2:$Z$501,0))=0,"",INDEX(Tasks!$L$2:$L$501,MATCH($Y83&amp;"|"&amp;2,Tasks!$Z$2:$Z$501,0))),"")</f>
        <v/>
      </c>
      <c r="G86" s="26" t="str">
        <f>IFERROR(IF(INDEX(Tasks!$P$2:$P$501,MATCH($Y83&amp;"|"&amp;2,Tasks!$Z$2:$Z$501,0))=0,"",INDEX(Tasks!$P$2:$P$501,MATCH($Y83&amp;"|"&amp;2,Tasks!$Z$2:$Z$501,0))),"")</f>
        <v/>
      </c>
    </row>
    <row r="87" spans="1:28" ht="17" hidden="1" x14ac:dyDescent="0.5">
      <c r="C87" s="23" t="str">
        <f>IFERROR(INDEX(Tasks!$E$2:$E$501,MATCH($Y83&amp;"|"&amp;3,Tasks!$Z$2:$Z$501,0)),"")</f>
        <v/>
      </c>
      <c r="D87" s="24" t="str">
        <f>IFERROR(INDEX(Tasks!$F$2:$F$501,MATCH($Y83&amp;"|"&amp;3,Tasks!$Z$2:$Z$501,0)),"")</f>
        <v/>
      </c>
      <c r="E87" s="25" t="str">
        <f>IFERROR(IF(INDEX(Tasks!$K$2:$K$501,MATCH($Y83&amp;"|"&amp;3,Tasks!$Z$2:$Z$501,0))=0,"",INDEX(Tasks!$K$2:$K$501,MATCH($Y83&amp;"|"&amp;3,Tasks!$Z$2:$Z$501,0))),"")</f>
        <v/>
      </c>
      <c r="F87" s="24" t="str">
        <f>IFERROR(IF(INDEX(Tasks!$L$2:$L$501,MATCH($Y83&amp;"|"&amp;3,Tasks!$Z$2:$Z$501,0))=0,"",INDEX(Tasks!$L$2:$L$501,MATCH($Y83&amp;"|"&amp;3,Tasks!$Z$2:$Z$501,0))),"")</f>
        <v/>
      </c>
      <c r="G87" s="26" t="str">
        <f>IFERROR(IF(INDEX(Tasks!$P$2:$P$501,MATCH($Y83&amp;"|"&amp;3,Tasks!$Z$2:$Z$501,0))=0,"",INDEX(Tasks!$P$2:$P$501,MATCH($Y83&amp;"|"&amp;3,Tasks!$Z$2:$Z$501,0))),"")</f>
        <v/>
      </c>
    </row>
    <row r="88" spans="1:28" ht="17" hidden="1" x14ac:dyDescent="0.5">
      <c r="C88" s="23" t="str">
        <f>IFERROR(INDEX(Tasks!$E$2:$E$501,MATCH($Y83&amp;"|"&amp;4,Tasks!$Z$2:$Z$501,0)),"")</f>
        <v/>
      </c>
      <c r="D88" s="24" t="str">
        <f>IFERROR(INDEX(Tasks!$F$2:$F$501,MATCH($Y83&amp;"|"&amp;4,Tasks!$Z$2:$Z$501,0)),"")</f>
        <v/>
      </c>
      <c r="E88" s="25" t="str">
        <f>IFERROR(IF(INDEX(Tasks!$K$2:$K$501,MATCH($Y83&amp;"|"&amp;4,Tasks!$Z$2:$Z$501,0))=0,"",INDEX(Tasks!$K$2:$K$501,MATCH($Y83&amp;"|"&amp;4,Tasks!$Z$2:$Z$501,0))),"")</f>
        <v/>
      </c>
      <c r="F88" s="24" t="str">
        <f>IFERROR(IF(INDEX(Tasks!$L$2:$L$501,MATCH($Y83&amp;"|"&amp;4,Tasks!$Z$2:$Z$501,0))=0,"",INDEX(Tasks!$L$2:$L$501,MATCH($Y83&amp;"|"&amp;4,Tasks!$Z$2:$Z$501,0))),"")</f>
        <v/>
      </c>
      <c r="G88" s="26" t="str">
        <f>IFERROR(IF(INDEX(Tasks!$P$2:$P$501,MATCH($Y83&amp;"|"&amp;4,Tasks!$Z$2:$Z$501,0))=0,"",INDEX(Tasks!$P$2:$P$501,MATCH($Y83&amp;"|"&amp;4,Tasks!$Z$2:$Z$501,0))),"")</f>
        <v/>
      </c>
    </row>
    <row r="89" spans="1:28" ht="17" hidden="1" x14ac:dyDescent="0.5">
      <c r="C89" s="23" t="str">
        <f>IFERROR(INDEX(Tasks!$E$2:$E$501,MATCH($Y83&amp;"|"&amp;5,Tasks!$Z$2:$Z$501,0)),"")</f>
        <v/>
      </c>
      <c r="D89" s="24" t="str">
        <f>IFERROR(INDEX(Tasks!$F$2:$F$501,MATCH($Y83&amp;"|"&amp;5,Tasks!$Z$2:$Z$501,0)),"")</f>
        <v/>
      </c>
      <c r="E89" s="25" t="str">
        <f>IFERROR(IF(INDEX(Tasks!$K$2:$K$501,MATCH($Y83&amp;"|"&amp;5,Tasks!$Z$2:$Z$501,0))=0,"",INDEX(Tasks!$K$2:$K$501,MATCH($Y83&amp;"|"&amp;5,Tasks!$Z$2:$Z$501,0))),"")</f>
        <v/>
      </c>
      <c r="F89" s="24" t="str">
        <f>IFERROR(IF(INDEX(Tasks!$L$2:$L$501,MATCH($Y83&amp;"|"&amp;5,Tasks!$Z$2:$Z$501,0))=0,"",INDEX(Tasks!$L$2:$L$501,MATCH($Y83&amp;"|"&amp;5,Tasks!$Z$2:$Z$501,0))),"")</f>
        <v/>
      </c>
      <c r="G89" s="26" t="str">
        <f>IFERROR(IF(INDEX(Tasks!$P$2:$P$501,MATCH($Y83&amp;"|"&amp;5,Tasks!$Z$2:$Z$501,0))=0,"",INDEX(Tasks!$P$2:$P$501,MATCH($Y83&amp;"|"&amp;5,Tasks!$Z$2:$Z$501,0))),"")</f>
        <v/>
      </c>
    </row>
    <row r="90" spans="1:28" ht="17" hidden="1" x14ac:dyDescent="0.5">
      <c r="C90" s="23" t="str">
        <f>IFERROR(INDEX(Tasks!$E$2:$E$501,MATCH($Y83&amp;"|"&amp;6,Tasks!$Z$2:$Z$501,0)),"")</f>
        <v/>
      </c>
      <c r="D90" s="24" t="str">
        <f>IFERROR(INDEX(Tasks!$F$2:$F$501,MATCH($Y83&amp;"|"&amp;6,Tasks!$Z$2:$Z$501,0)),"")</f>
        <v/>
      </c>
      <c r="E90" s="25" t="str">
        <f>IFERROR(IF(INDEX(Tasks!$K$2:$K$501,MATCH($Y83&amp;"|"&amp;6,Tasks!$Z$2:$Z$501,0))=0,"",INDEX(Tasks!$K$2:$K$501,MATCH($Y83&amp;"|"&amp;6,Tasks!$Z$2:$Z$501,0))),"")</f>
        <v/>
      </c>
      <c r="F90" s="24" t="str">
        <f>IFERROR(IF(INDEX(Tasks!$L$2:$L$501,MATCH($Y83&amp;"|"&amp;6,Tasks!$Z$2:$Z$501,0))=0,"",INDEX(Tasks!$L$2:$L$501,MATCH($Y83&amp;"|"&amp;6,Tasks!$Z$2:$Z$501,0))),"")</f>
        <v/>
      </c>
      <c r="G90" s="26" t="str">
        <f>IFERROR(IF(INDEX(Tasks!$P$2:$P$501,MATCH($Y83&amp;"|"&amp;6,Tasks!$Z$2:$Z$501,0))=0,"",INDEX(Tasks!$P$2:$P$501,MATCH($Y83&amp;"|"&amp;6,Tasks!$Z$2:$Z$501,0))),"")</f>
        <v/>
      </c>
    </row>
    <row r="91" spans="1:28" ht="17" hidden="1" x14ac:dyDescent="0.5">
      <c r="C91" s="23" t="str">
        <f>IFERROR(INDEX(Tasks!$E$2:$E$501,MATCH($Y83&amp;"|"&amp;7,Tasks!$Z$2:$Z$501,0)),"")</f>
        <v/>
      </c>
      <c r="D91" s="24" t="str">
        <f>IFERROR(INDEX(Tasks!$F$2:$F$501,MATCH($Y83&amp;"|"&amp;7,Tasks!$Z$2:$Z$501,0)),"")</f>
        <v/>
      </c>
      <c r="E91" s="25" t="str">
        <f>IFERROR(IF(INDEX(Tasks!$K$2:$K$501,MATCH($Y83&amp;"|"&amp;7,Tasks!$Z$2:$Z$501,0))=0,"",INDEX(Tasks!$K$2:$K$501,MATCH($Y83&amp;"|"&amp;7,Tasks!$Z$2:$Z$501,0))),"")</f>
        <v/>
      </c>
      <c r="F91" s="24" t="str">
        <f>IFERROR(IF(INDEX(Tasks!$L$2:$L$501,MATCH($Y83&amp;"|"&amp;7,Tasks!$Z$2:$Z$501,0))=0,"",INDEX(Tasks!$L$2:$L$501,MATCH($Y83&amp;"|"&amp;7,Tasks!$Z$2:$Z$501,0))),"")</f>
        <v/>
      </c>
      <c r="G91" s="26" t="str">
        <f>IFERROR(IF(INDEX(Tasks!$P$2:$P$501,MATCH($Y83&amp;"|"&amp;7,Tasks!$Z$2:$Z$501,0))=0,"",INDEX(Tasks!$P$2:$P$501,MATCH($Y83&amp;"|"&amp;7,Tasks!$Z$2:$Z$501,0))),"")</f>
        <v/>
      </c>
    </row>
    <row r="92" spans="1:28" ht="17" hidden="1" x14ac:dyDescent="0.5">
      <c r="C92" s="23" t="str">
        <f>IF(N($D83)&gt;8,"+ "&amp;(N($D83)-7)&amp;" more — see Tasks",IFERROR(INDEX(Tasks!$E$2:$E$501,MATCH($Y83&amp;"|"&amp;8,Tasks!$Z$2:$Z$501,0)),""))</f>
        <v/>
      </c>
      <c r="D92" s="24" t="str">
        <f>IF(N($D83)&gt;8,"",IFERROR(INDEX(Tasks!$F$2:$F$501,MATCH($Y83&amp;"|"&amp;8,Tasks!$Z$2:$Z$501,0)),""))</f>
        <v/>
      </c>
      <c r="E92" s="25" t="str">
        <f>IF(N($D83)&gt;8,"",IFERROR(IF(INDEX(Tasks!$K$2:$K$501,MATCH($Y83&amp;"|"&amp;8,Tasks!$Z$2:$Z$501,0))=0,"",INDEX(Tasks!$K$2:$K$501,MATCH($Y83&amp;"|"&amp;8,Tasks!$Z$2:$Z$501,0))),""))</f>
        <v/>
      </c>
      <c r="F92" s="24" t="str">
        <f>IF(N($D83)&gt;8,"",IFERROR(IF(INDEX(Tasks!$L$2:$L$501,MATCH($Y83&amp;"|"&amp;8,Tasks!$Z$2:$Z$501,0))=0,"",INDEX(Tasks!$L$2:$L$501,MATCH($Y83&amp;"|"&amp;8,Tasks!$Z$2:$Z$501,0))),""))</f>
        <v/>
      </c>
      <c r="G92" s="26" t="str">
        <f>IF(N($D83)&gt;8,"",IFERROR(IF(INDEX(Tasks!$P$2:$P$501,MATCH($Y83&amp;"|"&amp;8,Tasks!$Z$2:$Z$501,0))=0,"",INDEX(Tasks!$P$2:$P$501,MATCH($Y83&amp;"|"&amp;8,Tasks!$Z$2:$Z$501,0))),""))</f>
        <v/>
      </c>
    </row>
    <row r="93" spans="1:28" ht="14.5" x14ac:dyDescent="0.35">
      <c r="A93" s="6"/>
      <c r="B93" s="6"/>
      <c r="C93" s="6"/>
      <c r="D93" s="5" t="str">
        <f>IF(COUNTIFS(Tasks!$V$2:$V$501,Y93)=0,"",COUNTIFS(Tasks!$V$2:$V$501,Y93))</f>
        <v/>
      </c>
      <c r="E93" s="18"/>
      <c r="F93" s="18"/>
      <c r="G93" s="6"/>
      <c r="H93" s="19" t="str">
        <f ca="1">IF(OR(E93="",F93=""),"",IF(E93=F93,IF(TODAY()&gt;=E93,1,0),MAX(0,MIN(1,(TODAY()-E93)/(F93-E93)))))</f>
        <v/>
      </c>
      <c r="I93" s="10"/>
      <c r="J93" s="20"/>
      <c r="AA93">
        <f ca="1">IF(TODAY()&lt;E93,E93-TODAY(),F93-TODAY())</f>
        <v>-46216</v>
      </c>
      <c r="AB93" t="str">
        <f ca="1">IF(AND(OR(G93="Planned",G93="Active"),ABS(AA93)&lt;=7),AA93+Y93/1000000,"")</f>
        <v/>
      </c>
    </row>
    <row r="94" spans="1:28" ht="15" hidden="1" x14ac:dyDescent="0.4">
      <c r="C94" s="21" t="s">
        <v>39</v>
      </c>
      <c r="D94" s="22" t="s">
        <v>40</v>
      </c>
      <c r="E94" s="22" t="s">
        <v>13</v>
      </c>
      <c r="F94" s="22" t="s">
        <v>14</v>
      </c>
      <c r="G94" s="22" t="s">
        <v>18</v>
      </c>
    </row>
    <row r="95" spans="1:28" ht="17" hidden="1" x14ac:dyDescent="0.5">
      <c r="C95" s="23" t="str">
        <f>IFERROR(INDEX(Tasks!$E$2:$E$501,MATCH($Y93&amp;"|"&amp;1,Tasks!$Z$2:$Z$501,0)),"")</f>
        <v/>
      </c>
      <c r="D95" s="24" t="str">
        <f>IFERROR(INDEX(Tasks!$F$2:$F$501,MATCH($Y93&amp;"|"&amp;1,Tasks!$Z$2:$Z$501,0)),"")</f>
        <v/>
      </c>
      <c r="E95" s="25" t="str">
        <f>IFERROR(IF(INDEX(Tasks!$K$2:$K$501,MATCH($Y93&amp;"|"&amp;1,Tasks!$Z$2:$Z$501,0))=0,"",INDEX(Tasks!$K$2:$K$501,MATCH($Y93&amp;"|"&amp;1,Tasks!$Z$2:$Z$501,0))),"")</f>
        <v/>
      </c>
      <c r="F95" s="24" t="str">
        <f>IFERROR(IF(INDEX(Tasks!$L$2:$L$501,MATCH($Y93&amp;"|"&amp;1,Tasks!$Z$2:$Z$501,0))=0,"",INDEX(Tasks!$L$2:$L$501,MATCH($Y93&amp;"|"&amp;1,Tasks!$Z$2:$Z$501,0))),"")</f>
        <v/>
      </c>
      <c r="G95" s="26" t="str">
        <f>IFERROR(IF(INDEX(Tasks!$P$2:$P$501,MATCH($Y93&amp;"|"&amp;1,Tasks!$Z$2:$Z$501,0))=0,"",INDEX(Tasks!$P$2:$P$501,MATCH($Y93&amp;"|"&amp;1,Tasks!$Z$2:$Z$501,0))),"")</f>
        <v/>
      </c>
    </row>
    <row r="96" spans="1:28" ht="17" hidden="1" x14ac:dyDescent="0.5">
      <c r="C96" s="23" t="str">
        <f>IFERROR(INDEX(Tasks!$E$2:$E$501,MATCH($Y93&amp;"|"&amp;2,Tasks!$Z$2:$Z$501,0)),"")</f>
        <v/>
      </c>
      <c r="D96" s="24" t="str">
        <f>IFERROR(INDEX(Tasks!$F$2:$F$501,MATCH($Y93&amp;"|"&amp;2,Tasks!$Z$2:$Z$501,0)),"")</f>
        <v/>
      </c>
      <c r="E96" s="25" t="str">
        <f>IFERROR(IF(INDEX(Tasks!$K$2:$K$501,MATCH($Y93&amp;"|"&amp;2,Tasks!$Z$2:$Z$501,0))=0,"",INDEX(Tasks!$K$2:$K$501,MATCH($Y93&amp;"|"&amp;2,Tasks!$Z$2:$Z$501,0))),"")</f>
        <v/>
      </c>
      <c r="F96" s="24" t="str">
        <f>IFERROR(IF(INDEX(Tasks!$L$2:$L$501,MATCH($Y93&amp;"|"&amp;2,Tasks!$Z$2:$Z$501,0))=0,"",INDEX(Tasks!$L$2:$L$501,MATCH($Y93&amp;"|"&amp;2,Tasks!$Z$2:$Z$501,0))),"")</f>
        <v/>
      </c>
      <c r="G96" s="26" t="str">
        <f>IFERROR(IF(INDEX(Tasks!$P$2:$P$501,MATCH($Y93&amp;"|"&amp;2,Tasks!$Z$2:$Z$501,0))=0,"",INDEX(Tasks!$P$2:$P$501,MATCH($Y93&amp;"|"&amp;2,Tasks!$Z$2:$Z$501,0))),"")</f>
        <v/>
      </c>
    </row>
    <row r="97" spans="1:28" ht="17" hidden="1" x14ac:dyDescent="0.5">
      <c r="C97" s="23" t="str">
        <f>IFERROR(INDEX(Tasks!$E$2:$E$501,MATCH($Y93&amp;"|"&amp;3,Tasks!$Z$2:$Z$501,0)),"")</f>
        <v/>
      </c>
      <c r="D97" s="24" t="str">
        <f>IFERROR(INDEX(Tasks!$F$2:$F$501,MATCH($Y93&amp;"|"&amp;3,Tasks!$Z$2:$Z$501,0)),"")</f>
        <v/>
      </c>
      <c r="E97" s="25" t="str">
        <f>IFERROR(IF(INDEX(Tasks!$K$2:$K$501,MATCH($Y93&amp;"|"&amp;3,Tasks!$Z$2:$Z$501,0))=0,"",INDEX(Tasks!$K$2:$K$501,MATCH($Y93&amp;"|"&amp;3,Tasks!$Z$2:$Z$501,0))),"")</f>
        <v/>
      </c>
      <c r="F97" s="24" t="str">
        <f>IFERROR(IF(INDEX(Tasks!$L$2:$L$501,MATCH($Y93&amp;"|"&amp;3,Tasks!$Z$2:$Z$501,0))=0,"",INDEX(Tasks!$L$2:$L$501,MATCH($Y93&amp;"|"&amp;3,Tasks!$Z$2:$Z$501,0))),"")</f>
        <v/>
      </c>
      <c r="G97" s="26" t="str">
        <f>IFERROR(IF(INDEX(Tasks!$P$2:$P$501,MATCH($Y93&amp;"|"&amp;3,Tasks!$Z$2:$Z$501,0))=0,"",INDEX(Tasks!$P$2:$P$501,MATCH($Y93&amp;"|"&amp;3,Tasks!$Z$2:$Z$501,0))),"")</f>
        <v/>
      </c>
    </row>
    <row r="98" spans="1:28" ht="17" hidden="1" x14ac:dyDescent="0.5">
      <c r="C98" s="23" t="str">
        <f>IFERROR(INDEX(Tasks!$E$2:$E$501,MATCH($Y93&amp;"|"&amp;4,Tasks!$Z$2:$Z$501,0)),"")</f>
        <v/>
      </c>
      <c r="D98" s="24" t="str">
        <f>IFERROR(INDEX(Tasks!$F$2:$F$501,MATCH($Y93&amp;"|"&amp;4,Tasks!$Z$2:$Z$501,0)),"")</f>
        <v/>
      </c>
      <c r="E98" s="25" t="str">
        <f>IFERROR(IF(INDEX(Tasks!$K$2:$K$501,MATCH($Y93&amp;"|"&amp;4,Tasks!$Z$2:$Z$501,0))=0,"",INDEX(Tasks!$K$2:$K$501,MATCH($Y93&amp;"|"&amp;4,Tasks!$Z$2:$Z$501,0))),"")</f>
        <v/>
      </c>
      <c r="F98" s="24" t="str">
        <f>IFERROR(IF(INDEX(Tasks!$L$2:$L$501,MATCH($Y93&amp;"|"&amp;4,Tasks!$Z$2:$Z$501,0))=0,"",INDEX(Tasks!$L$2:$L$501,MATCH($Y93&amp;"|"&amp;4,Tasks!$Z$2:$Z$501,0))),"")</f>
        <v/>
      </c>
      <c r="G98" s="26" t="str">
        <f>IFERROR(IF(INDEX(Tasks!$P$2:$P$501,MATCH($Y93&amp;"|"&amp;4,Tasks!$Z$2:$Z$501,0))=0,"",INDEX(Tasks!$P$2:$P$501,MATCH($Y93&amp;"|"&amp;4,Tasks!$Z$2:$Z$501,0))),"")</f>
        <v/>
      </c>
    </row>
    <row r="99" spans="1:28" ht="17" hidden="1" x14ac:dyDescent="0.5">
      <c r="C99" s="23" t="str">
        <f>IFERROR(INDEX(Tasks!$E$2:$E$501,MATCH($Y93&amp;"|"&amp;5,Tasks!$Z$2:$Z$501,0)),"")</f>
        <v/>
      </c>
      <c r="D99" s="24" t="str">
        <f>IFERROR(INDEX(Tasks!$F$2:$F$501,MATCH($Y93&amp;"|"&amp;5,Tasks!$Z$2:$Z$501,0)),"")</f>
        <v/>
      </c>
      <c r="E99" s="25" t="str">
        <f>IFERROR(IF(INDEX(Tasks!$K$2:$K$501,MATCH($Y93&amp;"|"&amp;5,Tasks!$Z$2:$Z$501,0))=0,"",INDEX(Tasks!$K$2:$K$501,MATCH($Y93&amp;"|"&amp;5,Tasks!$Z$2:$Z$501,0))),"")</f>
        <v/>
      </c>
      <c r="F99" s="24" t="str">
        <f>IFERROR(IF(INDEX(Tasks!$L$2:$L$501,MATCH($Y93&amp;"|"&amp;5,Tasks!$Z$2:$Z$501,0))=0,"",INDEX(Tasks!$L$2:$L$501,MATCH($Y93&amp;"|"&amp;5,Tasks!$Z$2:$Z$501,0))),"")</f>
        <v/>
      </c>
      <c r="G99" s="26" t="str">
        <f>IFERROR(IF(INDEX(Tasks!$P$2:$P$501,MATCH($Y93&amp;"|"&amp;5,Tasks!$Z$2:$Z$501,0))=0,"",INDEX(Tasks!$P$2:$P$501,MATCH($Y93&amp;"|"&amp;5,Tasks!$Z$2:$Z$501,0))),"")</f>
        <v/>
      </c>
    </row>
    <row r="100" spans="1:28" ht="17" hidden="1" x14ac:dyDescent="0.5">
      <c r="C100" s="23" t="str">
        <f>IFERROR(INDEX(Tasks!$E$2:$E$501,MATCH($Y93&amp;"|"&amp;6,Tasks!$Z$2:$Z$501,0)),"")</f>
        <v/>
      </c>
      <c r="D100" s="24" t="str">
        <f>IFERROR(INDEX(Tasks!$F$2:$F$501,MATCH($Y93&amp;"|"&amp;6,Tasks!$Z$2:$Z$501,0)),"")</f>
        <v/>
      </c>
      <c r="E100" s="25" t="str">
        <f>IFERROR(IF(INDEX(Tasks!$K$2:$K$501,MATCH($Y93&amp;"|"&amp;6,Tasks!$Z$2:$Z$501,0))=0,"",INDEX(Tasks!$K$2:$K$501,MATCH($Y93&amp;"|"&amp;6,Tasks!$Z$2:$Z$501,0))),"")</f>
        <v/>
      </c>
      <c r="F100" s="24" t="str">
        <f>IFERROR(IF(INDEX(Tasks!$L$2:$L$501,MATCH($Y93&amp;"|"&amp;6,Tasks!$Z$2:$Z$501,0))=0,"",INDEX(Tasks!$L$2:$L$501,MATCH($Y93&amp;"|"&amp;6,Tasks!$Z$2:$Z$501,0))),"")</f>
        <v/>
      </c>
      <c r="G100" s="26" t="str">
        <f>IFERROR(IF(INDEX(Tasks!$P$2:$P$501,MATCH($Y93&amp;"|"&amp;6,Tasks!$Z$2:$Z$501,0))=0,"",INDEX(Tasks!$P$2:$P$501,MATCH($Y93&amp;"|"&amp;6,Tasks!$Z$2:$Z$501,0))),"")</f>
        <v/>
      </c>
    </row>
    <row r="101" spans="1:28" ht="17" hidden="1" x14ac:dyDescent="0.5">
      <c r="C101" s="23" t="str">
        <f>IFERROR(INDEX(Tasks!$E$2:$E$501,MATCH($Y93&amp;"|"&amp;7,Tasks!$Z$2:$Z$501,0)),"")</f>
        <v/>
      </c>
      <c r="D101" s="24" t="str">
        <f>IFERROR(INDEX(Tasks!$F$2:$F$501,MATCH($Y93&amp;"|"&amp;7,Tasks!$Z$2:$Z$501,0)),"")</f>
        <v/>
      </c>
      <c r="E101" s="25" t="str">
        <f>IFERROR(IF(INDEX(Tasks!$K$2:$K$501,MATCH($Y93&amp;"|"&amp;7,Tasks!$Z$2:$Z$501,0))=0,"",INDEX(Tasks!$K$2:$K$501,MATCH($Y93&amp;"|"&amp;7,Tasks!$Z$2:$Z$501,0))),"")</f>
        <v/>
      </c>
      <c r="F101" s="24" t="str">
        <f>IFERROR(IF(INDEX(Tasks!$L$2:$L$501,MATCH($Y93&amp;"|"&amp;7,Tasks!$Z$2:$Z$501,0))=0,"",INDEX(Tasks!$L$2:$L$501,MATCH($Y93&amp;"|"&amp;7,Tasks!$Z$2:$Z$501,0))),"")</f>
        <v/>
      </c>
      <c r="G101" s="26" t="str">
        <f>IFERROR(IF(INDEX(Tasks!$P$2:$P$501,MATCH($Y93&amp;"|"&amp;7,Tasks!$Z$2:$Z$501,0))=0,"",INDEX(Tasks!$P$2:$P$501,MATCH($Y93&amp;"|"&amp;7,Tasks!$Z$2:$Z$501,0))),"")</f>
        <v/>
      </c>
    </row>
    <row r="102" spans="1:28" ht="17" hidden="1" x14ac:dyDescent="0.5">
      <c r="C102" s="23" t="str">
        <f>IF(N($D93)&gt;8,"+ "&amp;(N($D93)-7)&amp;" more — see Tasks",IFERROR(INDEX(Tasks!$E$2:$E$501,MATCH($Y93&amp;"|"&amp;8,Tasks!$Z$2:$Z$501,0)),""))</f>
        <v/>
      </c>
      <c r="D102" s="24" t="str">
        <f>IF(N($D93)&gt;8,"",IFERROR(INDEX(Tasks!$F$2:$F$501,MATCH($Y93&amp;"|"&amp;8,Tasks!$Z$2:$Z$501,0)),""))</f>
        <v/>
      </c>
      <c r="E102" s="25" t="str">
        <f>IF(N($D93)&gt;8,"",IFERROR(IF(INDEX(Tasks!$K$2:$K$501,MATCH($Y93&amp;"|"&amp;8,Tasks!$Z$2:$Z$501,0))=0,"",INDEX(Tasks!$K$2:$K$501,MATCH($Y93&amp;"|"&amp;8,Tasks!$Z$2:$Z$501,0))),""))</f>
        <v/>
      </c>
      <c r="F102" s="24" t="str">
        <f>IF(N($D93)&gt;8,"",IFERROR(IF(INDEX(Tasks!$L$2:$L$501,MATCH($Y93&amp;"|"&amp;8,Tasks!$Z$2:$Z$501,0))=0,"",INDEX(Tasks!$L$2:$L$501,MATCH($Y93&amp;"|"&amp;8,Tasks!$Z$2:$Z$501,0))),""))</f>
        <v/>
      </c>
      <c r="G102" s="26" t="str">
        <f>IF(N($D93)&gt;8,"",IFERROR(IF(INDEX(Tasks!$P$2:$P$501,MATCH($Y93&amp;"|"&amp;8,Tasks!$Z$2:$Z$501,0))=0,"",INDEX(Tasks!$P$2:$P$501,MATCH($Y93&amp;"|"&amp;8,Tasks!$Z$2:$Z$501,0))),""))</f>
        <v/>
      </c>
    </row>
    <row r="103" spans="1:28" ht="14.5" x14ac:dyDescent="0.35">
      <c r="A103" s="6"/>
      <c r="B103" s="6"/>
      <c r="C103" s="6"/>
      <c r="D103" s="5" t="str">
        <f>IF(COUNTIFS(Tasks!$V$2:$V$501,Y103)=0,"",COUNTIFS(Tasks!$V$2:$V$501,Y103))</f>
        <v/>
      </c>
      <c r="E103" s="18"/>
      <c r="F103" s="18"/>
      <c r="G103" s="6"/>
      <c r="H103" s="19" t="str">
        <f ca="1">IF(OR(E103="",F103=""),"",IF(E103=F103,IF(TODAY()&gt;=E103,1,0),MAX(0,MIN(1,(TODAY()-E103)/(F103-E103)))))</f>
        <v/>
      </c>
      <c r="I103" s="10"/>
      <c r="J103" s="20"/>
      <c r="AA103">
        <f ca="1">IF(TODAY()&lt;E103,E103-TODAY(),F103-TODAY())</f>
        <v>-46216</v>
      </c>
      <c r="AB103" t="str">
        <f ca="1">IF(AND(OR(G103="Planned",G103="Active"),ABS(AA103)&lt;=7),AA103+Y103/1000000,"")</f>
        <v/>
      </c>
    </row>
    <row r="104" spans="1:28" ht="15" hidden="1" x14ac:dyDescent="0.4">
      <c r="C104" s="21" t="s">
        <v>39</v>
      </c>
      <c r="D104" s="22" t="s">
        <v>40</v>
      </c>
      <c r="E104" s="22" t="s">
        <v>13</v>
      </c>
      <c r="F104" s="22" t="s">
        <v>14</v>
      </c>
      <c r="G104" s="22" t="s">
        <v>18</v>
      </c>
    </row>
    <row r="105" spans="1:28" ht="17" hidden="1" x14ac:dyDescent="0.5">
      <c r="C105" s="23" t="str">
        <f>IFERROR(INDEX(Tasks!$E$2:$E$501,MATCH($Y103&amp;"|"&amp;1,Tasks!$Z$2:$Z$501,0)),"")</f>
        <v/>
      </c>
      <c r="D105" s="24" t="str">
        <f>IFERROR(INDEX(Tasks!$F$2:$F$501,MATCH($Y103&amp;"|"&amp;1,Tasks!$Z$2:$Z$501,0)),"")</f>
        <v/>
      </c>
      <c r="E105" s="25" t="str">
        <f>IFERROR(IF(INDEX(Tasks!$K$2:$K$501,MATCH($Y103&amp;"|"&amp;1,Tasks!$Z$2:$Z$501,0))=0,"",INDEX(Tasks!$K$2:$K$501,MATCH($Y103&amp;"|"&amp;1,Tasks!$Z$2:$Z$501,0))),"")</f>
        <v/>
      </c>
      <c r="F105" s="24" t="str">
        <f>IFERROR(IF(INDEX(Tasks!$L$2:$L$501,MATCH($Y103&amp;"|"&amp;1,Tasks!$Z$2:$Z$501,0))=0,"",INDEX(Tasks!$L$2:$L$501,MATCH($Y103&amp;"|"&amp;1,Tasks!$Z$2:$Z$501,0))),"")</f>
        <v/>
      </c>
      <c r="G105" s="26" t="str">
        <f>IFERROR(IF(INDEX(Tasks!$P$2:$P$501,MATCH($Y103&amp;"|"&amp;1,Tasks!$Z$2:$Z$501,0))=0,"",INDEX(Tasks!$P$2:$P$501,MATCH($Y103&amp;"|"&amp;1,Tasks!$Z$2:$Z$501,0))),"")</f>
        <v/>
      </c>
    </row>
    <row r="106" spans="1:28" ht="17" hidden="1" x14ac:dyDescent="0.5">
      <c r="C106" s="23" t="str">
        <f>IFERROR(INDEX(Tasks!$E$2:$E$501,MATCH($Y103&amp;"|"&amp;2,Tasks!$Z$2:$Z$501,0)),"")</f>
        <v/>
      </c>
      <c r="D106" s="24" t="str">
        <f>IFERROR(INDEX(Tasks!$F$2:$F$501,MATCH($Y103&amp;"|"&amp;2,Tasks!$Z$2:$Z$501,0)),"")</f>
        <v/>
      </c>
      <c r="E106" s="25" t="str">
        <f>IFERROR(IF(INDEX(Tasks!$K$2:$K$501,MATCH($Y103&amp;"|"&amp;2,Tasks!$Z$2:$Z$501,0))=0,"",INDEX(Tasks!$K$2:$K$501,MATCH($Y103&amp;"|"&amp;2,Tasks!$Z$2:$Z$501,0))),"")</f>
        <v/>
      </c>
      <c r="F106" s="24" t="str">
        <f>IFERROR(IF(INDEX(Tasks!$L$2:$L$501,MATCH($Y103&amp;"|"&amp;2,Tasks!$Z$2:$Z$501,0))=0,"",INDEX(Tasks!$L$2:$L$501,MATCH($Y103&amp;"|"&amp;2,Tasks!$Z$2:$Z$501,0))),"")</f>
        <v/>
      </c>
      <c r="G106" s="26" t="str">
        <f>IFERROR(IF(INDEX(Tasks!$P$2:$P$501,MATCH($Y103&amp;"|"&amp;2,Tasks!$Z$2:$Z$501,0))=0,"",INDEX(Tasks!$P$2:$P$501,MATCH($Y103&amp;"|"&amp;2,Tasks!$Z$2:$Z$501,0))),"")</f>
        <v/>
      </c>
    </row>
    <row r="107" spans="1:28" ht="17" hidden="1" x14ac:dyDescent="0.5">
      <c r="C107" s="23" t="str">
        <f>IFERROR(INDEX(Tasks!$E$2:$E$501,MATCH($Y103&amp;"|"&amp;3,Tasks!$Z$2:$Z$501,0)),"")</f>
        <v/>
      </c>
      <c r="D107" s="24" t="str">
        <f>IFERROR(INDEX(Tasks!$F$2:$F$501,MATCH($Y103&amp;"|"&amp;3,Tasks!$Z$2:$Z$501,0)),"")</f>
        <v/>
      </c>
      <c r="E107" s="25" t="str">
        <f>IFERROR(IF(INDEX(Tasks!$K$2:$K$501,MATCH($Y103&amp;"|"&amp;3,Tasks!$Z$2:$Z$501,0))=0,"",INDEX(Tasks!$K$2:$K$501,MATCH($Y103&amp;"|"&amp;3,Tasks!$Z$2:$Z$501,0))),"")</f>
        <v/>
      </c>
      <c r="F107" s="24" t="str">
        <f>IFERROR(IF(INDEX(Tasks!$L$2:$L$501,MATCH($Y103&amp;"|"&amp;3,Tasks!$Z$2:$Z$501,0))=0,"",INDEX(Tasks!$L$2:$L$501,MATCH($Y103&amp;"|"&amp;3,Tasks!$Z$2:$Z$501,0))),"")</f>
        <v/>
      </c>
      <c r="G107" s="26" t="str">
        <f>IFERROR(IF(INDEX(Tasks!$P$2:$P$501,MATCH($Y103&amp;"|"&amp;3,Tasks!$Z$2:$Z$501,0))=0,"",INDEX(Tasks!$P$2:$P$501,MATCH($Y103&amp;"|"&amp;3,Tasks!$Z$2:$Z$501,0))),"")</f>
        <v/>
      </c>
    </row>
    <row r="108" spans="1:28" ht="17" hidden="1" x14ac:dyDescent="0.5">
      <c r="C108" s="23" t="str">
        <f>IFERROR(INDEX(Tasks!$E$2:$E$501,MATCH($Y103&amp;"|"&amp;4,Tasks!$Z$2:$Z$501,0)),"")</f>
        <v/>
      </c>
      <c r="D108" s="24" t="str">
        <f>IFERROR(INDEX(Tasks!$F$2:$F$501,MATCH($Y103&amp;"|"&amp;4,Tasks!$Z$2:$Z$501,0)),"")</f>
        <v/>
      </c>
      <c r="E108" s="25" t="str">
        <f>IFERROR(IF(INDEX(Tasks!$K$2:$K$501,MATCH($Y103&amp;"|"&amp;4,Tasks!$Z$2:$Z$501,0))=0,"",INDEX(Tasks!$K$2:$K$501,MATCH($Y103&amp;"|"&amp;4,Tasks!$Z$2:$Z$501,0))),"")</f>
        <v/>
      </c>
      <c r="F108" s="24" t="str">
        <f>IFERROR(IF(INDEX(Tasks!$L$2:$L$501,MATCH($Y103&amp;"|"&amp;4,Tasks!$Z$2:$Z$501,0))=0,"",INDEX(Tasks!$L$2:$L$501,MATCH($Y103&amp;"|"&amp;4,Tasks!$Z$2:$Z$501,0))),"")</f>
        <v/>
      </c>
      <c r="G108" s="26" t="str">
        <f>IFERROR(IF(INDEX(Tasks!$P$2:$P$501,MATCH($Y103&amp;"|"&amp;4,Tasks!$Z$2:$Z$501,0))=0,"",INDEX(Tasks!$P$2:$P$501,MATCH($Y103&amp;"|"&amp;4,Tasks!$Z$2:$Z$501,0))),"")</f>
        <v/>
      </c>
    </row>
    <row r="109" spans="1:28" ht="17" hidden="1" x14ac:dyDescent="0.5">
      <c r="C109" s="23" t="str">
        <f>IFERROR(INDEX(Tasks!$E$2:$E$501,MATCH($Y103&amp;"|"&amp;5,Tasks!$Z$2:$Z$501,0)),"")</f>
        <v/>
      </c>
      <c r="D109" s="24" t="str">
        <f>IFERROR(INDEX(Tasks!$F$2:$F$501,MATCH($Y103&amp;"|"&amp;5,Tasks!$Z$2:$Z$501,0)),"")</f>
        <v/>
      </c>
      <c r="E109" s="25" t="str">
        <f>IFERROR(IF(INDEX(Tasks!$K$2:$K$501,MATCH($Y103&amp;"|"&amp;5,Tasks!$Z$2:$Z$501,0))=0,"",INDEX(Tasks!$K$2:$K$501,MATCH($Y103&amp;"|"&amp;5,Tasks!$Z$2:$Z$501,0))),"")</f>
        <v/>
      </c>
      <c r="F109" s="24" t="str">
        <f>IFERROR(IF(INDEX(Tasks!$L$2:$L$501,MATCH($Y103&amp;"|"&amp;5,Tasks!$Z$2:$Z$501,0))=0,"",INDEX(Tasks!$L$2:$L$501,MATCH($Y103&amp;"|"&amp;5,Tasks!$Z$2:$Z$501,0))),"")</f>
        <v/>
      </c>
      <c r="G109" s="26" t="str">
        <f>IFERROR(IF(INDEX(Tasks!$P$2:$P$501,MATCH($Y103&amp;"|"&amp;5,Tasks!$Z$2:$Z$501,0))=0,"",INDEX(Tasks!$P$2:$P$501,MATCH($Y103&amp;"|"&amp;5,Tasks!$Z$2:$Z$501,0))),"")</f>
        <v/>
      </c>
    </row>
    <row r="110" spans="1:28" ht="17" hidden="1" x14ac:dyDescent="0.5">
      <c r="C110" s="23" t="str">
        <f>IFERROR(INDEX(Tasks!$E$2:$E$501,MATCH($Y103&amp;"|"&amp;6,Tasks!$Z$2:$Z$501,0)),"")</f>
        <v/>
      </c>
      <c r="D110" s="24" t="str">
        <f>IFERROR(INDEX(Tasks!$F$2:$F$501,MATCH($Y103&amp;"|"&amp;6,Tasks!$Z$2:$Z$501,0)),"")</f>
        <v/>
      </c>
      <c r="E110" s="25" t="str">
        <f>IFERROR(IF(INDEX(Tasks!$K$2:$K$501,MATCH($Y103&amp;"|"&amp;6,Tasks!$Z$2:$Z$501,0))=0,"",INDEX(Tasks!$K$2:$K$501,MATCH($Y103&amp;"|"&amp;6,Tasks!$Z$2:$Z$501,0))),"")</f>
        <v/>
      </c>
      <c r="F110" s="24" t="str">
        <f>IFERROR(IF(INDEX(Tasks!$L$2:$L$501,MATCH($Y103&amp;"|"&amp;6,Tasks!$Z$2:$Z$501,0))=0,"",INDEX(Tasks!$L$2:$L$501,MATCH($Y103&amp;"|"&amp;6,Tasks!$Z$2:$Z$501,0))),"")</f>
        <v/>
      </c>
      <c r="G110" s="26" t="str">
        <f>IFERROR(IF(INDEX(Tasks!$P$2:$P$501,MATCH($Y103&amp;"|"&amp;6,Tasks!$Z$2:$Z$501,0))=0,"",INDEX(Tasks!$P$2:$P$501,MATCH($Y103&amp;"|"&amp;6,Tasks!$Z$2:$Z$501,0))),"")</f>
        <v/>
      </c>
    </row>
    <row r="111" spans="1:28" ht="17" hidden="1" x14ac:dyDescent="0.5">
      <c r="C111" s="23" t="str">
        <f>IFERROR(INDEX(Tasks!$E$2:$E$501,MATCH($Y103&amp;"|"&amp;7,Tasks!$Z$2:$Z$501,0)),"")</f>
        <v/>
      </c>
      <c r="D111" s="24" t="str">
        <f>IFERROR(INDEX(Tasks!$F$2:$F$501,MATCH($Y103&amp;"|"&amp;7,Tasks!$Z$2:$Z$501,0)),"")</f>
        <v/>
      </c>
      <c r="E111" s="25" t="str">
        <f>IFERROR(IF(INDEX(Tasks!$K$2:$K$501,MATCH($Y103&amp;"|"&amp;7,Tasks!$Z$2:$Z$501,0))=0,"",INDEX(Tasks!$K$2:$K$501,MATCH($Y103&amp;"|"&amp;7,Tasks!$Z$2:$Z$501,0))),"")</f>
        <v/>
      </c>
      <c r="F111" s="24" t="str">
        <f>IFERROR(IF(INDEX(Tasks!$L$2:$L$501,MATCH($Y103&amp;"|"&amp;7,Tasks!$Z$2:$Z$501,0))=0,"",INDEX(Tasks!$L$2:$L$501,MATCH($Y103&amp;"|"&amp;7,Tasks!$Z$2:$Z$501,0))),"")</f>
        <v/>
      </c>
      <c r="G111" s="26" t="str">
        <f>IFERROR(IF(INDEX(Tasks!$P$2:$P$501,MATCH($Y103&amp;"|"&amp;7,Tasks!$Z$2:$Z$501,0))=0,"",INDEX(Tasks!$P$2:$P$501,MATCH($Y103&amp;"|"&amp;7,Tasks!$Z$2:$Z$501,0))),"")</f>
        <v/>
      </c>
    </row>
    <row r="112" spans="1:28" ht="17" hidden="1" x14ac:dyDescent="0.5">
      <c r="C112" s="23" t="str">
        <f>IF(N($D103)&gt;8,"+ "&amp;(N($D103)-7)&amp;" more — see Tasks",IFERROR(INDEX(Tasks!$E$2:$E$501,MATCH($Y103&amp;"|"&amp;8,Tasks!$Z$2:$Z$501,0)),""))</f>
        <v/>
      </c>
      <c r="D112" s="24" t="str">
        <f>IF(N($D103)&gt;8,"",IFERROR(INDEX(Tasks!$F$2:$F$501,MATCH($Y103&amp;"|"&amp;8,Tasks!$Z$2:$Z$501,0)),""))</f>
        <v/>
      </c>
      <c r="E112" s="25" t="str">
        <f>IF(N($D103)&gt;8,"",IFERROR(IF(INDEX(Tasks!$K$2:$K$501,MATCH($Y103&amp;"|"&amp;8,Tasks!$Z$2:$Z$501,0))=0,"",INDEX(Tasks!$K$2:$K$501,MATCH($Y103&amp;"|"&amp;8,Tasks!$Z$2:$Z$501,0))),""))</f>
        <v/>
      </c>
      <c r="F112" s="24" t="str">
        <f>IF(N($D103)&gt;8,"",IFERROR(IF(INDEX(Tasks!$L$2:$L$501,MATCH($Y103&amp;"|"&amp;8,Tasks!$Z$2:$Z$501,0))=0,"",INDEX(Tasks!$L$2:$L$501,MATCH($Y103&amp;"|"&amp;8,Tasks!$Z$2:$Z$501,0))),""))</f>
        <v/>
      </c>
      <c r="G112" s="26" t="str">
        <f>IF(N($D103)&gt;8,"",IFERROR(IF(INDEX(Tasks!$P$2:$P$501,MATCH($Y103&amp;"|"&amp;8,Tasks!$Z$2:$Z$501,0))=0,"",INDEX(Tasks!$P$2:$P$501,MATCH($Y103&amp;"|"&amp;8,Tasks!$Z$2:$Z$501,0))),""))</f>
        <v/>
      </c>
    </row>
    <row r="113" spans="1:28" ht="14.5" x14ac:dyDescent="0.35">
      <c r="A113" s="6"/>
      <c r="B113" s="6"/>
      <c r="C113" s="6"/>
      <c r="D113" s="5" t="str">
        <f>IF(COUNTIFS(Tasks!$V$2:$V$501,Y113)=0,"",COUNTIFS(Tasks!$V$2:$V$501,Y113))</f>
        <v/>
      </c>
      <c r="E113" s="18"/>
      <c r="F113" s="18"/>
      <c r="G113" s="6"/>
      <c r="H113" s="19" t="str">
        <f ca="1">IF(OR(E113="",F113=""),"",IF(E113=F113,IF(TODAY()&gt;=E113,1,0),MAX(0,MIN(1,(TODAY()-E113)/(F113-E113)))))</f>
        <v/>
      </c>
      <c r="I113" s="10"/>
      <c r="J113" s="20"/>
      <c r="AA113">
        <f ca="1">IF(TODAY()&lt;E113,E113-TODAY(),F113-TODAY())</f>
        <v>-46216</v>
      </c>
      <c r="AB113" t="str">
        <f ca="1">IF(AND(OR(G113="Planned",G113="Active"),ABS(AA113)&lt;=7),AA113+Y113/1000000,"")</f>
        <v/>
      </c>
    </row>
    <row r="114" spans="1:28" ht="15" hidden="1" x14ac:dyDescent="0.4">
      <c r="C114" s="21" t="s">
        <v>39</v>
      </c>
      <c r="D114" s="22" t="s">
        <v>40</v>
      </c>
      <c r="E114" s="22" t="s">
        <v>13</v>
      </c>
      <c r="F114" s="22" t="s">
        <v>14</v>
      </c>
      <c r="G114" s="22" t="s">
        <v>18</v>
      </c>
    </row>
    <row r="115" spans="1:28" ht="17" hidden="1" x14ac:dyDescent="0.5">
      <c r="C115" s="23" t="str">
        <f>IFERROR(INDEX(Tasks!$E$2:$E$501,MATCH($Y113&amp;"|"&amp;1,Tasks!$Z$2:$Z$501,0)),"")</f>
        <v/>
      </c>
      <c r="D115" s="24" t="str">
        <f>IFERROR(INDEX(Tasks!$F$2:$F$501,MATCH($Y113&amp;"|"&amp;1,Tasks!$Z$2:$Z$501,0)),"")</f>
        <v/>
      </c>
      <c r="E115" s="25" t="str">
        <f>IFERROR(IF(INDEX(Tasks!$K$2:$K$501,MATCH($Y113&amp;"|"&amp;1,Tasks!$Z$2:$Z$501,0))=0,"",INDEX(Tasks!$K$2:$K$501,MATCH($Y113&amp;"|"&amp;1,Tasks!$Z$2:$Z$501,0))),"")</f>
        <v/>
      </c>
      <c r="F115" s="24" t="str">
        <f>IFERROR(IF(INDEX(Tasks!$L$2:$L$501,MATCH($Y113&amp;"|"&amp;1,Tasks!$Z$2:$Z$501,0))=0,"",INDEX(Tasks!$L$2:$L$501,MATCH($Y113&amp;"|"&amp;1,Tasks!$Z$2:$Z$501,0))),"")</f>
        <v/>
      </c>
      <c r="G115" s="26" t="str">
        <f>IFERROR(IF(INDEX(Tasks!$P$2:$P$501,MATCH($Y113&amp;"|"&amp;1,Tasks!$Z$2:$Z$501,0))=0,"",INDEX(Tasks!$P$2:$P$501,MATCH($Y113&amp;"|"&amp;1,Tasks!$Z$2:$Z$501,0))),"")</f>
        <v/>
      </c>
    </row>
    <row r="116" spans="1:28" ht="17" hidden="1" x14ac:dyDescent="0.5">
      <c r="C116" s="23" t="str">
        <f>IFERROR(INDEX(Tasks!$E$2:$E$501,MATCH($Y113&amp;"|"&amp;2,Tasks!$Z$2:$Z$501,0)),"")</f>
        <v/>
      </c>
      <c r="D116" s="24" t="str">
        <f>IFERROR(INDEX(Tasks!$F$2:$F$501,MATCH($Y113&amp;"|"&amp;2,Tasks!$Z$2:$Z$501,0)),"")</f>
        <v/>
      </c>
      <c r="E116" s="25" t="str">
        <f>IFERROR(IF(INDEX(Tasks!$K$2:$K$501,MATCH($Y113&amp;"|"&amp;2,Tasks!$Z$2:$Z$501,0))=0,"",INDEX(Tasks!$K$2:$K$501,MATCH($Y113&amp;"|"&amp;2,Tasks!$Z$2:$Z$501,0))),"")</f>
        <v/>
      </c>
      <c r="F116" s="24" t="str">
        <f>IFERROR(IF(INDEX(Tasks!$L$2:$L$501,MATCH($Y113&amp;"|"&amp;2,Tasks!$Z$2:$Z$501,0))=0,"",INDEX(Tasks!$L$2:$L$501,MATCH($Y113&amp;"|"&amp;2,Tasks!$Z$2:$Z$501,0))),"")</f>
        <v/>
      </c>
      <c r="G116" s="26" t="str">
        <f>IFERROR(IF(INDEX(Tasks!$P$2:$P$501,MATCH($Y113&amp;"|"&amp;2,Tasks!$Z$2:$Z$501,0))=0,"",INDEX(Tasks!$P$2:$P$501,MATCH($Y113&amp;"|"&amp;2,Tasks!$Z$2:$Z$501,0))),"")</f>
        <v/>
      </c>
    </row>
    <row r="117" spans="1:28" ht="17" hidden="1" x14ac:dyDescent="0.5">
      <c r="C117" s="23" t="str">
        <f>IFERROR(INDEX(Tasks!$E$2:$E$501,MATCH($Y113&amp;"|"&amp;3,Tasks!$Z$2:$Z$501,0)),"")</f>
        <v/>
      </c>
      <c r="D117" s="24" t="str">
        <f>IFERROR(INDEX(Tasks!$F$2:$F$501,MATCH($Y113&amp;"|"&amp;3,Tasks!$Z$2:$Z$501,0)),"")</f>
        <v/>
      </c>
      <c r="E117" s="25" t="str">
        <f>IFERROR(IF(INDEX(Tasks!$K$2:$K$501,MATCH($Y113&amp;"|"&amp;3,Tasks!$Z$2:$Z$501,0))=0,"",INDEX(Tasks!$K$2:$K$501,MATCH($Y113&amp;"|"&amp;3,Tasks!$Z$2:$Z$501,0))),"")</f>
        <v/>
      </c>
      <c r="F117" s="24" t="str">
        <f>IFERROR(IF(INDEX(Tasks!$L$2:$L$501,MATCH($Y113&amp;"|"&amp;3,Tasks!$Z$2:$Z$501,0))=0,"",INDEX(Tasks!$L$2:$L$501,MATCH($Y113&amp;"|"&amp;3,Tasks!$Z$2:$Z$501,0))),"")</f>
        <v/>
      </c>
      <c r="G117" s="26" t="str">
        <f>IFERROR(IF(INDEX(Tasks!$P$2:$P$501,MATCH($Y113&amp;"|"&amp;3,Tasks!$Z$2:$Z$501,0))=0,"",INDEX(Tasks!$P$2:$P$501,MATCH($Y113&amp;"|"&amp;3,Tasks!$Z$2:$Z$501,0))),"")</f>
        <v/>
      </c>
    </row>
    <row r="118" spans="1:28" ht="17" hidden="1" x14ac:dyDescent="0.5">
      <c r="C118" s="23" t="str">
        <f>IFERROR(INDEX(Tasks!$E$2:$E$501,MATCH($Y113&amp;"|"&amp;4,Tasks!$Z$2:$Z$501,0)),"")</f>
        <v/>
      </c>
      <c r="D118" s="24" t="str">
        <f>IFERROR(INDEX(Tasks!$F$2:$F$501,MATCH($Y113&amp;"|"&amp;4,Tasks!$Z$2:$Z$501,0)),"")</f>
        <v/>
      </c>
      <c r="E118" s="25" t="str">
        <f>IFERROR(IF(INDEX(Tasks!$K$2:$K$501,MATCH($Y113&amp;"|"&amp;4,Tasks!$Z$2:$Z$501,0))=0,"",INDEX(Tasks!$K$2:$K$501,MATCH($Y113&amp;"|"&amp;4,Tasks!$Z$2:$Z$501,0))),"")</f>
        <v/>
      </c>
      <c r="F118" s="24" t="str">
        <f>IFERROR(IF(INDEX(Tasks!$L$2:$L$501,MATCH($Y113&amp;"|"&amp;4,Tasks!$Z$2:$Z$501,0))=0,"",INDEX(Tasks!$L$2:$L$501,MATCH($Y113&amp;"|"&amp;4,Tasks!$Z$2:$Z$501,0))),"")</f>
        <v/>
      </c>
      <c r="G118" s="26" t="str">
        <f>IFERROR(IF(INDEX(Tasks!$P$2:$P$501,MATCH($Y113&amp;"|"&amp;4,Tasks!$Z$2:$Z$501,0))=0,"",INDEX(Tasks!$P$2:$P$501,MATCH($Y113&amp;"|"&amp;4,Tasks!$Z$2:$Z$501,0))),"")</f>
        <v/>
      </c>
    </row>
    <row r="119" spans="1:28" ht="17" hidden="1" x14ac:dyDescent="0.5">
      <c r="C119" s="23" t="str">
        <f>IFERROR(INDEX(Tasks!$E$2:$E$501,MATCH($Y113&amp;"|"&amp;5,Tasks!$Z$2:$Z$501,0)),"")</f>
        <v/>
      </c>
      <c r="D119" s="24" t="str">
        <f>IFERROR(INDEX(Tasks!$F$2:$F$501,MATCH($Y113&amp;"|"&amp;5,Tasks!$Z$2:$Z$501,0)),"")</f>
        <v/>
      </c>
      <c r="E119" s="25" t="str">
        <f>IFERROR(IF(INDEX(Tasks!$K$2:$K$501,MATCH($Y113&amp;"|"&amp;5,Tasks!$Z$2:$Z$501,0))=0,"",INDEX(Tasks!$K$2:$K$501,MATCH($Y113&amp;"|"&amp;5,Tasks!$Z$2:$Z$501,0))),"")</f>
        <v/>
      </c>
      <c r="F119" s="24" t="str">
        <f>IFERROR(IF(INDEX(Tasks!$L$2:$L$501,MATCH($Y113&amp;"|"&amp;5,Tasks!$Z$2:$Z$501,0))=0,"",INDEX(Tasks!$L$2:$L$501,MATCH($Y113&amp;"|"&amp;5,Tasks!$Z$2:$Z$501,0))),"")</f>
        <v/>
      </c>
      <c r="G119" s="26" t="str">
        <f>IFERROR(IF(INDEX(Tasks!$P$2:$P$501,MATCH($Y113&amp;"|"&amp;5,Tasks!$Z$2:$Z$501,0))=0,"",INDEX(Tasks!$P$2:$P$501,MATCH($Y113&amp;"|"&amp;5,Tasks!$Z$2:$Z$501,0))),"")</f>
        <v/>
      </c>
    </row>
    <row r="120" spans="1:28" ht="17" hidden="1" x14ac:dyDescent="0.5">
      <c r="C120" s="23" t="str">
        <f>IFERROR(INDEX(Tasks!$E$2:$E$501,MATCH($Y113&amp;"|"&amp;6,Tasks!$Z$2:$Z$501,0)),"")</f>
        <v/>
      </c>
      <c r="D120" s="24" t="str">
        <f>IFERROR(INDEX(Tasks!$F$2:$F$501,MATCH($Y113&amp;"|"&amp;6,Tasks!$Z$2:$Z$501,0)),"")</f>
        <v/>
      </c>
      <c r="E120" s="25" t="str">
        <f>IFERROR(IF(INDEX(Tasks!$K$2:$K$501,MATCH($Y113&amp;"|"&amp;6,Tasks!$Z$2:$Z$501,0))=0,"",INDEX(Tasks!$K$2:$K$501,MATCH($Y113&amp;"|"&amp;6,Tasks!$Z$2:$Z$501,0))),"")</f>
        <v/>
      </c>
      <c r="F120" s="24" t="str">
        <f>IFERROR(IF(INDEX(Tasks!$L$2:$L$501,MATCH($Y113&amp;"|"&amp;6,Tasks!$Z$2:$Z$501,0))=0,"",INDEX(Tasks!$L$2:$L$501,MATCH($Y113&amp;"|"&amp;6,Tasks!$Z$2:$Z$501,0))),"")</f>
        <v/>
      </c>
      <c r="G120" s="26" t="str">
        <f>IFERROR(IF(INDEX(Tasks!$P$2:$P$501,MATCH($Y113&amp;"|"&amp;6,Tasks!$Z$2:$Z$501,0))=0,"",INDEX(Tasks!$P$2:$P$501,MATCH($Y113&amp;"|"&amp;6,Tasks!$Z$2:$Z$501,0))),"")</f>
        <v/>
      </c>
    </row>
    <row r="121" spans="1:28" ht="17" hidden="1" x14ac:dyDescent="0.5">
      <c r="C121" s="23" t="str">
        <f>IFERROR(INDEX(Tasks!$E$2:$E$501,MATCH($Y113&amp;"|"&amp;7,Tasks!$Z$2:$Z$501,0)),"")</f>
        <v/>
      </c>
      <c r="D121" s="24" t="str">
        <f>IFERROR(INDEX(Tasks!$F$2:$F$501,MATCH($Y113&amp;"|"&amp;7,Tasks!$Z$2:$Z$501,0)),"")</f>
        <v/>
      </c>
      <c r="E121" s="25" t="str">
        <f>IFERROR(IF(INDEX(Tasks!$K$2:$K$501,MATCH($Y113&amp;"|"&amp;7,Tasks!$Z$2:$Z$501,0))=0,"",INDEX(Tasks!$K$2:$K$501,MATCH($Y113&amp;"|"&amp;7,Tasks!$Z$2:$Z$501,0))),"")</f>
        <v/>
      </c>
      <c r="F121" s="24" t="str">
        <f>IFERROR(IF(INDEX(Tasks!$L$2:$L$501,MATCH($Y113&amp;"|"&amp;7,Tasks!$Z$2:$Z$501,0))=0,"",INDEX(Tasks!$L$2:$L$501,MATCH($Y113&amp;"|"&amp;7,Tasks!$Z$2:$Z$501,0))),"")</f>
        <v/>
      </c>
      <c r="G121" s="26" t="str">
        <f>IFERROR(IF(INDEX(Tasks!$P$2:$P$501,MATCH($Y113&amp;"|"&amp;7,Tasks!$Z$2:$Z$501,0))=0,"",INDEX(Tasks!$P$2:$P$501,MATCH($Y113&amp;"|"&amp;7,Tasks!$Z$2:$Z$501,0))),"")</f>
        <v/>
      </c>
    </row>
    <row r="122" spans="1:28" ht="17" hidden="1" x14ac:dyDescent="0.5">
      <c r="C122" s="23" t="str">
        <f>IF(N($D113)&gt;8,"+ "&amp;(N($D113)-7)&amp;" more — see Tasks",IFERROR(INDEX(Tasks!$E$2:$E$501,MATCH($Y113&amp;"|"&amp;8,Tasks!$Z$2:$Z$501,0)),""))</f>
        <v/>
      </c>
      <c r="D122" s="24" t="str">
        <f>IF(N($D113)&gt;8,"",IFERROR(INDEX(Tasks!$F$2:$F$501,MATCH($Y113&amp;"|"&amp;8,Tasks!$Z$2:$Z$501,0)),""))</f>
        <v/>
      </c>
      <c r="E122" s="25" t="str">
        <f>IF(N($D113)&gt;8,"",IFERROR(IF(INDEX(Tasks!$K$2:$K$501,MATCH($Y113&amp;"|"&amp;8,Tasks!$Z$2:$Z$501,0))=0,"",INDEX(Tasks!$K$2:$K$501,MATCH($Y113&amp;"|"&amp;8,Tasks!$Z$2:$Z$501,0))),""))</f>
        <v/>
      </c>
      <c r="F122" s="24" t="str">
        <f>IF(N($D113)&gt;8,"",IFERROR(IF(INDEX(Tasks!$L$2:$L$501,MATCH($Y113&amp;"|"&amp;8,Tasks!$Z$2:$Z$501,0))=0,"",INDEX(Tasks!$L$2:$L$501,MATCH($Y113&amp;"|"&amp;8,Tasks!$Z$2:$Z$501,0))),""))</f>
        <v/>
      </c>
      <c r="G122" s="26" t="str">
        <f>IF(N($D113)&gt;8,"",IFERROR(IF(INDEX(Tasks!$P$2:$P$501,MATCH($Y113&amp;"|"&amp;8,Tasks!$Z$2:$Z$501,0))=0,"",INDEX(Tasks!$P$2:$P$501,MATCH($Y113&amp;"|"&amp;8,Tasks!$Z$2:$Z$501,0))),""))</f>
        <v/>
      </c>
    </row>
    <row r="123" spans="1:28" ht="14.5" x14ac:dyDescent="0.35">
      <c r="A123" s="6"/>
      <c r="B123" s="6"/>
      <c r="C123" s="6"/>
      <c r="D123" s="5" t="str">
        <f>IF(COUNTIFS(Tasks!$V$2:$V$501,Y123)=0,"",COUNTIFS(Tasks!$V$2:$V$501,Y123))</f>
        <v/>
      </c>
      <c r="E123" s="18"/>
      <c r="F123" s="18"/>
      <c r="G123" s="6"/>
      <c r="H123" s="19" t="str">
        <f ca="1">IF(OR(E123="",F123=""),"",IF(E123=F123,IF(TODAY()&gt;=E123,1,0),MAX(0,MIN(1,(TODAY()-E123)/(F123-E123)))))</f>
        <v/>
      </c>
      <c r="I123" s="10"/>
      <c r="J123" s="20"/>
      <c r="AA123">
        <f ca="1">IF(TODAY()&lt;E123,E123-TODAY(),F123-TODAY())</f>
        <v>-46216</v>
      </c>
      <c r="AB123" t="str">
        <f ca="1">IF(AND(OR(G123="Planned",G123="Active"),ABS(AA123)&lt;=7),AA123+Y123/1000000,"")</f>
        <v/>
      </c>
    </row>
    <row r="124" spans="1:28" ht="15" hidden="1" x14ac:dyDescent="0.4">
      <c r="C124" s="21" t="s">
        <v>39</v>
      </c>
      <c r="D124" s="22" t="s">
        <v>40</v>
      </c>
      <c r="E124" s="22" t="s">
        <v>13</v>
      </c>
      <c r="F124" s="22" t="s">
        <v>14</v>
      </c>
      <c r="G124" s="22" t="s">
        <v>18</v>
      </c>
    </row>
    <row r="125" spans="1:28" ht="17" hidden="1" x14ac:dyDescent="0.5">
      <c r="C125" s="23" t="str">
        <f>IFERROR(INDEX(Tasks!$E$2:$E$501,MATCH($Y123&amp;"|"&amp;1,Tasks!$Z$2:$Z$501,0)),"")</f>
        <v/>
      </c>
      <c r="D125" s="24" t="str">
        <f>IFERROR(INDEX(Tasks!$F$2:$F$501,MATCH($Y123&amp;"|"&amp;1,Tasks!$Z$2:$Z$501,0)),"")</f>
        <v/>
      </c>
      <c r="E125" s="25" t="str">
        <f>IFERROR(IF(INDEX(Tasks!$K$2:$K$501,MATCH($Y123&amp;"|"&amp;1,Tasks!$Z$2:$Z$501,0))=0,"",INDEX(Tasks!$K$2:$K$501,MATCH($Y123&amp;"|"&amp;1,Tasks!$Z$2:$Z$501,0))),"")</f>
        <v/>
      </c>
      <c r="F125" s="24" t="str">
        <f>IFERROR(IF(INDEX(Tasks!$L$2:$L$501,MATCH($Y123&amp;"|"&amp;1,Tasks!$Z$2:$Z$501,0))=0,"",INDEX(Tasks!$L$2:$L$501,MATCH($Y123&amp;"|"&amp;1,Tasks!$Z$2:$Z$501,0))),"")</f>
        <v/>
      </c>
      <c r="G125" s="26" t="str">
        <f>IFERROR(IF(INDEX(Tasks!$P$2:$P$501,MATCH($Y123&amp;"|"&amp;1,Tasks!$Z$2:$Z$501,0))=0,"",INDEX(Tasks!$P$2:$P$501,MATCH($Y123&amp;"|"&amp;1,Tasks!$Z$2:$Z$501,0))),"")</f>
        <v/>
      </c>
    </row>
    <row r="126" spans="1:28" ht="17" hidden="1" x14ac:dyDescent="0.5">
      <c r="C126" s="23" t="str">
        <f>IFERROR(INDEX(Tasks!$E$2:$E$501,MATCH($Y123&amp;"|"&amp;2,Tasks!$Z$2:$Z$501,0)),"")</f>
        <v/>
      </c>
      <c r="D126" s="24" t="str">
        <f>IFERROR(INDEX(Tasks!$F$2:$F$501,MATCH($Y123&amp;"|"&amp;2,Tasks!$Z$2:$Z$501,0)),"")</f>
        <v/>
      </c>
      <c r="E126" s="25" t="str">
        <f>IFERROR(IF(INDEX(Tasks!$K$2:$K$501,MATCH($Y123&amp;"|"&amp;2,Tasks!$Z$2:$Z$501,0))=0,"",INDEX(Tasks!$K$2:$K$501,MATCH($Y123&amp;"|"&amp;2,Tasks!$Z$2:$Z$501,0))),"")</f>
        <v/>
      </c>
      <c r="F126" s="24" t="str">
        <f>IFERROR(IF(INDEX(Tasks!$L$2:$L$501,MATCH($Y123&amp;"|"&amp;2,Tasks!$Z$2:$Z$501,0))=0,"",INDEX(Tasks!$L$2:$L$501,MATCH($Y123&amp;"|"&amp;2,Tasks!$Z$2:$Z$501,0))),"")</f>
        <v/>
      </c>
      <c r="G126" s="26" t="str">
        <f>IFERROR(IF(INDEX(Tasks!$P$2:$P$501,MATCH($Y123&amp;"|"&amp;2,Tasks!$Z$2:$Z$501,0))=0,"",INDEX(Tasks!$P$2:$P$501,MATCH($Y123&amp;"|"&amp;2,Tasks!$Z$2:$Z$501,0))),"")</f>
        <v/>
      </c>
    </row>
    <row r="127" spans="1:28" ht="17" hidden="1" x14ac:dyDescent="0.5">
      <c r="C127" s="23" t="str">
        <f>IFERROR(INDEX(Tasks!$E$2:$E$501,MATCH($Y123&amp;"|"&amp;3,Tasks!$Z$2:$Z$501,0)),"")</f>
        <v/>
      </c>
      <c r="D127" s="24" t="str">
        <f>IFERROR(INDEX(Tasks!$F$2:$F$501,MATCH($Y123&amp;"|"&amp;3,Tasks!$Z$2:$Z$501,0)),"")</f>
        <v/>
      </c>
      <c r="E127" s="25" t="str">
        <f>IFERROR(IF(INDEX(Tasks!$K$2:$K$501,MATCH($Y123&amp;"|"&amp;3,Tasks!$Z$2:$Z$501,0))=0,"",INDEX(Tasks!$K$2:$K$501,MATCH($Y123&amp;"|"&amp;3,Tasks!$Z$2:$Z$501,0))),"")</f>
        <v/>
      </c>
      <c r="F127" s="24" t="str">
        <f>IFERROR(IF(INDEX(Tasks!$L$2:$L$501,MATCH($Y123&amp;"|"&amp;3,Tasks!$Z$2:$Z$501,0))=0,"",INDEX(Tasks!$L$2:$L$501,MATCH($Y123&amp;"|"&amp;3,Tasks!$Z$2:$Z$501,0))),"")</f>
        <v/>
      </c>
      <c r="G127" s="26" t="str">
        <f>IFERROR(IF(INDEX(Tasks!$P$2:$P$501,MATCH($Y123&amp;"|"&amp;3,Tasks!$Z$2:$Z$501,0))=0,"",INDEX(Tasks!$P$2:$P$501,MATCH($Y123&amp;"|"&amp;3,Tasks!$Z$2:$Z$501,0))),"")</f>
        <v/>
      </c>
    </row>
    <row r="128" spans="1:28" ht="17" hidden="1" x14ac:dyDescent="0.5">
      <c r="C128" s="23" t="str">
        <f>IFERROR(INDEX(Tasks!$E$2:$E$501,MATCH($Y123&amp;"|"&amp;4,Tasks!$Z$2:$Z$501,0)),"")</f>
        <v/>
      </c>
      <c r="D128" s="24" t="str">
        <f>IFERROR(INDEX(Tasks!$F$2:$F$501,MATCH($Y123&amp;"|"&amp;4,Tasks!$Z$2:$Z$501,0)),"")</f>
        <v/>
      </c>
      <c r="E128" s="25" t="str">
        <f>IFERROR(IF(INDEX(Tasks!$K$2:$K$501,MATCH($Y123&amp;"|"&amp;4,Tasks!$Z$2:$Z$501,0))=0,"",INDEX(Tasks!$K$2:$K$501,MATCH($Y123&amp;"|"&amp;4,Tasks!$Z$2:$Z$501,0))),"")</f>
        <v/>
      </c>
      <c r="F128" s="24" t="str">
        <f>IFERROR(IF(INDEX(Tasks!$L$2:$L$501,MATCH($Y123&amp;"|"&amp;4,Tasks!$Z$2:$Z$501,0))=0,"",INDEX(Tasks!$L$2:$L$501,MATCH($Y123&amp;"|"&amp;4,Tasks!$Z$2:$Z$501,0))),"")</f>
        <v/>
      </c>
      <c r="G128" s="26" t="str">
        <f>IFERROR(IF(INDEX(Tasks!$P$2:$P$501,MATCH($Y123&amp;"|"&amp;4,Tasks!$Z$2:$Z$501,0))=0,"",INDEX(Tasks!$P$2:$P$501,MATCH($Y123&amp;"|"&amp;4,Tasks!$Z$2:$Z$501,0))),"")</f>
        <v/>
      </c>
    </row>
    <row r="129" spans="1:28" ht="17" hidden="1" x14ac:dyDescent="0.5">
      <c r="C129" s="23" t="str">
        <f>IFERROR(INDEX(Tasks!$E$2:$E$501,MATCH($Y123&amp;"|"&amp;5,Tasks!$Z$2:$Z$501,0)),"")</f>
        <v/>
      </c>
      <c r="D129" s="24" t="str">
        <f>IFERROR(INDEX(Tasks!$F$2:$F$501,MATCH($Y123&amp;"|"&amp;5,Tasks!$Z$2:$Z$501,0)),"")</f>
        <v/>
      </c>
      <c r="E129" s="25" t="str">
        <f>IFERROR(IF(INDEX(Tasks!$K$2:$K$501,MATCH($Y123&amp;"|"&amp;5,Tasks!$Z$2:$Z$501,0))=0,"",INDEX(Tasks!$K$2:$K$501,MATCH($Y123&amp;"|"&amp;5,Tasks!$Z$2:$Z$501,0))),"")</f>
        <v/>
      </c>
      <c r="F129" s="24" t="str">
        <f>IFERROR(IF(INDEX(Tasks!$L$2:$L$501,MATCH($Y123&amp;"|"&amp;5,Tasks!$Z$2:$Z$501,0))=0,"",INDEX(Tasks!$L$2:$L$501,MATCH($Y123&amp;"|"&amp;5,Tasks!$Z$2:$Z$501,0))),"")</f>
        <v/>
      </c>
      <c r="G129" s="26" t="str">
        <f>IFERROR(IF(INDEX(Tasks!$P$2:$P$501,MATCH($Y123&amp;"|"&amp;5,Tasks!$Z$2:$Z$501,0))=0,"",INDEX(Tasks!$P$2:$P$501,MATCH($Y123&amp;"|"&amp;5,Tasks!$Z$2:$Z$501,0))),"")</f>
        <v/>
      </c>
    </row>
    <row r="130" spans="1:28" ht="17" hidden="1" x14ac:dyDescent="0.5">
      <c r="C130" s="23" t="str">
        <f>IFERROR(INDEX(Tasks!$E$2:$E$501,MATCH($Y123&amp;"|"&amp;6,Tasks!$Z$2:$Z$501,0)),"")</f>
        <v/>
      </c>
      <c r="D130" s="24" t="str">
        <f>IFERROR(INDEX(Tasks!$F$2:$F$501,MATCH($Y123&amp;"|"&amp;6,Tasks!$Z$2:$Z$501,0)),"")</f>
        <v/>
      </c>
      <c r="E130" s="25" t="str">
        <f>IFERROR(IF(INDEX(Tasks!$K$2:$K$501,MATCH($Y123&amp;"|"&amp;6,Tasks!$Z$2:$Z$501,0))=0,"",INDEX(Tasks!$K$2:$K$501,MATCH($Y123&amp;"|"&amp;6,Tasks!$Z$2:$Z$501,0))),"")</f>
        <v/>
      </c>
      <c r="F130" s="24" t="str">
        <f>IFERROR(IF(INDEX(Tasks!$L$2:$L$501,MATCH($Y123&amp;"|"&amp;6,Tasks!$Z$2:$Z$501,0))=0,"",INDEX(Tasks!$L$2:$L$501,MATCH($Y123&amp;"|"&amp;6,Tasks!$Z$2:$Z$501,0))),"")</f>
        <v/>
      </c>
      <c r="G130" s="26" t="str">
        <f>IFERROR(IF(INDEX(Tasks!$P$2:$P$501,MATCH($Y123&amp;"|"&amp;6,Tasks!$Z$2:$Z$501,0))=0,"",INDEX(Tasks!$P$2:$P$501,MATCH($Y123&amp;"|"&amp;6,Tasks!$Z$2:$Z$501,0))),"")</f>
        <v/>
      </c>
    </row>
    <row r="131" spans="1:28" ht="17" hidden="1" x14ac:dyDescent="0.5">
      <c r="C131" s="23" t="str">
        <f>IFERROR(INDEX(Tasks!$E$2:$E$501,MATCH($Y123&amp;"|"&amp;7,Tasks!$Z$2:$Z$501,0)),"")</f>
        <v/>
      </c>
      <c r="D131" s="24" t="str">
        <f>IFERROR(INDEX(Tasks!$F$2:$F$501,MATCH($Y123&amp;"|"&amp;7,Tasks!$Z$2:$Z$501,0)),"")</f>
        <v/>
      </c>
      <c r="E131" s="25" t="str">
        <f>IFERROR(IF(INDEX(Tasks!$K$2:$K$501,MATCH($Y123&amp;"|"&amp;7,Tasks!$Z$2:$Z$501,0))=0,"",INDEX(Tasks!$K$2:$K$501,MATCH($Y123&amp;"|"&amp;7,Tasks!$Z$2:$Z$501,0))),"")</f>
        <v/>
      </c>
      <c r="F131" s="24" t="str">
        <f>IFERROR(IF(INDEX(Tasks!$L$2:$L$501,MATCH($Y123&amp;"|"&amp;7,Tasks!$Z$2:$Z$501,0))=0,"",INDEX(Tasks!$L$2:$L$501,MATCH($Y123&amp;"|"&amp;7,Tasks!$Z$2:$Z$501,0))),"")</f>
        <v/>
      </c>
      <c r="G131" s="26" t="str">
        <f>IFERROR(IF(INDEX(Tasks!$P$2:$P$501,MATCH($Y123&amp;"|"&amp;7,Tasks!$Z$2:$Z$501,0))=0,"",INDEX(Tasks!$P$2:$P$501,MATCH($Y123&amp;"|"&amp;7,Tasks!$Z$2:$Z$501,0))),"")</f>
        <v/>
      </c>
    </row>
    <row r="132" spans="1:28" ht="17" hidden="1" x14ac:dyDescent="0.5">
      <c r="C132" s="23" t="str">
        <f>IF(N($D123)&gt;8,"+ "&amp;(N($D123)-7)&amp;" more — see Tasks",IFERROR(INDEX(Tasks!$E$2:$E$501,MATCH($Y123&amp;"|"&amp;8,Tasks!$Z$2:$Z$501,0)),""))</f>
        <v/>
      </c>
      <c r="D132" s="24" t="str">
        <f>IF(N($D123)&gt;8,"",IFERROR(INDEX(Tasks!$F$2:$F$501,MATCH($Y123&amp;"|"&amp;8,Tasks!$Z$2:$Z$501,0)),""))</f>
        <v/>
      </c>
      <c r="E132" s="25" t="str">
        <f>IF(N($D123)&gt;8,"",IFERROR(IF(INDEX(Tasks!$K$2:$K$501,MATCH($Y123&amp;"|"&amp;8,Tasks!$Z$2:$Z$501,0))=0,"",INDEX(Tasks!$K$2:$K$501,MATCH($Y123&amp;"|"&amp;8,Tasks!$Z$2:$Z$501,0))),""))</f>
        <v/>
      </c>
      <c r="F132" s="24" t="str">
        <f>IF(N($D123)&gt;8,"",IFERROR(IF(INDEX(Tasks!$L$2:$L$501,MATCH($Y123&amp;"|"&amp;8,Tasks!$Z$2:$Z$501,0))=0,"",INDEX(Tasks!$L$2:$L$501,MATCH($Y123&amp;"|"&amp;8,Tasks!$Z$2:$Z$501,0))),""))</f>
        <v/>
      </c>
      <c r="G132" s="26" t="str">
        <f>IF(N($D123)&gt;8,"",IFERROR(IF(INDEX(Tasks!$P$2:$P$501,MATCH($Y123&amp;"|"&amp;8,Tasks!$Z$2:$Z$501,0))=0,"",INDEX(Tasks!$P$2:$P$501,MATCH($Y123&amp;"|"&amp;8,Tasks!$Z$2:$Z$501,0))),""))</f>
        <v/>
      </c>
    </row>
    <row r="133" spans="1:28" ht="14.5" x14ac:dyDescent="0.35">
      <c r="A133" s="6"/>
      <c r="B133" s="6"/>
      <c r="C133" s="6"/>
      <c r="D133" s="5" t="str">
        <f>IF(COUNTIFS(Tasks!$V$2:$V$501,Y133)=0,"",COUNTIFS(Tasks!$V$2:$V$501,Y133))</f>
        <v/>
      </c>
      <c r="E133" s="18"/>
      <c r="F133" s="18"/>
      <c r="G133" s="6"/>
      <c r="H133" s="19" t="str">
        <f ca="1">IF(OR(E133="",F133=""),"",IF(E133=F133,IF(TODAY()&gt;=E133,1,0),MAX(0,MIN(1,(TODAY()-E133)/(F133-E133)))))</f>
        <v/>
      </c>
      <c r="I133" s="10"/>
      <c r="J133" s="20"/>
      <c r="AA133">
        <f ca="1">IF(TODAY()&lt;E133,E133-TODAY(),F133-TODAY())</f>
        <v>-46216</v>
      </c>
      <c r="AB133" t="str">
        <f ca="1">IF(AND(OR(G133="Planned",G133="Active"),ABS(AA133)&lt;=7),AA133+Y133/1000000,"")</f>
        <v/>
      </c>
    </row>
    <row r="134" spans="1:28" ht="15" hidden="1" x14ac:dyDescent="0.4">
      <c r="C134" s="21" t="s">
        <v>39</v>
      </c>
      <c r="D134" s="22" t="s">
        <v>40</v>
      </c>
      <c r="E134" s="22" t="s">
        <v>13</v>
      </c>
      <c r="F134" s="22" t="s">
        <v>14</v>
      </c>
      <c r="G134" s="22" t="s">
        <v>18</v>
      </c>
    </row>
    <row r="135" spans="1:28" ht="17" hidden="1" x14ac:dyDescent="0.5">
      <c r="C135" s="23" t="str">
        <f>IFERROR(INDEX(Tasks!$E$2:$E$501,MATCH($Y133&amp;"|"&amp;1,Tasks!$Z$2:$Z$501,0)),"")</f>
        <v/>
      </c>
      <c r="D135" s="24" t="str">
        <f>IFERROR(INDEX(Tasks!$F$2:$F$501,MATCH($Y133&amp;"|"&amp;1,Tasks!$Z$2:$Z$501,0)),"")</f>
        <v/>
      </c>
      <c r="E135" s="25" t="str">
        <f>IFERROR(IF(INDEX(Tasks!$K$2:$K$501,MATCH($Y133&amp;"|"&amp;1,Tasks!$Z$2:$Z$501,0))=0,"",INDEX(Tasks!$K$2:$K$501,MATCH($Y133&amp;"|"&amp;1,Tasks!$Z$2:$Z$501,0))),"")</f>
        <v/>
      </c>
      <c r="F135" s="24" t="str">
        <f>IFERROR(IF(INDEX(Tasks!$L$2:$L$501,MATCH($Y133&amp;"|"&amp;1,Tasks!$Z$2:$Z$501,0))=0,"",INDEX(Tasks!$L$2:$L$501,MATCH($Y133&amp;"|"&amp;1,Tasks!$Z$2:$Z$501,0))),"")</f>
        <v/>
      </c>
      <c r="G135" s="26" t="str">
        <f>IFERROR(IF(INDEX(Tasks!$P$2:$P$501,MATCH($Y133&amp;"|"&amp;1,Tasks!$Z$2:$Z$501,0))=0,"",INDEX(Tasks!$P$2:$P$501,MATCH($Y133&amp;"|"&amp;1,Tasks!$Z$2:$Z$501,0))),"")</f>
        <v/>
      </c>
    </row>
    <row r="136" spans="1:28" ht="17" hidden="1" x14ac:dyDescent="0.5">
      <c r="C136" s="23" t="str">
        <f>IFERROR(INDEX(Tasks!$E$2:$E$501,MATCH($Y133&amp;"|"&amp;2,Tasks!$Z$2:$Z$501,0)),"")</f>
        <v/>
      </c>
      <c r="D136" s="24" t="str">
        <f>IFERROR(INDEX(Tasks!$F$2:$F$501,MATCH($Y133&amp;"|"&amp;2,Tasks!$Z$2:$Z$501,0)),"")</f>
        <v/>
      </c>
      <c r="E136" s="25" t="str">
        <f>IFERROR(IF(INDEX(Tasks!$K$2:$K$501,MATCH($Y133&amp;"|"&amp;2,Tasks!$Z$2:$Z$501,0))=0,"",INDEX(Tasks!$K$2:$K$501,MATCH($Y133&amp;"|"&amp;2,Tasks!$Z$2:$Z$501,0))),"")</f>
        <v/>
      </c>
      <c r="F136" s="24" t="str">
        <f>IFERROR(IF(INDEX(Tasks!$L$2:$L$501,MATCH($Y133&amp;"|"&amp;2,Tasks!$Z$2:$Z$501,0))=0,"",INDEX(Tasks!$L$2:$L$501,MATCH($Y133&amp;"|"&amp;2,Tasks!$Z$2:$Z$501,0))),"")</f>
        <v/>
      </c>
      <c r="G136" s="26" t="str">
        <f>IFERROR(IF(INDEX(Tasks!$P$2:$P$501,MATCH($Y133&amp;"|"&amp;2,Tasks!$Z$2:$Z$501,0))=0,"",INDEX(Tasks!$P$2:$P$501,MATCH($Y133&amp;"|"&amp;2,Tasks!$Z$2:$Z$501,0))),"")</f>
        <v/>
      </c>
    </row>
    <row r="137" spans="1:28" ht="17" hidden="1" x14ac:dyDescent="0.5">
      <c r="C137" s="23" t="str">
        <f>IFERROR(INDEX(Tasks!$E$2:$E$501,MATCH($Y133&amp;"|"&amp;3,Tasks!$Z$2:$Z$501,0)),"")</f>
        <v/>
      </c>
      <c r="D137" s="24" t="str">
        <f>IFERROR(INDEX(Tasks!$F$2:$F$501,MATCH($Y133&amp;"|"&amp;3,Tasks!$Z$2:$Z$501,0)),"")</f>
        <v/>
      </c>
      <c r="E137" s="25" t="str">
        <f>IFERROR(IF(INDEX(Tasks!$K$2:$K$501,MATCH($Y133&amp;"|"&amp;3,Tasks!$Z$2:$Z$501,0))=0,"",INDEX(Tasks!$K$2:$K$501,MATCH($Y133&amp;"|"&amp;3,Tasks!$Z$2:$Z$501,0))),"")</f>
        <v/>
      </c>
      <c r="F137" s="24" t="str">
        <f>IFERROR(IF(INDEX(Tasks!$L$2:$L$501,MATCH($Y133&amp;"|"&amp;3,Tasks!$Z$2:$Z$501,0))=0,"",INDEX(Tasks!$L$2:$L$501,MATCH($Y133&amp;"|"&amp;3,Tasks!$Z$2:$Z$501,0))),"")</f>
        <v/>
      </c>
      <c r="G137" s="26" t="str">
        <f>IFERROR(IF(INDEX(Tasks!$P$2:$P$501,MATCH($Y133&amp;"|"&amp;3,Tasks!$Z$2:$Z$501,0))=0,"",INDEX(Tasks!$P$2:$P$501,MATCH($Y133&amp;"|"&amp;3,Tasks!$Z$2:$Z$501,0))),"")</f>
        <v/>
      </c>
    </row>
    <row r="138" spans="1:28" ht="17" hidden="1" x14ac:dyDescent="0.5">
      <c r="C138" s="23" t="str">
        <f>IFERROR(INDEX(Tasks!$E$2:$E$501,MATCH($Y133&amp;"|"&amp;4,Tasks!$Z$2:$Z$501,0)),"")</f>
        <v/>
      </c>
      <c r="D138" s="24" t="str">
        <f>IFERROR(INDEX(Tasks!$F$2:$F$501,MATCH($Y133&amp;"|"&amp;4,Tasks!$Z$2:$Z$501,0)),"")</f>
        <v/>
      </c>
      <c r="E138" s="25" t="str">
        <f>IFERROR(IF(INDEX(Tasks!$K$2:$K$501,MATCH($Y133&amp;"|"&amp;4,Tasks!$Z$2:$Z$501,0))=0,"",INDEX(Tasks!$K$2:$K$501,MATCH($Y133&amp;"|"&amp;4,Tasks!$Z$2:$Z$501,0))),"")</f>
        <v/>
      </c>
      <c r="F138" s="24" t="str">
        <f>IFERROR(IF(INDEX(Tasks!$L$2:$L$501,MATCH($Y133&amp;"|"&amp;4,Tasks!$Z$2:$Z$501,0))=0,"",INDEX(Tasks!$L$2:$L$501,MATCH($Y133&amp;"|"&amp;4,Tasks!$Z$2:$Z$501,0))),"")</f>
        <v/>
      </c>
      <c r="G138" s="26" t="str">
        <f>IFERROR(IF(INDEX(Tasks!$P$2:$P$501,MATCH($Y133&amp;"|"&amp;4,Tasks!$Z$2:$Z$501,0))=0,"",INDEX(Tasks!$P$2:$P$501,MATCH($Y133&amp;"|"&amp;4,Tasks!$Z$2:$Z$501,0))),"")</f>
        <v/>
      </c>
    </row>
    <row r="139" spans="1:28" ht="17" hidden="1" x14ac:dyDescent="0.5">
      <c r="C139" s="23" t="str">
        <f>IFERROR(INDEX(Tasks!$E$2:$E$501,MATCH($Y133&amp;"|"&amp;5,Tasks!$Z$2:$Z$501,0)),"")</f>
        <v/>
      </c>
      <c r="D139" s="24" t="str">
        <f>IFERROR(INDEX(Tasks!$F$2:$F$501,MATCH($Y133&amp;"|"&amp;5,Tasks!$Z$2:$Z$501,0)),"")</f>
        <v/>
      </c>
      <c r="E139" s="25" t="str">
        <f>IFERROR(IF(INDEX(Tasks!$K$2:$K$501,MATCH($Y133&amp;"|"&amp;5,Tasks!$Z$2:$Z$501,0))=0,"",INDEX(Tasks!$K$2:$K$501,MATCH($Y133&amp;"|"&amp;5,Tasks!$Z$2:$Z$501,0))),"")</f>
        <v/>
      </c>
      <c r="F139" s="24" t="str">
        <f>IFERROR(IF(INDEX(Tasks!$L$2:$L$501,MATCH($Y133&amp;"|"&amp;5,Tasks!$Z$2:$Z$501,0))=0,"",INDEX(Tasks!$L$2:$L$501,MATCH($Y133&amp;"|"&amp;5,Tasks!$Z$2:$Z$501,0))),"")</f>
        <v/>
      </c>
      <c r="G139" s="26" t="str">
        <f>IFERROR(IF(INDEX(Tasks!$P$2:$P$501,MATCH($Y133&amp;"|"&amp;5,Tasks!$Z$2:$Z$501,0))=0,"",INDEX(Tasks!$P$2:$P$501,MATCH($Y133&amp;"|"&amp;5,Tasks!$Z$2:$Z$501,0))),"")</f>
        <v/>
      </c>
    </row>
    <row r="140" spans="1:28" ht="17" hidden="1" x14ac:dyDescent="0.5">
      <c r="C140" s="23" t="str">
        <f>IFERROR(INDEX(Tasks!$E$2:$E$501,MATCH($Y133&amp;"|"&amp;6,Tasks!$Z$2:$Z$501,0)),"")</f>
        <v/>
      </c>
      <c r="D140" s="24" t="str">
        <f>IFERROR(INDEX(Tasks!$F$2:$F$501,MATCH($Y133&amp;"|"&amp;6,Tasks!$Z$2:$Z$501,0)),"")</f>
        <v/>
      </c>
      <c r="E140" s="25" t="str">
        <f>IFERROR(IF(INDEX(Tasks!$K$2:$K$501,MATCH($Y133&amp;"|"&amp;6,Tasks!$Z$2:$Z$501,0))=0,"",INDEX(Tasks!$K$2:$K$501,MATCH($Y133&amp;"|"&amp;6,Tasks!$Z$2:$Z$501,0))),"")</f>
        <v/>
      </c>
      <c r="F140" s="24" t="str">
        <f>IFERROR(IF(INDEX(Tasks!$L$2:$L$501,MATCH($Y133&amp;"|"&amp;6,Tasks!$Z$2:$Z$501,0))=0,"",INDEX(Tasks!$L$2:$L$501,MATCH($Y133&amp;"|"&amp;6,Tasks!$Z$2:$Z$501,0))),"")</f>
        <v/>
      </c>
      <c r="G140" s="26" t="str">
        <f>IFERROR(IF(INDEX(Tasks!$P$2:$P$501,MATCH($Y133&amp;"|"&amp;6,Tasks!$Z$2:$Z$501,0))=0,"",INDEX(Tasks!$P$2:$P$501,MATCH($Y133&amp;"|"&amp;6,Tasks!$Z$2:$Z$501,0))),"")</f>
        <v/>
      </c>
    </row>
    <row r="141" spans="1:28" ht="17" hidden="1" x14ac:dyDescent="0.5">
      <c r="C141" s="23" t="str">
        <f>IFERROR(INDEX(Tasks!$E$2:$E$501,MATCH($Y133&amp;"|"&amp;7,Tasks!$Z$2:$Z$501,0)),"")</f>
        <v/>
      </c>
      <c r="D141" s="24" t="str">
        <f>IFERROR(INDEX(Tasks!$F$2:$F$501,MATCH($Y133&amp;"|"&amp;7,Tasks!$Z$2:$Z$501,0)),"")</f>
        <v/>
      </c>
      <c r="E141" s="25" t="str">
        <f>IFERROR(IF(INDEX(Tasks!$K$2:$K$501,MATCH($Y133&amp;"|"&amp;7,Tasks!$Z$2:$Z$501,0))=0,"",INDEX(Tasks!$K$2:$K$501,MATCH($Y133&amp;"|"&amp;7,Tasks!$Z$2:$Z$501,0))),"")</f>
        <v/>
      </c>
      <c r="F141" s="24" t="str">
        <f>IFERROR(IF(INDEX(Tasks!$L$2:$L$501,MATCH($Y133&amp;"|"&amp;7,Tasks!$Z$2:$Z$501,0))=0,"",INDEX(Tasks!$L$2:$L$501,MATCH($Y133&amp;"|"&amp;7,Tasks!$Z$2:$Z$501,0))),"")</f>
        <v/>
      </c>
      <c r="G141" s="26" t="str">
        <f>IFERROR(IF(INDEX(Tasks!$P$2:$P$501,MATCH($Y133&amp;"|"&amp;7,Tasks!$Z$2:$Z$501,0))=0,"",INDEX(Tasks!$P$2:$P$501,MATCH($Y133&amp;"|"&amp;7,Tasks!$Z$2:$Z$501,0))),"")</f>
        <v/>
      </c>
    </row>
    <row r="142" spans="1:28" ht="17" hidden="1" x14ac:dyDescent="0.5">
      <c r="C142" s="23" t="str">
        <f>IF(N($D133)&gt;8,"+ "&amp;(N($D133)-7)&amp;" more — see Tasks",IFERROR(INDEX(Tasks!$E$2:$E$501,MATCH($Y133&amp;"|"&amp;8,Tasks!$Z$2:$Z$501,0)),""))</f>
        <v/>
      </c>
      <c r="D142" s="24" t="str">
        <f>IF(N($D133)&gt;8,"",IFERROR(INDEX(Tasks!$F$2:$F$501,MATCH($Y133&amp;"|"&amp;8,Tasks!$Z$2:$Z$501,0)),""))</f>
        <v/>
      </c>
      <c r="E142" s="25" t="str">
        <f>IF(N($D133)&gt;8,"",IFERROR(IF(INDEX(Tasks!$K$2:$K$501,MATCH($Y133&amp;"|"&amp;8,Tasks!$Z$2:$Z$501,0))=0,"",INDEX(Tasks!$K$2:$K$501,MATCH($Y133&amp;"|"&amp;8,Tasks!$Z$2:$Z$501,0))),""))</f>
        <v/>
      </c>
      <c r="F142" s="24" t="str">
        <f>IF(N($D133)&gt;8,"",IFERROR(IF(INDEX(Tasks!$L$2:$L$501,MATCH($Y133&amp;"|"&amp;8,Tasks!$Z$2:$Z$501,0))=0,"",INDEX(Tasks!$L$2:$L$501,MATCH($Y133&amp;"|"&amp;8,Tasks!$Z$2:$Z$501,0))),""))</f>
        <v/>
      </c>
      <c r="G142" s="26" t="str">
        <f>IF(N($D133)&gt;8,"",IFERROR(IF(INDEX(Tasks!$P$2:$P$501,MATCH($Y133&amp;"|"&amp;8,Tasks!$Z$2:$Z$501,0))=0,"",INDEX(Tasks!$P$2:$P$501,MATCH($Y133&amp;"|"&amp;8,Tasks!$Z$2:$Z$501,0))),""))</f>
        <v/>
      </c>
    </row>
    <row r="143" spans="1:28" ht="14.5" x14ac:dyDescent="0.35">
      <c r="A143" s="6"/>
      <c r="B143" s="6"/>
      <c r="C143" s="6"/>
      <c r="D143" s="5" t="str">
        <f>IF(COUNTIFS(Tasks!$V$2:$V$501,Y143)=0,"",COUNTIFS(Tasks!$V$2:$V$501,Y143))</f>
        <v/>
      </c>
      <c r="E143" s="18"/>
      <c r="F143" s="18"/>
      <c r="G143" s="6"/>
      <c r="H143" s="19" t="str">
        <f ca="1">IF(OR(E143="",F143=""),"",IF(E143=F143,IF(TODAY()&gt;=E143,1,0),MAX(0,MIN(1,(TODAY()-E143)/(F143-E143)))))</f>
        <v/>
      </c>
      <c r="I143" s="10"/>
      <c r="J143" s="20"/>
      <c r="AA143">
        <f ca="1">IF(TODAY()&lt;E143,E143-TODAY(),F143-TODAY())</f>
        <v>-46216</v>
      </c>
      <c r="AB143" t="str">
        <f ca="1">IF(AND(OR(G143="Planned",G143="Active"),ABS(AA143)&lt;=7),AA143+Y143/1000000,"")</f>
        <v/>
      </c>
    </row>
    <row r="144" spans="1:28" ht="15" hidden="1" x14ac:dyDescent="0.4">
      <c r="C144" s="21" t="s">
        <v>39</v>
      </c>
      <c r="D144" s="22" t="s">
        <v>40</v>
      </c>
      <c r="E144" s="22" t="s">
        <v>13</v>
      </c>
      <c r="F144" s="22" t="s">
        <v>14</v>
      </c>
      <c r="G144" s="22" t="s">
        <v>18</v>
      </c>
    </row>
    <row r="145" spans="1:28" ht="17" hidden="1" x14ac:dyDescent="0.5">
      <c r="C145" s="23" t="str">
        <f>IFERROR(INDEX(Tasks!$E$2:$E$501,MATCH($Y143&amp;"|"&amp;1,Tasks!$Z$2:$Z$501,0)),"")</f>
        <v/>
      </c>
      <c r="D145" s="24" t="str">
        <f>IFERROR(INDEX(Tasks!$F$2:$F$501,MATCH($Y143&amp;"|"&amp;1,Tasks!$Z$2:$Z$501,0)),"")</f>
        <v/>
      </c>
      <c r="E145" s="25" t="str">
        <f>IFERROR(IF(INDEX(Tasks!$K$2:$K$501,MATCH($Y143&amp;"|"&amp;1,Tasks!$Z$2:$Z$501,0))=0,"",INDEX(Tasks!$K$2:$K$501,MATCH($Y143&amp;"|"&amp;1,Tasks!$Z$2:$Z$501,0))),"")</f>
        <v/>
      </c>
      <c r="F145" s="24" t="str">
        <f>IFERROR(IF(INDEX(Tasks!$L$2:$L$501,MATCH($Y143&amp;"|"&amp;1,Tasks!$Z$2:$Z$501,0))=0,"",INDEX(Tasks!$L$2:$L$501,MATCH($Y143&amp;"|"&amp;1,Tasks!$Z$2:$Z$501,0))),"")</f>
        <v/>
      </c>
      <c r="G145" s="26" t="str">
        <f>IFERROR(IF(INDEX(Tasks!$P$2:$P$501,MATCH($Y143&amp;"|"&amp;1,Tasks!$Z$2:$Z$501,0))=0,"",INDEX(Tasks!$P$2:$P$501,MATCH($Y143&amp;"|"&amp;1,Tasks!$Z$2:$Z$501,0))),"")</f>
        <v/>
      </c>
    </row>
    <row r="146" spans="1:28" ht="17" hidden="1" x14ac:dyDescent="0.5">
      <c r="C146" s="23" t="str">
        <f>IFERROR(INDEX(Tasks!$E$2:$E$501,MATCH($Y143&amp;"|"&amp;2,Tasks!$Z$2:$Z$501,0)),"")</f>
        <v/>
      </c>
      <c r="D146" s="24" t="str">
        <f>IFERROR(INDEX(Tasks!$F$2:$F$501,MATCH($Y143&amp;"|"&amp;2,Tasks!$Z$2:$Z$501,0)),"")</f>
        <v/>
      </c>
      <c r="E146" s="25" t="str">
        <f>IFERROR(IF(INDEX(Tasks!$K$2:$K$501,MATCH($Y143&amp;"|"&amp;2,Tasks!$Z$2:$Z$501,0))=0,"",INDEX(Tasks!$K$2:$K$501,MATCH($Y143&amp;"|"&amp;2,Tasks!$Z$2:$Z$501,0))),"")</f>
        <v/>
      </c>
      <c r="F146" s="24" t="str">
        <f>IFERROR(IF(INDEX(Tasks!$L$2:$L$501,MATCH($Y143&amp;"|"&amp;2,Tasks!$Z$2:$Z$501,0))=0,"",INDEX(Tasks!$L$2:$L$501,MATCH($Y143&amp;"|"&amp;2,Tasks!$Z$2:$Z$501,0))),"")</f>
        <v/>
      </c>
      <c r="G146" s="26" t="str">
        <f>IFERROR(IF(INDEX(Tasks!$P$2:$P$501,MATCH($Y143&amp;"|"&amp;2,Tasks!$Z$2:$Z$501,0))=0,"",INDEX(Tasks!$P$2:$P$501,MATCH($Y143&amp;"|"&amp;2,Tasks!$Z$2:$Z$501,0))),"")</f>
        <v/>
      </c>
    </row>
    <row r="147" spans="1:28" ht="17" hidden="1" x14ac:dyDescent="0.5">
      <c r="C147" s="23" t="str">
        <f>IFERROR(INDEX(Tasks!$E$2:$E$501,MATCH($Y143&amp;"|"&amp;3,Tasks!$Z$2:$Z$501,0)),"")</f>
        <v/>
      </c>
      <c r="D147" s="24" t="str">
        <f>IFERROR(INDEX(Tasks!$F$2:$F$501,MATCH($Y143&amp;"|"&amp;3,Tasks!$Z$2:$Z$501,0)),"")</f>
        <v/>
      </c>
      <c r="E147" s="25" t="str">
        <f>IFERROR(IF(INDEX(Tasks!$K$2:$K$501,MATCH($Y143&amp;"|"&amp;3,Tasks!$Z$2:$Z$501,0))=0,"",INDEX(Tasks!$K$2:$K$501,MATCH($Y143&amp;"|"&amp;3,Tasks!$Z$2:$Z$501,0))),"")</f>
        <v/>
      </c>
      <c r="F147" s="24" t="str">
        <f>IFERROR(IF(INDEX(Tasks!$L$2:$L$501,MATCH($Y143&amp;"|"&amp;3,Tasks!$Z$2:$Z$501,0))=0,"",INDEX(Tasks!$L$2:$L$501,MATCH($Y143&amp;"|"&amp;3,Tasks!$Z$2:$Z$501,0))),"")</f>
        <v/>
      </c>
      <c r="G147" s="26" t="str">
        <f>IFERROR(IF(INDEX(Tasks!$P$2:$P$501,MATCH($Y143&amp;"|"&amp;3,Tasks!$Z$2:$Z$501,0))=0,"",INDEX(Tasks!$P$2:$P$501,MATCH($Y143&amp;"|"&amp;3,Tasks!$Z$2:$Z$501,0))),"")</f>
        <v/>
      </c>
    </row>
    <row r="148" spans="1:28" ht="17" hidden="1" x14ac:dyDescent="0.5">
      <c r="C148" s="23" t="str">
        <f>IFERROR(INDEX(Tasks!$E$2:$E$501,MATCH($Y143&amp;"|"&amp;4,Tasks!$Z$2:$Z$501,0)),"")</f>
        <v/>
      </c>
      <c r="D148" s="24" t="str">
        <f>IFERROR(INDEX(Tasks!$F$2:$F$501,MATCH($Y143&amp;"|"&amp;4,Tasks!$Z$2:$Z$501,0)),"")</f>
        <v/>
      </c>
      <c r="E148" s="25" t="str">
        <f>IFERROR(IF(INDEX(Tasks!$K$2:$K$501,MATCH($Y143&amp;"|"&amp;4,Tasks!$Z$2:$Z$501,0))=0,"",INDEX(Tasks!$K$2:$K$501,MATCH($Y143&amp;"|"&amp;4,Tasks!$Z$2:$Z$501,0))),"")</f>
        <v/>
      </c>
      <c r="F148" s="24" t="str">
        <f>IFERROR(IF(INDEX(Tasks!$L$2:$L$501,MATCH($Y143&amp;"|"&amp;4,Tasks!$Z$2:$Z$501,0))=0,"",INDEX(Tasks!$L$2:$L$501,MATCH($Y143&amp;"|"&amp;4,Tasks!$Z$2:$Z$501,0))),"")</f>
        <v/>
      </c>
      <c r="G148" s="26" t="str">
        <f>IFERROR(IF(INDEX(Tasks!$P$2:$P$501,MATCH($Y143&amp;"|"&amp;4,Tasks!$Z$2:$Z$501,0))=0,"",INDEX(Tasks!$P$2:$P$501,MATCH($Y143&amp;"|"&amp;4,Tasks!$Z$2:$Z$501,0))),"")</f>
        <v/>
      </c>
    </row>
    <row r="149" spans="1:28" ht="17" hidden="1" x14ac:dyDescent="0.5">
      <c r="C149" s="23" t="str">
        <f>IFERROR(INDEX(Tasks!$E$2:$E$501,MATCH($Y143&amp;"|"&amp;5,Tasks!$Z$2:$Z$501,0)),"")</f>
        <v/>
      </c>
      <c r="D149" s="24" t="str">
        <f>IFERROR(INDEX(Tasks!$F$2:$F$501,MATCH($Y143&amp;"|"&amp;5,Tasks!$Z$2:$Z$501,0)),"")</f>
        <v/>
      </c>
      <c r="E149" s="25" t="str">
        <f>IFERROR(IF(INDEX(Tasks!$K$2:$K$501,MATCH($Y143&amp;"|"&amp;5,Tasks!$Z$2:$Z$501,0))=0,"",INDEX(Tasks!$K$2:$K$501,MATCH($Y143&amp;"|"&amp;5,Tasks!$Z$2:$Z$501,0))),"")</f>
        <v/>
      </c>
      <c r="F149" s="24" t="str">
        <f>IFERROR(IF(INDEX(Tasks!$L$2:$L$501,MATCH($Y143&amp;"|"&amp;5,Tasks!$Z$2:$Z$501,0))=0,"",INDEX(Tasks!$L$2:$L$501,MATCH($Y143&amp;"|"&amp;5,Tasks!$Z$2:$Z$501,0))),"")</f>
        <v/>
      </c>
      <c r="G149" s="26" t="str">
        <f>IFERROR(IF(INDEX(Tasks!$P$2:$P$501,MATCH($Y143&amp;"|"&amp;5,Tasks!$Z$2:$Z$501,0))=0,"",INDEX(Tasks!$P$2:$P$501,MATCH($Y143&amp;"|"&amp;5,Tasks!$Z$2:$Z$501,0))),"")</f>
        <v/>
      </c>
    </row>
    <row r="150" spans="1:28" ht="17" hidden="1" x14ac:dyDescent="0.5">
      <c r="C150" s="23" t="str">
        <f>IFERROR(INDEX(Tasks!$E$2:$E$501,MATCH($Y143&amp;"|"&amp;6,Tasks!$Z$2:$Z$501,0)),"")</f>
        <v/>
      </c>
      <c r="D150" s="24" t="str">
        <f>IFERROR(INDEX(Tasks!$F$2:$F$501,MATCH($Y143&amp;"|"&amp;6,Tasks!$Z$2:$Z$501,0)),"")</f>
        <v/>
      </c>
      <c r="E150" s="25" t="str">
        <f>IFERROR(IF(INDEX(Tasks!$K$2:$K$501,MATCH($Y143&amp;"|"&amp;6,Tasks!$Z$2:$Z$501,0))=0,"",INDEX(Tasks!$K$2:$K$501,MATCH($Y143&amp;"|"&amp;6,Tasks!$Z$2:$Z$501,0))),"")</f>
        <v/>
      </c>
      <c r="F150" s="24" t="str">
        <f>IFERROR(IF(INDEX(Tasks!$L$2:$L$501,MATCH($Y143&amp;"|"&amp;6,Tasks!$Z$2:$Z$501,0))=0,"",INDEX(Tasks!$L$2:$L$501,MATCH($Y143&amp;"|"&amp;6,Tasks!$Z$2:$Z$501,0))),"")</f>
        <v/>
      </c>
      <c r="G150" s="26" t="str">
        <f>IFERROR(IF(INDEX(Tasks!$P$2:$P$501,MATCH($Y143&amp;"|"&amp;6,Tasks!$Z$2:$Z$501,0))=0,"",INDEX(Tasks!$P$2:$P$501,MATCH($Y143&amp;"|"&amp;6,Tasks!$Z$2:$Z$501,0))),"")</f>
        <v/>
      </c>
    </row>
    <row r="151" spans="1:28" ht="17" hidden="1" x14ac:dyDescent="0.5">
      <c r="C151" s="23" t="str">
        <f>IFERROR(INDEX(Tasks!$E$2:$E$501,MATCH($Y143&amp;"|"&amp;7,Tasks!$Z$2:$Z$501,0)),"")</f>
        <v/>
      </c>
      <c r="D151" s="24" t="str">
        <f>IFERROR(INDEX(Tasks!$F$2:$F$501,MATCH($Y143&amp;"|"&amp;7,Tasks!$Z$2:$Z$501,0)),"")</f>
        <v/>
      </c>
      <c r="E151" s="25" t="str">
        <f>IFERROR(IF(INDEX(Tasks!$K$2:$K$501,MATCH($Y143&amp;"|"&amp;7,Tasks!$Z$2:$Z$501,0))=0,"",INDEX(Tasks!$K$2:$K$501,MATCH($Y143&amp;"|"&amp;7,Tasks!$Z$2:$Z$501,0))),"")</f>
        <v/>
      </c>
      <c r="F151" s="24" t="str">
        <f>IFERROR(IF(INDEX(Tasks!$L$2:$L$501,MATCH($Y143&amp;"|"&amp;7,Tasks!$Z$2:$Z$501,0))=0,"",INDEX(Tasks!$L$2:$L$501,MATCH($Y143&amp;"|"&amp;7,Tasks!$Z$2:$Z$501,0))),"")</f>
        <v/>
      </c>
      <c r="G151" s="26" t="str">
        <f>IFERROR(IF(INDEX(Tasks!$P$2:$P$501,MATCH($Y143&amp;"|"&amp;7,Tasks!$Z$2:$Z$501,0))=0,"",INDEX(Tasks!$P$2:$P$501,MATCH($Y143&amp;"|"&amp;7,Tasks!$Z$2:$Z$501,0))),"")</f>
        <v/>
      </c>
    </row>
    <row r="152" spans="1:28" ht="17" hidden="1" x14ac:dyDescent="0.5">
      <c r="C152" s="23" t="str">
        <f>IF(N($D143)&gt;8,"+ "&amp;(N($D143)-7)&amp;" more — see Tasks",IFERROR(INDEX(Tasks!$E$2:$E$501,MATCH($Y143&amp;"|"&amp;8,Tasks!$Z$2:$Z$501,0)),""))</f>
        <v/>
      </c>
      <c r="D152" s="24" t="str">
        <f>IF(N($D143)&gt;8,"",IFERROR(INDEX(Tasks!$F$2:$F$501,MATCH($Y143&amp;"|"&amp;8,Tasks!$Z$2:$Z$501,0)),""))</f>
        <v/>
      </c>
      <c r="E152" s="25" t="str">
        <f>IF(N($D143)&gt;8,"",IFERROR(IF(INDEX(Tasks!$K$2:$K$501,MATCH($Y143&amp;"|"&amp;8,Tasks!$Z$2:$Z$501,0))=0,"",INDEX(Tasks!$K$2:$K$501,MATCH($Y143&amp;"|"&amp;8,Tasks!$Z$2:$Z$501,0))),""))</f>
        <v/>
      </c>
      <c r="F152" s="24" t="str">
        <f>IF(N($D143)&gt;8,"",IFERROR(IF(INDEX(Tasks!$L$2:$L$501,MATCH($Y143&amp;"|"&amp;8,Tasks!$Z$2:$Z$501,0))=0,"",INDEX(Tasks!$L$2:$L$501,MATCH($Y143&amp;"|"&amp;8,Tasks!$Z$2:$Z$501,0))),""))</f>
        <v/>
      </c>
      <c r="G152" s="26" t="str">
        <f>IF(N($D143)&gt;8,"",IFERROR(IF(INDEX(Tasks!$P$2:$P$501,MATCH($Y143&amp;"|"&amp;8,Tasks!$Z$2:$Z$501,0))=0,"",INDEX(Tasks!$P$2:$P$501,MATCH($Y143&amp;"|"&amp;8,Tasks!$Z$2:$Z$501,0))),""))</f>
        <v/>
      </c>
    </row>
    <row r="153" spans="1:28" ht="14.5" x14ac:dyDescent="0.35">
      <c r="A153" s="6"/>
      <c r="B153" s="6"/>
      <c r="C153" s="6"/>
      <c r="D153" s="5" t="str">
        <f>IF(COUNTIFS(Tasks!$V$2:$V$501,Y153)=0,"",COUNTIFS(Tasks!$V$2:$V$501,Y153))</f>
        <v/>
      </c>
      <c r="E153" s="18"/>
      <c r="F153" s="18"/>
      <c r="G153" s="6"/>
      <c r="H153" s="19" t="str">
        <f ca="1">IF(OR(E153="",F153=""),"",IF(E153=F153,IF(TODAY()&gt;=E153,1,0),MAX(0,MIN(1,(TODAY()-E153)/(F153-E153)))))</f>
        <v/>
      </c>
      <c r="I153" s="10"/>
      <c r="J153" s="20"/>
      <c r="AA153">
        <f ca="1">IF(TODAY()&lt;E153,E153-TODAY(),F153-TODAY())</f>
        <v>-46216</v>
      </c>
      <c r="AB153" t="str">
        <f ca="1">IF(AND(OR(G153="Planned",G153="Active"),ABS(AA153)&lt;=7),AA153+Y153/1000000,"")</f>
        <v/>
      </c>
    </row>
    <row r="154" spans="1:28" ht="15" hidden="1" x14ac:dyDescent="0.4">
      <c r="C154" s="21" t="s">
        <v>39</v>
      </c>
      <c r="D154" s="22" t="s">
        <v>40</v>
      </c>
      <c r="E154" s="22" t="s">
        <v>13</v>
      </c>
      <c r="F154" s="22" t="s">
        <v>14</v>
      </c>
      <c r="G154" s="22" t="s">
        <v>18</v>
      </c>
    </row>
    <row r="155" spans="1:28" ht="17" hidden="1" x14ac:dyDescent="0.5">
      <c r="C155" s="23" t="str">
        <f>IFERROR(INDEX(Tasks!$E$2:$E$501,MATCH($Y153&amp;"|"&amp;1,Tasks!$Z$2:$Z$501,0)),"")</f>
        <v/>
      </c>
      <c r="D155" s="24" t="str">
        <f>IFERROR(INDEX(Tasks!$F$2:$F$501,MATCH($Y153&amp;"|"&amp;1,Tasks!$Z$2:$Z$501,0)),"")</f>
        <v/>
      </c>
      <c r="E155" s="25" t="str">
        <f>IFERROR(IF(INDEX(Tasks!$K$2:$K$501,MATCH($Y153&amp;"|"&amp;1,Tasks!$Z$2:$Z$501,0))=0,"",INDEX(Tasks!$K$2:$K$501,MATCH($Y153&amp;"|"&amp;1,Tasks!$Z$2:$Z$501,0))),"")</f>
        <v/>
      </c>
      <c r="F155" s="24" t="str">
        <f>IFERROR(IF(INDEX(Tasks!$L$2:$L$501,MATCH($Y153&amp;"|"&amp;1,Tasks!$Z$2:$Z$501,0))=0,"",INDEX(Tasks!$L$2:$L$501,MATCH($Y153&amp;"|"&amp;1,Tasks!$Z$2:$Z$501,0))),"")</f>
        <v/>
      </c>
      <c r="G155" s="26" t="str">
        <f>IFERROR(IF(INDEX(Tasks!$P$2:$P$501,MATCH($Y153&amp;"|"&amp;1,Tasks!$Z$2:$Z$501,0))=0,"",INDEX(Tasks!$P$2:$P$501,MATCH($Y153&amp;"|"&amp;1,Tasks!$Z$2:$Z$501,0))),"")</f>
        <v/>
      </c>
    </row>
    <row r="156" spans="1:28" ht="17" hidden="1" x14ac:dyDescent="0.5">
      <c r="C156" s="23" t="str">
        <f>IFERROR(INDEX(Tasks!$E$2:$E$501,MATCH($Y153&amp;"|"&amp;2,Tasks!$Z$2:$Z$501,0)),"")</f>
        <v/>
      </c>
      <c r="D156" s="24" t="str">
        <f>IFERROR(INDEX(Tasks!$F$2:$F$501,MATCH($Y153&amp;"|"&amp;2,Tasks!$Z$2:$Z$501,0)),"")</f>
        <v/>
      </c>
      <c r="E156" s="25" t="str">
        <f>IFERROR(IF(INDEX(Tasks!$K$2:$K$501,MATCH($Y153&amp;"|"&amp;2,Tasks!$Z$2:$Z$501,0))=0,"",INDEX(Tasks!$K$2:$K$501,MATCH($Y153&amp;"|"&amp;2,Tasks!$Z$2:$Z$501,0))),"")</f>
        <v/>
      </c>
      <c r="F156" s="24" t="str">
        <f>IFERROR(IF(INDEX(Tasks!$L$2:$L$501,MATCH($Y153&amp;"|"&amp;2,Tasks!$Z$2:$Z$501,0))=0,"",INDEX(Tasks!$L$2:$L$501,MATCH($Y153&amp;"|"&amp;2,Tasks!$Z$2:$Z$501,0))),"")</f>
        <v/>
      </c>
      <c r="G156" s="26" t="str">
        <f>IFERROR(IF(INDEX(Tasks!$P$2:$P$501,MATCH($Y153&amp;"|"&amp;2,Tasks!$Z$2:$Z$501,0))=0,"",INDEX(Tasks!$P$2:$P$501,MATCH($Y153&amp;"|"&amp;2,Tasks!$Z$2:$Z$501,0))),"")</f>
        <v/>
      </c>
    </row>
    <row r="157" spans="1:28" ht="17" hidden="1" x14ac:dyDescent="0.5">
      <c r="C157" s="23" t="str">
        <f>IFERROR(INDEX(Tasks!$E$2:$E$501,MATCH($Y153&amp;"|"&amp;3,Tasks!$Z$2:$Z$501,0)),"")</f>
        <v/>
      </c>
      <c r="D157" s="24" t="str">
        <f>IFERROR(INDEX(Tasks!$F$2:$F$501,MATCH($Y153&amp;"|"&amp;3,Tasks!$Z$2:$Z$501,0)),"")</f>
        <v/>
      </c>
      <c r="E157" s="25" t="str">
        <f>IFERROR(IF(INDEX(Tasks!$K$2:$K$501,MATCH($Y153&amp;"|"&amp;3,Tasks!$Z$2:$Z$501,0))=0,"",INDEX(Tasks!$K$2:$K$501,MATCH($Y153&amp;"|"&amp;3,Tasks!$Z$2:$Z$501,0))),"")</f>
        <v/>
      </c>
      <c r="F157" s="24" t="str">
        <f>IFERROR(IF(INDEX(Tasks!$L$2:$L$501,MATCH($Y153&amp;"|"&amp;3,Tasks!$Z$2:$Z$501,0))=0,"",INDEX(Tasks!$L$2:$L$501,MATCH($Y153&amp;"|"&amp;3,Tasks!$Z$2:$Z$501,0))),"")</f>
        <v/>
      </c>
      <c r="G157" s="26" t="str">
        <f>IFERROR(IF(INDEX(Tasks!$P$2:$P$501,MATCH($Y153&amp;"|"&amp;3,Tasks!$Z$2:$Z$501,0))=0,"",INDEX(Tasks!$P$2:$P$501,MATCH($Y153&amp;"|"&amp;3,Tasks!$Z$2:$Z$501,0))),"")</f>
        <v/>
      </c>
    </row>
    <row r="158" spans="1:28" ht="17" hidden="1" x14ac:dyDescent="0.5">
      <c r="C158" s="23" t="str">
        <f>IFERROR(INDEX(Tasks!$E$2:$E$501,MATCH($Y153&amp;"|"&amp;4,Tasks!$Z$2:$Z$501,0)),"")</f>
        <v/>
      </c>
      <c r="D158" s="24" t="str">
        <f>IFERROR(INDEX(Tasks!$F$2:$F$501,MATCH($Y153&amp;"|"&amp;4,Tasks!$Z$2:$Z$501,0)),"")</f>
        <v/>
      </c>
      <c r="E158" s="25" t="str">
        <f>IFERROR(IF(INDEX(Tasks!$K$2:$K$501,MATCH($Y153&amp;"|"&amp;4,Tasks!$Z$2:$Z$501,0))=0,"",INDEX(Tasks!$K$2:$K$501,MATCH($Y153&amp;"|"&amp;4,Tasks!$Z$2:$Z$501,0))),"")</f>
        <v/>
      </c>
      <c r="F158" s="24" t="str">
        <f>IFERROR(IF(INDEX(Tasks!$L$2:$L$501,MATCH($Y153&amp;"|"&amp;4,Tasks!$Z$2:$Z$501,0))=0,"",INDEX(Tasks!$L$2:$L$501,MATCH($Y153&amp;"|"&amp;4,Tasks!$Z$2:$Z$501,0))),"")</f>
        <v/>
      </c>
      <c r="G158" s="26" t="str">
        <f>IFERROR(IF(INDEX(Tasks!$P$2:$P$501,MATCH($Y153&amp;"|"&amp;4,Tasks!$Z$2:$Z$501,0))=0,"",INDEX(Tasks!$P$2:$P$501,MATCH($Y153&amp;"|"&amp;4,Tasks!$Z$2:$Z$501,0))),"")</f>
        <v/>
      </c>
    </row>
    <row r="159" spans="1:28" ht="17" hidden="1" x14ac:dyDescent="0.5">
      <c r="C159" s="23" t="str">
        <f>IFERROR(INDEX(Tasks!$E$2:$E$501,MATCH($Y153&amp;"|"&amp;5,Tasks!$Z$2:$Z$501,0)),"")</f>
        <v/>
      </c>
      <c r="D159" s="24" t="str">
        <f>IFERROR(INDEX(Tasks!$F$2:$F$501,MATCH($Y153&amp;"|"&amp;5,Tasks!$Z$2:$Z$501,0)),"")</f>
        <v/>
      </c>
      <c r="E159" s="25" t="str">
        <f>IFERROR(IF(INDEX(Tasks!$K$2:$K$501,MATCH($Y153&amp;"|"&amp;5,Tasks!$Z$2:$Z$501,0))=0,"",INDEX(Tasks!$K$2:$K$501,MATCH($Y153&amp;"|"&amp;5,Tasks!$Z$2:$Z$501,0))),"")</f>
        <v/>
      </c>
      <c r="F159" s="24" t="str">
        <f>IFERROR(IF(INDEX(Tasks!$L$2:$L$501,MATCH($Y153&amp;"|"&amp;5,Tasks!$Z$2:$Z$501,0))=0,"",INDEX(Tasks!$L$2:$L$501,MATCH($Y153&amp;"|"&amp;5,Tasks!$Z$2:$Z$501,0))),"")</f>
        <v/>
      </c>
      <c r="G159" s="26" t="str">
        <f>IFERROR(IF(INDEX(Tasks!$P$2:$P$501,MATCH($Y153&amp;"|"&amp;5,Tasks!$Z$2:$Z$501,0))=0,"",INDEX(Tasks!$P$2:$P$501,MATCH($Y153&amp;"|"&amp;5,Tasks!$Z$2:$Z$501,0))),"")</f>
        <v/>
      </c>
    </row>
    <row r="160" spans="1:28" ht="17" hidden="1" x14ac:dyDescent="0.5">
      <c r="C160" s="23" t="str">
        <f>IFERROR(INDEX(Tasks!$E$2:$E$501,MATCH($Y153&amp;"|"&amp;6,Tasks!$Z$2:$Z$501,0)),"")</f>
        <v/>
      </c>
      <c r="D160" s="24" t="str">
        <f>IFERROR(INDEX(Tasks!$F$2:$F$501,MATCH($Y153&amp;"|"&amp;6,Tasks!$Z$2:$Z$501,0)),"")</f>
        <v/>
      </c>
      <c r="E160" s="25" t="str">
        <f>IFERROR(IF(INDEX(Tasks!$K$2:$K$501,MATCH($Y153&amp;"|"&amp;6,Tasks!$Z$2:$Z$501,0))=0,"",INDEX(Tasks!$K$2:$K$501,MATCH($Y153&amp;"|"&amp;6,Tasks!$Z$2:$Z$501,0))),"")</f>
        <v/>
      </c>
      <c r="F160" s="24" t="str">
        <f>IFERROR(IF(INDEX(Tasks!$L$2:$L$501,MATCH($Y153&amp;"|"&amp;6,Tasks!$Z$2:$Z$501,0))=0,"",INDEX(Tasks!$L$2:$L$501,MATCH($Y153&amp;"|"&amp;6,Tasks!$Z$2:$Z$501,0))),"")</f>
        <v/>
      </c>
      <c r="G160" s="26" t="str">
        <f>IFERROR(IF(INDEX(Tasks!$P$2:$P$501,MATCH($Y153&amp;"|"&amp;6,Tasks!$Z$2:$Z$501,0))=0,"",INDEX(Tasks!$P$2:$P$501,MATCH($Y153&amp;"|"&amp;6,Tasks!$Z$2:$Z$501,0))),"")</f>
        <v/>
      </c>
    </row>
    <row r="161" spans="1:28" ht="17" hidden="1" x14ac:dyDescent="0.5">
      <c r="C161" s="23" t="str">
        <f>IFERROR(INDEX(Tasks!$E$2:$E$501,MATCH($Y153&amp;"|"&amp;7,Tasks!$Z$2:$Z$501,0)),"")</f>
        <v/>
      </c>
      <c r="D161" s="24" t="str">
        <f>IFERROR(INDEX(Tasks!$F$2:$F$501,MATCH($Y153&amp;"|"&amp;7,Tasks!$Z$2:$Z$501,0)),"")</f>
        <v/>
      </c>
      <c r="E161" s="25" t="str">
        <f>IFERROR(IF(INDEX(Tasks!$K$2:$K$501,MATCH($Y153&amp;"|"&amp;7,Tasks!$Z$2:$Z$501,0))=0,"",INDEX(Tasks!$K$2:$K$501,MATCH($Y153&amp;"|"&amp;7,Tasks!$Z$2:$Z$501,0))),"")</f>
        <v/>
      </c>
      <c r="F161" s="24" t="str">
        <f>IFERROR(IF(INDEX(Tasks!$L$2:$L$501,MATCH($Y153&amp;"|"&amp;7,Tasks!$Z$2:$Z$501,0))=0,"",INDEX(Tasks!$L$2:$L$501,MATCH($Y153&amp;"|"&amp;7,Tasks!$Z$2:$Z$501,0))),"")</f>
        <v/>
      </c>
      <c r="G161" s="26" t="str">
        <f>IFERROR(IF(INDEX(Tasks!$P$2:$P$501,MATCH($Y153&amp;"|"&amp;7,Tasks!$Z$2:$Z$501,0))=0,"",INDEX(Tasks!$P$2:$P$501,MATCH($Y153&amp;"|"&amp;7,Tasks!$Z$2:$Z$501,0))),"")</f>
        <v/>
      </c>
    </row>
    <row r="162" spans="1:28" ht="17" hidden="1" x14ac:dyDescent="0.5">
      <c r="C162" s="23" t="str">
        <f>IF(N($D153)&gt;8,"+ "&amp;(N($D153)-7)&amp;" more — see Tasks",IFERROR(INDEX(Tasks!$E$2:$E$501,MATCH($Y153&amp;"|"&amp;8,Tasks!$Z$2:$Z$501,0)),""))</f>
        <v/>
      </c>
      <c r="D162" s="24" t="str">
        <f>IF(N($D153)&gt;8,"",IFERROR(INDEX(Tasks!$F$2:$F$501,MATCH($Y153&amp;"|"&amp;8,Tasks!$Z$2:$Z$501,0)),""))</f>
        <v/>
      </c>
      <c r="E162" s="25" t="str">
        <f>IF(N($D153)&gt;8,"",IFERROR(IF(INDEX(Tasks!$K$2:$K$501,MATCH($Y153&amp;"|"&amp;8,Tasks!$Z$2:$Z$501,0))=0,"",INDEX(Tasks!$K$2:$K$501,MATCH($Y153&amp;"|"&amp;8,Tasks!$Z$2:$Z$501,0))),""))</f>
        <v/>
      </c>
      <c r="F162" s="24" t="str">
        <f>IF(N($D153)&gt;8,"",IFERROR(IF(INDEX(Tasks!$L$2:$L$501,MATCH($Y153&amp;"|"&amp;8,Tasks!$Z$2:$Z$501,0))=0,"",INDEX(Tasks!$L$2:$L$501,MATCH($Y153&amp;"|"&amp;8,Tasks!$Z$2:$Z$501,0))),""))</f>
        <v/>
      </c>
      <c r="G162" s="26" t="str">
        <f>IF(N($D153)&gt;8,"",IFERROR(IF(INDEX(Tasks!$P$2:$P$501,MATCH($Y153&amp;"|"&amp;8,Tasks!$Z$2:$Z$501,0))=0,"",INDEX(Tasks!$P$2:$P$501,MATCH($Y153&amp;"|"&amp;8,Tasks!$Z$2:$Z$501,0))),""))</f>
        <v/>
      </c>
    </row>
    <row r="163" spans="1:28" ht="14.5" x14ac:dyDescent="0.35">
      <c r="A163" s="6"/>
      <c r="B163" s="6"/>
      <c r="C163" s="6"/>
      <c r="D163" s="5" t="str">
        <f>IF(COUNTIFS(Tasks!$V$2:$V$501,Y163)=0,"",COUNTIFS(Tasks!$V$2:$V$501,Y163))</f>
        <v/>
      </c>
      <c r="E163" s="18"/>
      <c r="F163" s="18"/>
      <c r="G163" s="6"/>
      <c r="H163" s="19" t="str">
        <f ca="1">IF(OR(E163="",F163=""),"",IF(E163=F163,IF(TODAY()&gt;=E163,1,0),MAX(0,MIN(1,(TODAY()-E163)/(F163-E163)))))</f>
        <v/>
      </c>
      <c r="I163" s="10"/>
      <c r="J163" s="20"/>
      <c r="AA163">
        <f ca="1">IF(TODAY()&lt;E163,E163-TODAY(),F163-TODAY())</f>
        <v>-46216</v>
      </c>
      <c r="AB163" t="str">
        <f ca="1">IF(AND(OR(G163="Planned",G163="Active"),ABS(AA163)&lt;=7),AA163+Y163/1000000,"")</f>
        <v/>
      </c>
    </row>
    <row r="164" spans="1:28" ht="15" hidden="1" x14ac:dyDescent="0.4">
      <c r="C164" s="21" t="s">
        <v>39</v>
      </c>
      <c r="D164" s="22" t="s">
        <v>40</v>
      </c>
      <c r="E164" s="22" t="s">
        <v>13</v>
      </c>
      <c r="F164" s="22" t="s">
        <v>14</v>
      </c>
      <c r="G164" s="22" t="s">
        <v>18</v>
      </c>
    </row>
    <row r="165" spans="1:28" ht="17" hidden="1" x14ac:dyDescent="0.5">
      <c r="C165" s="23" t="str">
        <f>IFERROR(INDEX(Tasks!$E$2:$E$501,MATCH($Y163&amp;"|"&amp;1,Tasks!$Z$2:$Z$501,0)),"")</f>
        <v/>
      </c>
      <c r="D165" s="24" t="str">
        <f>IFERROR(INDEX(Tasks!$F$2:$F$501,MATCH($Y163&amp;"|"&amp;1,Tasks!$Z$2:$Z$501,0)),"")</f>
        <v/>
      </c>
      <c r="E165" s="25" t="str">
        <f>IFERROR(IF(INDEX(Tasks!$K$2:$K$501,MATCH($Y163&amp;"|"&amp;1,Tasks!$Z$2:$Z$501,0))=0,"",INDEX(Tasks!$K$2:$K$501,MATCH($Y163&amp;"|"&amp;1,Tasks!$Z$2:$Z$501,0))),"")</f>
        <v/>
      </c>
      <c r="F165" s="24" t="str">
        <f>IFERROR(IF(INDEX(Tasks!$L$2:$L$501,MATCH($Y163&amp;"|"&amp;1,Tasks!$Z$2:$Z$501,0))=0,"",INDEX(Tasks!$L$2:$L$501,MATCH($Y163&amp;"|"&amp;1,Tasks!$Z$2:$Z$501,0))),"")</f>
        <v/>
      </c>
      <c r="G165" s="26" t="str">
        <f>IFERROR(IF(INDEX(Tasks!$P$2:$P$501,MATCH($Y163&amp;"|"&amp;1,Tasks!$Z$2:$Z$501,0))=0,"",INDEX(Tasks!$P$2:$P$501,MATCH($Y163&amp;"|"&amp;1,Tasks!$Z$2:$Z$501,0))),"")</f>
        <v/>
      </c>
    </row>
    <row r="166" spans="1:28" ht="17" hidden="1" x14ac:dyDescent="0.5">
      <c r="C166" s="23" t="str">
        <f>IFERROR(INDEX(Tasks!$E$2:$E$501,MATCH($Y163&amp;"|"&amp;2,Tasks!$Z$2:$Z$501,0)),"")</f>
        <v/>
      </c>
      <c r="D166" s="24" t="str">
        <f>IFERROR(INDEX(Tasks!$F$2:$F$501,MATCH($Y163&amp;"|"&amp;2,Tasks!$Z$2:$Z$501,0)),"")</f>
        <v/>
      </c>
      <c r="E166" s="25" t="str">
        <f>IFERROR(IF(INDEX(Tasks!$K$2:$K$501,MATCH($Y163&amp;"|"&amp;2,Tasks!$Z$2:$Z$501,0))=0,"",INDEX(Tasks!$K$2:$K$501,MATCH($Y163&amp;"|"&amp;2,Tasks!$Z$2:$Z$501,0))),"")</f>
        <v/>
      </c>
      <c r="F166" s="24" t="str">
        <f>IFERROR(IF(INDEX(Tasks!$L$2:$L$501,MATCH($Y163&amp;"|"&amp;2,Tasks!$Z$2:$Z$501,0))=0,"",INDEX(Tasks!$L$2:$L$501,MATCH($Y163&amp;"|"&amp;2,Tasks!$Z$2:$Z$501,0))),"")</f>
        <v/>
      </c>
      <c r="G166" s="26" t="str">
        <f>IFERROR(IF(INDEX(Tasks!$P$2:$P$501,MATCH($Y163&amp;"|"&amp;2,Tasks!$Z$2:$Z$501,0))=0,"",INDEX(Tasks!$P$2:$P$501,MATCH($Y163&amp;"|"&amp;2,Tasks!$Z$2:$Z$501,0))),"")</f>
        <v/>
      </c>
    </row>
    <row r="167" spans="1:28" ht="17" hidden="1" x14ac:dyDescent="0.5">
      <c r="C167" s="23" t="str">
        <f>IFERROR(INDEX(Tasks!$E$2:$E$501,MATCH($Y163&amp;"|"&amp;3,Tasks!$Z$2:$Z$501,0)),"")</f>
        <v/>
      </c>
      <c r="D167" s="24" t="str">
        <f>IFERROR(INDEX(Tasks!$F$2:$F$501,MATCH($Y163&amp;"|"&amp;3,Tasks!$Z$2:$Z$501,0)),"")</f>
        <v/>
      </c>
      <c r="E167" s="25" t="str">
        <f>IFERROR(IF(INDEX(Tasks!$K$2:$K$501,MATCH($Y163&amp;"|"&amp;3,Tasks!$Z$2:$Z$501,0))=0,"",INDEX(Tasks!$K$2:$K$501,MATCH($Y163&amp;"|"&amp;3,Tasks!$Z$2:$Z$501,0))),"")</f>
        <v/>
      </c>
      <c r="F167" s="24" t="str">
        <f>IFERROR(IF(INDEX(Tasks!$L$2:$L$501,MATCH($Y163&amp;"|"&amp;3,Tasks!$Z$2:$Z$501,0))=0,"",INDEX(Tasks!$L$2:$L$501,MATCH($Y163&amp;"|"&amp;3,Tasks!$Z$2:$Z$501,0))),"")</f>
        <v/>
      </c>
      <c r="G167" s="26" t="str">
        <f>IFERROR(IF(INDEX(Tasks!$P$2:$P$501,MATCH($Y163&amp;"|"&amp;3,Tasks!$Z$2:$Z$501,0))=0,"",INDEX(Tasks!$P$2:$P$501,MATCH($Y163&amp;"|"&amp;3,Tasks!$Z$2:$Z$501,0))),"")</f>
        <v/>
      </c>
    </row>
    <row r="168" spans="1:28" ht="17" hidden="1" x14ac:dyDescent="0.5">
      <c r="C168" s="23" t="str">
        <f>IFERROR(INDEX(Tasks!$E$2:$E$501,MATCH($Y163&amp;"|"&amp;4,Tasks!$Z$2:$Z$501,0)),"")</f>
        <v/>
      </c>
      <c r="D168" s="24" t="str">
        <f>IFERROR(INDEX(Tasks!$F$2:$F$501,MATCH($Y163&amp;"|"&amp;4,Tasks!$Z$2:$Z$501,0)),"")</f>
        <v/>
      </c>
      <c r="E168" s="25" t="str">
        <f>IFERROR(IF(INDEX(Tasks!$K$2:$K$501,MATCH($Y163&amp;"|"&amp;4,Tasks!$Z$2:$Z$501,0))=0,"",INDEX(Tasks!$K$2:$K$501,MATCH($Y163&amp;"|"&amp;4,Tasks!$Z$2:$Z$501,0))),"")</f>
        <v/>
      </c>
      <c r="F168" s="24" t="str">
        <f>IFERROR(IF(INDEX(Tasks!$L$2:$L$501,MATCH($Y163&amp;"|"&amp;4,Tasks!$Z$2:$Z$501,0))=0,"",INDEX(Tasks!$L$2:$L$501,MATCH($Y163&amp;"|"&amp;4,Tasks!$Z$2:$Z$501,0))),"")</f>
        <v/>
      </c>
      <c r="G168" s="26" t="str">
        <f>IFERROR(IF(INDEX(Tasks!$P$2:$P$501,MATCH($Y163&amp;"|"&amp;4,Tasks!$Z$2:$Z$501,0))=0,"",INDEX(Tasks!$P$2:$P$501,MATCH($Y163&amp;"|"&amp;4,Tasks!$Z$2:$Z$501,0))),"")</f>
        <v/>
      </c>
    </row>
    <row r="169" spans="1:28" ht="17" hidden="1" x14ac:dyDescent="0.5">
      <c r="C169" s="23" t="str">
        <f>IFERROR(INDEX(Tasks!$E$2:$E$501,MATCH($Y163&amp;"|"&amp;5,Tasks!$Z$2:$Z$501,0)),"")</f>
        <v/>
      </c>
      <c r="D169" s="24" t="str">
        <f>IFERROR(INDEX(Tasks!$F$2:$F$501,MATCH($Y163&amp;"|"&amp;5,Tasks!$Z$2:$Z$501,0)),"")</f>
        <v/>
      </c>
      <c r="E169" s="25" t="str">
        <f>IFERROR(IF(INDEX(Tasks!$K$2:$K$501,MATCH($Y163&amp;"|"&amp;5,Tasks!$Z$2:$Z$501,0))=0,"",INDEX(Tasks!$K$2:$K$501,MATCH($Y163&amp;"|"&amp;5,Tasks!$Z$2:$Z$501,0))),"")</f>
        <v/>
      </c>
      <c r="F169" s="24" t="str">
        <f>IFERROR(IF(INDEX(Tasks!$L$2:$L$501,MATCH($Y163&amp;"|"&amp;5,Tasks!$Z$2:$Z$501,0))=0,"",INDEX(Tasks!$L$2:$L$501,MATCH($Y163&amp;"|"&amp;5,Tasks!$Z$2:$Z$501,0))),"")</f>
        <v/>
      </c>
      <c r="G169" s="26" t="str">
        <f>IFERROR(IF(INDEX(Tasks!$P$2:$P$501,MATCH($Y163&amp;"|"&amp;5,Tasks!$Z$2:$Z$501,0))=0,"",INDEX(Tasks!$P$2:$P$501,MATCH($Y163&amp;"|"&amp;5,Tasks!$Z$2:$Z$501,0))),"")</f>
        <v/>
      </c>
    </row>
    <row r="170" spans="1:28" ht="17" hidden="1" x14ac:dyDescent="0.5">
      <c r="C170" s="23" t="str">
        <f>IFERROR(INDEX(Tasks!$E$2:$E$501,MATCH($Y163&amp;"|"&amp;6,Tasks!$Z$2:$Z$501,0)),"")</f>
        <v/>
      </c>
      <c r="D170" s="24" t="str">
        <f>IFERROR(INDEX(Tasks!$F$2:$F$501,MATCH($Y163&amp;"|"&amp;6,Tasks!$Z$2:$Z$501,0)),"")</f>
        <v/>
      </c>
      <c r="E170" s="25" t="str">
        <f>IFERROR(IF(INDEX(Tasks!$K$2:$K$501,MATCH($Y163&amp;"|"&amp;6,Tasks!$Z$2:$Z$501,0))=0,"",INDEX(Tasks!$K$2:$K$501,MATCH($Y163&amp;"|"&amp;6,Tasks!$Z$2:$Z$501,0))),"")</f>
        <v/>
      </c>
      <c r="F170" s="24" t="str">
        <f>IFERROR(IF(INDEX(Tasks!$L$2:$L$501,MATCH($Y163&amp;"|"&amp;6,Tasks!$Z$2:$Z$501,0))=0,"",INDEX(Tasks!$L$2:$L$501,MATCH($Y163&amp;"|"&amp;6,Tasks!$Z$2:$Z$501,0))),"")</f>
        <v/>
      </c>
      <c r="G170" s="26" t="str">
        <f>IFERROR(IF(INDEX(Tasks!$P$2:$P$501,MATCH($Y163&amp;"|"&amp;6,Tasks!$Z$2:$Z$501,0))=0,"",INDEX(Tasks!$P$2:$P$501,MATCH($Y163&amp;"|"&amp;6,Tasks!$Z$2:$Z$501,0))),"")</f>
        <v/>
      </c>
    </row>
    <row r="171" spans="1:28" ht="17" hidden="1" x14ac:dyDescent="0.5">
      <c r="C171" s="23" t="str">
        <f>IFERROR(INDEX(Tasks!$E$2:$E$501,MATCH($Y163&amp;"|"&amp;7,Tasks!$Z$2:$Z$501,0)),"")</f>
        <v/>
      </c>
      <c r="D171" s="24" t="str">
        <f>IFERROR(INDEX(Tasks!$F$2:$F$501,MATCH($Y163&amp;"|"&amp;7,Tasks!$Z$2:$Z$501,0)),"")</f>
        <v/>
      </c>
      <c r="E171" s="25" t="str">
        <f>IFERROR(IF(INDEX(Tasks!$K$2:$K$501,MATCH($Y163&amp;"|"&amp;7,Tasks!$Z$2:$Z$501,0))=0,"",INDEX(Tasks!$K$2:$K$501,MATCH($Y163&amp;"|"&amp;7,Tasks!$Z$2:$Z$501,0))),"")</f>
        <v/>
      </c>
      <c r="F171" s="24" t="str">
        <f>IFERROR(IF(INDEX(Tasks!$L$2:$L$501,MATCH($Y163&amp;"|"&amp;7,Tasks!$Z$2:$Z$501,0))=0,"",INDEX(Tasks!$L$2:$L$501,MATCH($Y163&amp;"|"&amp;7,Tasks!$Z$2:$Z$501,0))),"")</f>
        <v/>
      </c>
      <c r="G171" s="26" t="str">
        <f>IFERROR(IF(INDEX(Tasks!$P$2:$P$501,MATCH($Y163&amp;"|"&amp;7,Tasks!$Z$2:$Z$501,0))=0,"",INDEX(Tasks!$P$2:$P$501,MATCH($Y163&amp;"|"&amp;7,Tasks!$Z$2:$Z$501,0))),"")</f>
        <v/>
      </c>
    </row>
    <row r="172" spans="1:28" ht="17" hidden="1" x14ac:dyDescent="0.5">
      <c r="C172" s="23" t="str">
        <f>IF(N($D163)&gt;8,"+ "&amp;(N($D163)-7)&amp;" more — see Tasks",IFERROR(INDEX(Tasks!$E$2:$E$501,MATCH($Y163&amp;"|"&amp;8,Tasks!$Z$2:$Z$501,0)),""))</f>
        <v/>
      </c>
      <c r="D172" s="24" t="str">
        <f>IF(N($D163)&gt;8,"",IFERROR(INDEX(Tasks!$F$2:$F$501,MATCH($Y163&amp;"|"&amp;8,Tasks!$Z$2:$Z$501,0)),""))</f>
        <v/>
      </c>
      <c r="E172" s="25" t="str">
        <f>IF(N($D163)&gt;8,"",IFERROR(IF(INDEX(Tasks!$K$2:$K$501,MATCH($Y163&amp;"|"&amp;8,Tasks!$Z$2:$Z$501,0))=0,"",INDEX(Tasks!$K$2:$K$501,MATCH($Y163&amp;"|"&amp;8,Tasks!$Z$2:$Z$501,0))),""))</f>
        <v/>
      </c>
      <c r="F172" s="24" t="str">
        <f>IF(N($D163)&gt;8,"",IFERROR(IF(INDEX(Tasks!$L$2:$L$501,MATCH($Y163&amp;"|"&amp;8,Tasks!$Z$2:$Z$501,0))=0,"",INDEX(Tasks!$L$2:$L$501,MATCH($Y163&amp;"|"&amp;8,Tasks!$Z$2:$Z$501,0))),""))</f>
        <v/>
      </c>
      <c r="G172" s="26" t="str">
        <f>IF(N($D163)&gt;8,"",IFERROR(IF(INDEX(Tasks!$P$2:$P$501,MATCH($Y163&amp;"|"&amp;8,Tasks!$Z$2:$Z$501,0))=0,"",INDEX(Tasks!$P$2:$P$501,MATCH($Y163&amp;"|"&amp;8,Tasks!$Z$2:$Z$501,0))),""))</f>
        <v/>
      </c>
    </row>
    <row r="173" spans="1:28" ht="14.5" x14ac:dyDescent="0.35">
      <c r="A173" s="6"/>
      <c r="B173" s="6"/>
      <c r="C173" s="6"/>
      <c r="D173" s="5" t="str">
        <f>IF(COUNTIFS(Tasks!$V$2:$V$501,Y173)=0,"",COUNTIFS(Tasks!$V$2:$V$501,Y173))</f>
        <v/>
      </c>
      <c r="E173" s="18"/>
      <c r="F173" s="18"/>
      <c r="G173" s="6"/>
      <c r="H173" s="19" t="str">
        <f ca="1">IF(OR(E173="",F173=""),"",IF(E173=F173,IF(TODAY()&gt;=E173,1,0),MAX(0,MIN(1,(TODAY()-E173)/(F173-E173)))))</f>
        <v/>
      </c>
      <c r="I173" s="10"/>
      <c r="J173" s="20"/>
      <c r="AA173">
        <f ca="1">IF(TODAY()&lt;E173,E173-TODAY(),F173-TODAY())</f>
        <v>-46216</v>
      </c>
      <c r="AB173" t="str">
        <f ca="1">IF(AND(OR(G173="Planned",G173="Active"),ABS(AA173)&lt;=7),AA173+Y173/1000000,"")</f>
        <v/>
      </c>
    </row>
    <row r="174" spans="1:28" ht="15" hidden="1" x14ac:dyDescent="0.4">
      <c r="C174" s="21" t="s">
        <v>39</v>
      </c>
      <c r="D174" s="22" t="s">
        <v>40</v>
      </c>
      <c r="E174" s="22" t="s">
        <v>13</v>
      </c>
      <c r="F174" s="22" t="s">
        <v>14</v>
      </c>
      <c r="G174" s="22" t="s">
        <v>18</v>
      </c>
    </row>
    <row r="175" spans="1:28" ht="17" hidden="1" x14ac:dyDescent="0.5">
      <c r="C175" s="23" t="str">
        <f>IFERROR(INDEX(Tasks!$E$2:$E$501,MATCH($Y173&amp;"|"&amp;1,Tasks!$Z$2:$Z$501,0)),"")</f>
        <v/>
      </c>
      <c r="D175" s="24" t="str">
        <f>IFERROR(INDEX(Tasks!$F$2:$F$501,MATCH($Y173&amp;"|"&amp;1,Tasks!$Z$2:$Z$501,0)),"")</f>
        <v/>
      </c>
      <c r="E175" s="25" t="str">
        <f>IFERROR(IF(INDEX(Tasks!$K$2:$K$501,MATCH($Y173&amp;"|"&amp;1,Tasks!$Z$2:$Z$501,0))=0,"",INDEX(Tasks!$K$2:$K$501,MATCH($Y173&amp;"|"&amp;1,Tasks!$Z$2:$Z$501,0))),"")</f>
        <v/>
      </c>
      <c r="F175" s="24" t="str">
        <f>IFERROR(IF(INDEX(Tasks!$L$2:$L$501,MATCH($Y173&amp;"|"&amp;1,Tasks!$Z$2:$Z$501,0))=0,"",INDEX(Tasks!$L$2:$L$501,MATCH($Y173&amp;"|"&amp;1,Tasks!$Z$2:$Z$501,0))),"")</f>
        <v/>
      </c>
      <c r="G175" s="26" t="str">
        <f>IFERROR(IF(INDEX(Tasks!$P$2:$P$501,MATCH($Y173&amp;"|"&amp;1,Tasks!$Z$2:$Z$501,0))=0,"",INDEX(Tasks!$P$2:$P$501,MATCH($Y173&amp;"|"&amp;1,Tasks!$Z$2:$Z$501,0))),"")</f>
        <v/>
      </c>
    </row>
    <row r="176" spans="1:28" ht="17" hidden="1" x14ac:dyDescent="0.5">
      <c r="C176" s="23" t="str">
        <f>IFERROR(INDEX(Tasks!$E$2:$E$501,MATCH($Y173&amp;"|"&amp;2,Tasks!$Z$2:$Z$501,0)),"")</f>
        <v/>
      </c>
      <c r="D176" s="24" t="str">
        <f>IFERROR(INDEX(Tasks!$F$2:$F$501,MATCH($Y173&amp;"|"&amp;2,Tasks!$Z$2:$Z$501,0)),"")</f>
        <v/>
      </c>
      <c r="E176" s="25" t="str">
        <f>IFERROR(IF(INDEX(Tasks!$K$2:$K$501,MATCH($Y173&amp;"|"&amp;2,Tasks!$Z$2:$Z$501,0))=0,"",INDEX(Tasks!$K$2:$K$501,MATCH($Y173&amp;"|"&amp;2,Tasks!$Z$2:$Z$501,0))),"")</f>
        <v/>
      </c>
      <c r="F176" s="24" t="str">
        <f>IFERROR(IF(INDEX(Tasks!$L$2:$L$501,MATCH($Y173&amp;"|"&amp;2,Tasks!$Z$2:$Z$501,0))=0,"",INDEX(Tasks!$L$2:$L$501,MATCH($Y173&amp;"|"&amp;2,Tasks!$Z$2:$Z$501,0))),"")</f>
        <v/>
      </c>
      <c r="G176" s="26" t="str">
        <f>IFERROR(IF(INDEX(Tasks!$P$2:$P$501,MATCH($Y173&amp;"|"&amp;2,Tasks!$Z$2:$Z$501,0))=0,"",INDEX(Tasks!$P$2:$P$501,MATCH($Y173&amp;"|"&amp;2,Tasks!$Z$2:$Z$501,0))),"")</f>
        <v/>
      </c>
    </row>
    <row r="177" spans="1:28" ht="17" hidden="1" x14ac:dyDescent="0.5">
      <c r="C177" s="23" t="str">
        <f>IFERROR(INDEX(Tasks!$E$2:$E$501,MATCH($Y173&amp;"|"&amp;3,Tasks!$Z$2:$Z$501,0)),"")</f>
        <v/>
      </c>
      <c r="D177" s="24" t="str">
        <f>IFERROR(INDEX(Tasks!$F$2:$F$501,MATCH($Y173&amp;"|"&amp;3,Tasks!$Z$2:$Z$501,0)),"")</f>
        <v/>
      </c>
      <c r="E177" s="25" t="str">
        <f>IFERROR(IF(INDEX(Tasks!$K$2:$K$501,MATCH($Y173&amp;"|"&amp;3,Tasks!$Z$2:$Z$501,0))=0,"",INDEX(Tasks!$K$2:$K$501,MATCH($Y173&amp;"|"&amp;3,Tasks!$Z$2:$Z$501,0))),"")</f>
        <v/>
      </c>
      <c r="F177" s="24" t="str">
        <f>IFERROR(IF(INDEX(Tasks!$L$2:$L$501,MATCH($Y173&amp;"|"&amp;3,Tasks!$Z$2:$Z$501,0))=0,"",INDEX(Tasks!$L$2:$L$501,MATCH($Y173&amp;"|"&amp;3,Tasks!$Z$2:$Z$501,0))),"")</f>
        <v/>
      </c>
      <c r="G177" s="26" t="str">
        <f>IFERROR(IF(INDEX(Tasks!$P$2:$P$501,MATCH($Y173&amp;"|"&amp;3,Tasks!$Z$2:$Z$501,0))=0,"",INDEX(Tasks!$P$2:$P$501,MATCH($Y173&amp;"|"&amp;3,Tasks!$Z$2:$Z$501,0))),"")</f>
        <v/>
      </c>
    </row>
    <row r="178" spans="1:28" ht="17" hidden="1" x14ac:dyDescent="0.5">
      <c r="C178" s="23" t="str">
        <f>IFERROR(INDEX(Tasks!$E$2:$E$501,MATCH($Y173&amp;"|"&amp;4,Tasks!$Z$2:$Z$501,0)),"")</f>
        <v/>
      </c>
      <c r="D178" s="24" t="str">
        <f>IFERROR(INDEX(Tasks!$F$2:$F$501,MATCH($Y173&amp;"|"&amp;4,Tasks!$Z$2:$Z$501,0)),"")</f>
        <v/>
      </c>
      <c r="E178" s="25" t="str">
        <f>IFERROR(IF(INDEX(Tasks!$K$2:$K$501,MATCH($Y173&amp;"|"&amp;4,Tasks!$Z$2:$Z$501,0))=0,"",INDEX(Tasks!$K$2:$K$501,MATCH($Y173&amp;"|"&amp;4,Tasks!$Z$2:$Z$501,0))),"")</f>
        <v/>
      </c>
      <c r="F178" s="24" t="str">
        <f>IFERROR(IF(INDEX(Tasks!$L$2:$L$501,MATCH($Y173&amp;"|"&amp;4,Tasks!$Z$2:$Z$501,0))=0,"",INDEX(Tasks!$L$2:$L$501,MATCH($Y173&amp;"|"&amp;4,Tasks!$Z$2:$Z$501,0))),"")</f>
        <v/>
      </c>
      <c r="G178" s="26" t="str">
        <f>IFERROR(IF(INDEX(Tasks!$P$2:$P$501,MATCH($Y173&amp;"|"&amp;4,Tasks!$Z$2:$Z$501,0))=0,"",INDEX(Tasks!$P$2:$P$501,MATCH($Y173&amp;"|"&amp;4,Tasks!$Z$2:$Z$501,0))),"")</f>
        <v/>
      </c>
    </row>
    <row r="179" spans="1:28" ht="17" hidden="1" x14ac:dyDescent="0.5">
      <c r="C179" s="23" t="str">
        <f>IFERROR(INDEX(Tasks!$E$2:$E$501,MATCH($Y173&amp;"|"&amp;5,Tasks!$Z$2:$Z$501,0)),"")</f>
        <v/>
      </c>
      <c r="D179" s="24" t="str">
        <f>IFERROR(INDEX(Tasks!$F$2:$F$501,MATCH($Y173&amp;"|"&amp;5,Tasks!$Z$2:$Z$501,0)),"")</f>
        <v/>
      </c>
      <c r="E179" s="25" t="str">
        <f>IFERROR(IF(INDEX(Tasks!$K$2:$K$501,MATCH($Y173&amp;"|"&amp;5,Tasks!$Z$2:$Z$501,0))=0,"",INDEX(Tasks!$K$2:$K$501,MATCH($Y173&amp;"|"&amp;5,Tasks!$Z$2:$Z$501,0))),"")</f>
        <v/>
      </c>
      <c r="F179" s="24" t="str">
        <f>IFERROR(IF(INDEX(Tasks!$L$2:$L$501,MATCH($Y173&amp;"|"&amp;5,Tasks!$Z$2:$Z$501,0))=0,"",INDEX(Tasks!$L$2:$L$501,MATCH($Y173&amp;"|"&amp;5,Tasks!$Z$2:$Z$501,0))),"")</f>
        <v/>
      </c>
      <c r="G179" s="26" t="str">
        <f>IFERROR(IF(INDEX(Tasks!$P$2:$P$501,MATCH($Y173&amp;"|"&amp;5,Tasks!$Z$2:$Z$501,0))=0,"",INDEX(Tasks!$P$2:$P$501,MATCH($Y173&amp;"|"&amp;5,Tasks!$Z$2:$Z$501,0))),"")</f>
        <v/>
      </c>
    </row>
    <row r="180" spans="1:28" ht="17" hidden="1" x14ac:dyDescent="0.5">
      <c r="C180" s="23" t="str">
        <f>IFERROR(INDEX(Tasks!$E$2:$E$501,MATCH($Y173&amp;"|"&amp;6,Tasks!$Z$2:$Z$501,0)),"")</f>
        <v/>
      </c>
      <c r="D180" s="24" t="str">
        <f>IFERROR(INDEX(Tasks!$F$2:$F$501,MATCH($Y173&amp;"|"&amp;6,Tasks!$Z$2:$Z$501,0)),"")</f>
        <v/>
      </c>
      <c r="E180" s="25" t="str">
        <f>IFERROR(IF(INDEX(Tasks!$K$2:$K$501,MATCH($Y173&amp;"|"&amp;6,Tasks!$Z$2:$Z$501,0))=0,"",INDEX(Tasks!$K$2:$K$501,MATCH($Y173&amp;"|"&amp;6,Tasks!$Z$2:$Z$501,0))),"")</f>
        <v/>
      </c>
      <c r="F180" s="24" t="str">
        <f>IFERROR(IF(INDEX(Tasks!$L$2:$L$501,MATCH($Y173&amp;"|"&amp;6,Tasks!$Z$2:$Z$501,0))=0,"",INDEX(Tasks!$L$2:$L$501,MATCH($Y173&amp;"|"&amp;6,Tasks!$Z$2:$Z$501,0))),"")</f>
        <v/>
      </c>
      <c r="G180" s="26" t="str">
        <f>IFERROR(IF(INDEX(Tasks!$P$2:$P$501,MATCH($Y173&amp;"|"&amp;6,Tasks!$Z$2:$Z$501,0))=0,"",INDEX(Tasks!$P$2:$P$501,MATCH($Y173&amp;"|"&amp;6,Tasks!$Z$2:$Z$501,0))),"")</f>
        <v/>
      </c>
    </row>
    <row r="181" spans="1:28" ht="17" hidden="1" x14ac:dyDescent="0.5">
      <c r="C181" s="23" t="str">
        <f>IFERROR(INDEX(Tasks!$E$2:$E$501,MATCH($Y173&amp;"|"&amp;7,Tasks!$Z$2:$Z$501,0)),"")</f>
        <v/>
      </c>
      <c r="D181" s="24" t="str">
        <f>IFERROR(INDEX(Tasks!$F$2:$F$501,MATCH($Y173&amp;"|"&amp;7,Tasks!$Z$2:$Z$501,0)),"")</f>
        <v/>
      </c>
      <c r="E181" s="25" t="str">
        <f>IFERROR(IF(INDEX(Tasks!$K$2:$K$501,MATCH($Y173&amp;"|"&amp;7,Tasks!$Z$2:$Z$501,0))=0,"",INDEX(Tasks!$K$2:$K$501,MATCH($Y173&amp;"|"&amp;7,Tasks!$Z$2:$Z$501,0))),"")</f>
        <v/>
      </c>
      <c r="F181" s="24" t="str">
        <f>IFERROR(IF(INDEX(Tasks!$L$2:$L$501,MATCH($Y173&amp;"|"&amp;7,Tasks!$Z$2:$Z$501,0))=0,"",INDEX(Tasks!$L$2:$L$501,MATCH($Y173&amp;"|"&amp;7,Tasks!$Z$2:$Z$501,0))),"")</f>
        <v/>
      </c>
      <c r="G181" s="26" t="str">
        <f>IFERROR(IF(INDEX(Tasks!$P$2:$P$501,MATCH($Y173&amp;"|"&amp;7,Tasks!$Z$2:$Z$501,0))=0,"",INDEX(Tasks!$P$2:$P$501,MATCH($Y173&amp;"|"&amp;7,Tasks!$Z$2:$Z$501,0))),"")</f>
        <v/>
      </c>
    </row>
    <row r="182" spans="1:28" ht="17" hidden="1" x14ac:dyDescent="0.5">
      <c r="C182" s="23" t="str">
        <f>IF(N($D173)&gt;8,"+ "&amp;(N($D173)-7)&amp;" more — see Tasks",IFERROR(INDEX(Tasks!$E$2:$E$501,MATCH($Y173&amp;"|"&amp;8,Tasks!$Z$2:$Z$501,0)),""))</f>
        <v/>
      </c>
      <c r="D182" s="24" t="str">
        <f>IF(N($D173)&gt;8,"",IFERROR(INDEX(Tasks!$F$2:$F$501,MATCH($Y173&amp;"|"&amp;8,Tasks!$Z$2:$Z$501,0)),""))</f>
        <v/>
      </c>
      <c r="E182" s="25" t="str">
        <f>IF(N($D173)&gt;8,"",IFERROR(IF(INDEX(Tasks!$K$2:$K$501,MATCH($Y173&amp;"|"&amp;8,Tasks!$Z$2:$Z$501,0))=0,"",INDEX(Tasks!$K$2:$K$501,MATCH($Y173&amp;"|"&amp;8,Tasks!$Z$2:$Z$501,0))),""))</f>
        <v/>
      </c>
      <c r="F182" s="24" t="str">
        <f>IF(N($D173)&gt;8,"",IFERROR(IF(INDEX(Tasks!$L$2:$L$501,MATCH($Y173&amp;"|"&amp;8,Tasks!$Z$2:$Z$501,0))=0,"",INDEX(Tasks!$L$2:$L$501,MATCH($Y173&amp;"|"&amp;8,Tasks!$Z$2:$Z$501,0))),""))</f>
        <v/>
      </c>
      <c r="G182" s="26" t="str">
        <f>IF(N($D173)&gt;8,"",IFERROR(IF(INDEX(Tasks!$P$2:$P$501,MATCH($Y173&amp;"|"&amp;8,Tasks!$Z$2:$Z$501,0))=0,"",INDEX(Tasks!$P$2:$P$501,MATCH($Y173&amp;"|"&amp;8,Tasks!$Z$2:$Z$501,0))),""))</f>
        <v/>
      </c>
    </row>
    <row r="183" spans="1:28" ht="14.5" x14ac:dyDescent="0.35">
      <c r="A183" s="6"/>
      <c r="B183" s="6"/>
      <c r="C183" s="6"/>
      <c r="D183" s="5" t="str">
        <f>IF(COUNTIFS(Tasks!$V$2:$V$501,Y183)=0,"",COUNTIFS(Tasks!$V$2:$V$501,Y183))</f>
        <v/>
      </c>
      <c r="E183" s="18"/>
      <c r="F183" s="18"/>
      <c r="G183" s="6"/>
      <c r="H183" s="19" t="str">
        <f ca="1">IF(OR(E183="",F183=""),"",IF(E183=F183,IF(TODAY()&gt;=E183,1,0),MAX(0,MIN(1,(TODAY()-E183)/(F183-E183)))))</f>
        <v/>
      </c>
      <c r="I183" s="10"/>
      <c r="J183" s="20"/>
      <c r="AA183">
        <f ca="1">IF(TODAY()&lt;E183,E183-TODAY(),F183-TODAY())</f>
        <v>-46216</v>
      </c>
      <c r="AB183" t="str">
        <f ca="1">IF(AND(OR(G183="Planned",G183="Active"),ABS(AA183)&lt;=7),AA183+Y183/1000000,"")</f>
        <v/>
      </c>
    </row>
    <row r="184" spans="1:28" ht="15" hidden="1" x14ac:dyDescent="0.4">
      <c r="C184" s="21" t="s">
        <v>39</v>
      </c>
      <c r="D184" s="22" t="s">
        <v>40</v>
      </c>
      <c r="E184" s="22" t="s">
        <v>13</v>
      </c>
      <c r="F184" s="22" t="s">
        <v>14</v>
      </c>
      <c r="G184" s="22" t="s">
        <v>18</v>
      </c>
    </row>
    <row r="185" spans="1:28" ht="17" hidden="1" x14ac:dyDescent="0.5">
      <c r="C185" s="23" t="str">
        <f>IFERROR(INDEX(Tasks!$E$2:$E$501,MATCH($Y183&amp;"|"&amp;1,Tasks!$Z$2:$Z$501,0)),"")</f>
        <v/>
      </c>
      <c r="D185" s="24" t="str">
        <f>IFERROR(INDEX(Tasks!$F$2:$F$501,MATCH($Y183&amp;"|"&amp;1,Tasks!$Z$2:$Z$501,0)),"")</f>
        <v/>
      </c>
      <c r="E185" s="25" t="str">
        <f>IFERROR(IF(INDEX(Tasks!$K$2:$K$501,MATCH($Y183&amp;"|"&amp;1,Tasks!$Z$2:$Z$501,0))=0,"",INDEX(Tasks!$K$2:$K$501,MATCH($Y183&amp;"|"&amp;1,Tasks!$Z$2:$Z$501,0))),"")</f>
        <v/>
      </c>
      <c r="F185" s="24" t="str">
        <f>IFERROR(IF(INDEX(Tasks!$L$2:$L$501,MATCH($Y183&amp;"|"&amp;1,Tasks!$Z$2:$Z$501,0))=0,"",INDEX(Tasks!$L$2:$L$501,MATCH($Y183&amp;"|"&amp;1,Tasks!$Z$2:$Z$501,0))),"")</f>
        <v/>
      </c>
      <c r="G185" s="26" t="str">
        <f>IFERROR(IF(INDEX(Tasks!$P$2:$P$501,MATCH($Y183&amp;"|"&amp;1,Tasks!$Z$2:$Z$501,0))=0,"",INDEX(Tasks!$P$2:$P$501,MATCH($Y183&amp;"|"&amp;1,Tasks!$Z$2:$Z$501,0))),"")</f>
        <v/>
      </c>
    </row>
    <row r="186" spans="1:28" ht="17" hidden="1" x14ac:dyDescent="0.5">
      <c r="C186" s="23" t="str">
        <f>IFERROR(INDEX(Tasks!$E$2:$E$501,MATCH($Y183&amp;"|"&amp;2,Tasks!$Z$2:$Z$501,0)),"")</f>
        <v/>
      </c>
      <c r="D186" s="24" t="str">
        <f>IFERROR(INDEX(Tasks!$F$2:$F$501,MATCH($Y183&amp;"|"&amp;2,Tasks!$Z$2:$Z$501,0)),"")</f>
        <v/>
      </c>
      <c r="E186" s="25" t="str">
        <f>IFERROR(IF(INDEX(Tasks!$K$2:$K$501,MATCH($Y183&amp;"|"&amp;2,Tasks!$Z$2:$Z$501,0))=0,"",INDEX(Tasks!$K$2:$K$501,MATCH($Y183&amp;"|"&amp;2,Tasks!$Z$2:$Z$501,0))),"")</f>
        <v/>
      </c>
      <c r="F186" s="24" t="str">
        <f>IFERROR(IF(INDEX(Tasks!$L$2:$L$501,MATCH($Y183&amp;"|"&amp;2,Tasks!$Z$2:$Z$501,0))=0,"",INDEX(Tasks!$L$2:$L$501,MATCH($Y183&amp;"|"&amp;2,Tasks!$Z$2:$Z$501,0))),"")</f>
        <v/>
      </c>
      <c r="G186" s="26" t="str">
        <f>IFERROR(IF(INDEX(Tasks!$P$2:$P$501,MATCH($Y183&amp;"|"&amp;2,Tasks!$Z$2:$Z$501,0))=0,"",INDEX(Tasks!$P$2:$P$501,MATCH($Y183&amp;"|"&amp;2,Tasks!$Z$2:$Z$501,0))),"")</f>
        <v/>
      </c>
    </row>
    <row r="187" spans="1:28" ht="17" hidden="1" x14ac:dyDescent="0.5">
      <c r="C187" s="23" t="str">
        <f>IFERROR(INDEX(Tasks!$E$2:$E$501,MATCH($Y183&amp;"|"&amp;3,Tasks!$Z$2:$Z$501,0)),"")</f>
        <v/>
      </c>
      <c r="D187" s="24" t="str">
        <f>IFERROR(INDEX(Tasks!$F$2:$F$501,MATCH($Y183&amp;"|"&amp;3,Tasks!$Z$2:$Z$501,0)),"")</f>
        <v/>
      </c>
      <c r="E187" s="25" t="str">
        <f>IFERROR(IF(INDEX(Tasks!$K$2:$K$501,MATCH($Y183&amp;"|"&amp;3,Tasks!$Z$2:$Z$501,0))=0,"",INDEX(Tasks!$K$2:$K$501,MATCH($Y183&amp;"|"&amp;3,Tasks!$Z$2:$Z$501,0))),"")</f>
        <v/>
      </c>
      <c r="F187" s="24" t="str">
        <f>IFERROR(IF(INDEX(Tasks!$L$2:$L$501,MATCH($Y183&amp;"|"&amp;3,Tasks!$Z$2:$Z$501,0))=0,"",INDEX(Tasks!$L$2:$L$501,MATCH($Y183&amp;"|"&amp;3,Tasks!$Z$2:$Z$501,0))),"")</f>
        <v/>
      </c>
      <c r="G187" s="26" t="str">
        <f>IFERROR(IF(INDEX(Tasks!$P$2:$P$501,MATCH($Y183&amp;"|"&amp;3,Tasks!$Z$2:$Z$501,0))=0,"",INDEX(Tasks!$P$2:$P$501,MATCH($Y183&amp;"|"&amp;3,Tasks!$Z$2:$Z$501,0))),"")</f>
        <v/>
      </c>
    </row>
    <row r="188" spans="1:28" ht="17" hidden="1" x14ac:dyDescent="0.5">
      <c r="C188" s="23" t="str">
        <f>IFERROR(INDEX(Tasks!$E$2:$E$501,MATCH($Y183&amp;"|"&amp;4,Tasks!$Z$2:$Z$501,0)),"")</f>
        <v/>
      </c>
      <c r="D188" s="24" t="str">
        <f>IFERROR(INDEX(Tasks!$F$2:$F$501,MATCH($Y183&amp;"|"&amp;4,Tasks!$Z$2:$Z$501,0)),"")</f>
        <v/>
      </c>
      <c r="E188" s="25" t="str">
        <f>IFERROR(IF(INDEX(Tasks!$K$2:$K$501,MATCH($Y183&amp;"|"&amp;4,Tasks!$Z$2:$Z$501,0))=0,"",INDEX(Tasks!$K$2:$K$501,MATCH($Y183&amp;"|"&amp;4,Tasks!$Z$2:$Z$501,0))),"")</f>
        <v/>
      </c>
      <c r="F188" s="24" t="str">
        <f>IFERROR(IF(INDEX(Tasks!$L$2:$L$501,MATCH($Y183&amp;"|"&amp;4,Tasks!$Z$2:$Z$501,0))=0,"",INDEX(Tasks!$L$2:$L$501,MATCH($Y183&amp;"|"&amp;4,Tasks!$Z$2:$Z$501,0))),"")</f>
        <v/>
      </c>
      <c r="G188" s="26" t="str">
        <f>IFERROR(IF(INDEX(Tasks!$P$2:$P$501,MATCH($Y183&amp;"|"&amp;4,Tasks!$Z$2:$Z$501,0))=0,"",INDEX(Tasks!$P$2:$P$501,MATCH($Y183&amp;"|"&amp;4,Tasks!$Z$2:$Z$501,0))),"")</f>
        <v/>
      </c>
    </row>
    <row r="189" spans="1:28" ht="17" hidden="1" x14ac:dyDescent="0.5">
      <c r="C189" s="23" t="str">
        <f>IFERROR(INDEX(Tasks!$E$2:$E$501,MATCH($Y183&amp;"|"&amp;5,Tasks!$Z$2:$Z$501,0)),"")</f>
        <v/>
      </c>
      <c r="D189" s="24" t="str">
        <f>IFERROR(INDEX(Tasks!$F$2:$F$501,MATCH($Y183&amp;"|"&amp;5,Tasks!$Z$2:$Z$501,0)),"")</f>
        <v/>
      </c>
      <c r="E189" s="25" t="str">
        <f>IFERROR(IF(INDEX(Tasks!$K$2:$K$501,MATCH($Y183&amp;"|"&amp;5,Tasks!$Z$2:$Z$501,0))=0,"",INDEX(Tasks!$K$2:$K$501,MATCH($Y183&amp;"|"&amp;5,Tasks!$Z$2:$Z$501,0))),"")</f>
        <v/>
      </c>
      <c r="F189" s="24" t="str">
        <f>IFERROR(IF(INDEX(Tasks!$L$2:$L$501,MATCH($Y183&amp;"|"&amp;5,Tasks!$Z$2:$Z$501,0))=0,"",INDEX(Tasks!$L$2:$L$501,MATCH($Y183&amp;"|"&amp;5,Tasks!$Z$2:$Z$501,0))),"")</f>
        <v/>
      </c>
      <c r="G189" s="26" t="str">
        <f>IFERROR(IF(INDEX(Tasks!$P$2:$P$501,MATCH($Y183&amp;"|"&amp;5,Tasks!$Z$2:$Z$501,0))=0,"",INDEX(Tasks!$P$2:$P$501,MATCH($Y183&amp;"|"&amp;5,Tasks!$Z$2:$Z$501,0))),"")</f>
        <v/>
      </c>
    </row>
    <row r="190" spans="1:28" ht="17" hidden="1" x14ac:dyDescent="0.5">
      <c r="C190" s="23" t="str">
        <f>IFERROR(INDEX(Tasks!$E$2:$E$501,MATCH($Y183&amp;"|"&amp;6,Tasks!$Z$2:$Z$501,0)),"")</f>
        <v/>
      </c>
      <c r="D190" s="24" t="str">
        <f>IFERROR(INDEX(Tasks!$F$2:$F$501,MATCH($Y183&amp;"|"&amp;6,Tasks!$Z$2:$Z$501,0)),"")</f>
        <v/>
      </c>
      <c r="E190" s="25" t="str">
        <f>IFERROR(IF(INDEX(Tasks!$K$2:$K$501,MATCH($Y183&amp;"|"&amp;6,Tasks!$Z$2:$Z$501,0))=0,"",INDEX(Tasks!$K$2:$K$501,MATCH($Y183&amp;"|"&amp;6,Tasks!$Z$2:$Z$501,0))),"")</f>
        <v/>
      </c>
      <c r="F190" s="24" t="str">
        <f>IFERROR(IF(INDEX(Tasks!$L$2:$L$501,MATCH($Y183&amp;"|"&amp;6,Tasks!$Z$2:$Z$501,0))=0,"",INDEX(Tasks!$L$2:$L$501,MATCH($Y183&amp;"|"&amp;6,Tasks!$Z$2:$Z$501,0))),"")</f>
        <v/>
      </c>
      <c r="G190" s="26" t="str">
        <f>IFERROR(IF(INDEX(Tasks!$P$2:$P$501,MATCH($Y183&amp;"|"&amp;6,Tasks!$Z$2:$Z$501,0))=0,"",INDEX(Tasks!$P$2:$P$501,MATCH($Y183&amp;"|"&amp;6,Tasks!$Z$2:$Z$501,0))),"")</f>
        <v/>
      </c>
    </row>
    <row r="191" spans="1:28" ht="17" hidden="1" x14ac:dyDescent="0.5">
      <c r="C191" s="23" t="str">
        <f>IFERROR(INDEX(Tasks!$E$2:$E$501,MATCH($Y183&amp;"|"&amp;7,Tasks!$Z$2:$Z$501,0)),"")</f>
        <v/>
      </c>
      <c r="D191" s="24" t="str">
        <f>IFERROR(INDEX(Tasks!$F$2:$F$501,MATCH($Y183&amp;"|"&amp;7,Tasks!$Z$2:$Z$501,0)),"")</f>
        <v/>
      </c>
      <c r="E191" s="25" t="str">
        <f>IFERROR(IF(INDEX(Tasks!$K$2:$K$501,MATCH($Y183&amp;"|"&amp;7,Tasks!$Z$2:$Z$501,0))=0,"",INDEX(Tasks!$K$2:$K$501,MATCH($Y183&amp;"|"&amp;7,Tasks!$Z$2:$Z$501,0))),"")</f>
        <v/>
      </c>
      <c r="F191" s="24" t="str">
        <f>IFERROR(IF(INDEX(Tasks!$L$2:$L$501,MATCH($Y183&amp;"|"&amp;7,Tasks!$Z$2:$Z$501,0))=0,"",INDEX(Tasks!$L$2:$L$501,MATCH($Y183&amp;"|"&amp;7,Tasks!$Z$2:$Z$501,0))),"")</f>
        <v/>
      </c>
      <c r="G191" s="26" t="str">
        <f>IFERROR(IF(INDEX(Tasks!$P$2:$P$501,MATCH($Y183&amp;"|"&amp;7,Tasks!$Z$2:$Z$501,0))=0,"",INDEX(Tasks!$P$2:$P$501,MATCH($Y183&amp;"|"&amp;7,Tasks!$Z$2:$Z$501,0))),"")</f>
        <v/>
      </c>
    </row>
    <row r="192" spans="1:28" ht="17" hidden="1" x14ac:dyDescent="0.5">
      <c r="C192" s="23" t="str">
        <f>IF(N($D183)&gt;8,"+ "&amp;(N($D183)-7)&amp;" more — see Tasks",IFERROR(INDEX(Tasks!$E$2:$E$501,MATCH($Y183&amp;"|"&amp;8,Tasks!$Z$2:$Z$501,0)),""))</f>
        <v/>
      </c>
      <c r="D192" s="24" t="str">
        <f>IF(N($D183)&gt;8,"",IFERROR(INDEX(Tasks!$F$2:$F$501,MATCH($Y183&amp;"|"&amp;8,Tasks!$Z$2:$Z$501,0)),""))</f>
        <v/>
      </c>
      <c r="E192" s="25" t="str">
        <f>IF(N($D183)&gt;8,"",IFERROR(IF(INDEX(Tasks!$K$2:$K$501,MATCH($Y183&amp;"|"&amp;8,Tasks!$Z$2:$Z$501,0))=0,"",INDEX(Tasks!$K$2:$K$501,MATCH($Y183&amp;"|"&amp;8,Tasks!$Z$2:$Z$501,0))),""))</f>
        <v/>
      </c>
      <c r="F192" s="24" t="str">
        <f>IF(N($D183)&gt;8,"",IFERROR(IF(INDEX(Tasks!$L$2:$L$501,MATCH($Y183&amp;"|"&amp;8,Tasks!$Z$2:$Z$501,0))=0,"",INDEX(Tasks!$L$2:$L$501,MATCH($Y183&amp;"|"&amp;8,Tasks!$Z$2:$Z$501,0))),""))</f>
        <v/>
      </c>
      <c r="G192" s="26" t="str">
        <f>IF(N($D183)&gt;8,"",IFERROR(IF(INDEX(Tasks!$P$2:$P$501,MATCH($Y183&amp;"|"&amp;8,Tasks!$Z$2:$Z$501,0))=0,"",INDEX(Tasks!$P$2:$P$501,MATCH($Y183&amp;"|"&amp;8,Tasks!$Z$2:$Z$501,0))),""))</f>
        <v/>
      </c>
    </row>
    <row r="193" spans="1:28" ht="14.5" x14ac:dyDescent="0.35">
      <c r="A193" s="6"/>
      <c r="B193" s="6"/>
      <c r="C193" s="6"/>
      <c r="D193" s="5" t="str">
        <f>IF(COUNTIFS(Tasks!$V$2:$V$501,Y193)=0,"",COUNTIFS(Tasks!$V$2:$V$501,Y193))</f>
        <v/>
      </c>
      <c r="E193" s="18"/>
      <c r="F193" s="18"/>
      <c r="G193" s="6"/>
      <c r="H193" s="19" t="str">
        <f ca="1">IF(OR(E193="",F193=""),"",IF(E193=F193,IF(TODAY()&gt;=E193,1,0),MAX(0,MIN(1,(TODAY()-E193)/(F193-E193)))))</f>
        <v/>
      </c>
      <c r="I193" s="10"/>
      <c r="J193" s="20"/>
      <c r="AA193">
        <f ca="1">IF(TODAY()&lt;E193,E193-TODAY(),F193-TODAY())</f>
        <v>-46216</v>
      </c>
      <c r="AB193" t="str">
        <f ca="1">IF(AND(OR(G193="Planned",G193="Active"),ABS(AA193)&lt;=7),AA193+Y193/1000000,"")</f>
        <v/>
      </c>
    </row>
    <row r="194" spans="1:28" ht="15" hidden="1" x14ac:dyDescent="0.4">
      <c r="C194" s="21" t="s">
        <v>39</v>
      </c>
      <c r="D194" s="22" t="s">
        <v>40</v>
      </c>
      <c r="E194" s="22" t="s">
        <v>13</v>
      </c>
      <c r="F194" s="22" t="s">
        <v>14</v>
      </c>
      <c r="G194" s="22" t="s">
        <v>18</v>
      </c>
    </row>
    <row r="195" spans="1:28" ht="17" hidden="1" x14ac:dyDescent="0.5">
      <c r="C195" s="23" t="str">
        <f>IFERROR(INDEX(Tasks!$E$2:$E$501,MATCH($Y193&amp;"|"&amp;1,Tasks!$Z$2:$Z$501,0)),"")</f>
        <v/>
      </c>
      <c r="D195" s="24" t="str">
        <f>IFERROR(INDEX(Tasks!$F$2:$F$501,MATCH($Y193&amp;"|"&amp;1,Tasks!$Z$2:$Z$501,0)),"")</f>
        <v/>
      </c>
      <c r="E195" s="25" t="str">
        <f>IFERROR(IF(INDEX(Tasks!$K$2:$K$501,MATCH($Y193&amp;"|"&amp;1,Tasks!$Z$2:$Z$501,0))=0,"",INDEX(Tasks!$K$2:$K$501,MATCH($Y193&amp;"|"&amp;1,Tasks!$Z$2:$Z$501,0))),"")</f>
        <v/>
      </c>
      <c r="F195" s="24" t="str">
        <f>IFERROR(IF(INDEX(Tasks!$L$2:$L$501,MATCH($Y193&amp;"|"&amp;1,Tasks!$Z$2:$Z$501,0))=0,"",INDEX(Tasks!$L$2:$L$501,MATCH($Y193&amp;"|"&amp;1,Tasks!$Z$2:$Z$501,0))),"")</f>
        <v/>
      </c>
      <c r="G195" s="26" t="str">
        <f>IFERROR(IF(INDEX(Tasks!$P$2:$P$501,MATCH($Y193&amp;"|"&amp;1,Tasks!$Z$2:$Z$501,0))=0,"",INDEX(Tasks!$P$2:$P$501,MATCH($Y193&amp;"|"&amp;1,Tasks!$Z$2:$Z$501,0))),"")</f>
        <v/>
      </c>
    </row>
    <row r="196" spans="1:28" ht="17" hidden="1" x14ac:dyDescent="0.5">
      <c r="C196" s="23" t="str">
        <f>IFERROR(INDEX(Tasks!$E$2:$E$501,MATCH($Y193&amp;"|"&amp;2,Tasks!$Z$2:$Z$501,0)),"")</f>
        <v/>
      </c>
      <c r="D196" s="24" t="str">
        <f>IFERROR(INDEX(Tasks!$F$2:$F$501,MATCH($Y193&amp;"|"&amp;2,Tasks!$Z$2:$Z$501,0)),"")</f>
        <v/>
      </c>
      <c r="E196" s="25" t="str">
        <f>IFERROR(IF(INDEX(Tasks!$K$2:$K$501,MATCH($Y193&amp;"|"&amp;2,Tasks!$Z$2:$Z$501,0))=0,"",INDEX(Tasks!$K$2:$K$501,MATCH($Y193&amp;"|"&amp;2,Tasks!$Z$2:$Z$501,0))),"")</f>
        <v/>
      </c>
      <c r="F196" s="24" t="str">
        <f>IFERROR(IF(INDEX(Tasks!$L$2:$L$501,MATCH($Y193&amp;"|"&amp;2,Tasks!$Z$2:$Z$501,0))=0,"",INDEX(Tasks!$L$2:$L$501,MATCH($Y193&amp;"|"&amp;2,Tasks!$Z$2:$Z$501,0))),"")</f>
        <v/>
      </c>
      <c r="G196" s="26" t="str">
        <f>IFERROR(IF(INDEX(Tasks!$P$2:$P$501,MATCH($Y193&amp;"|"&amp;2,Tasks!$Z$2:$Z$501,0))=0,"",INDEX(Tasks!$P$2:$P$501,MATCH($Y193&amp;"|"&amp;2,Tasks!$Z$2:$Z$501,0))),"")</f>
        <v/>
      </c>
    </row>
    <row r="197" spans="1:28" ht="17" hidden="1" x14ac:dyDescent="0.5">
      <c r="C197" s="23" t="str">
        <f>IFERROR(INDEX(Tasks!$E$2:$E$501,MATCH($Y193&amp;"|"&amp;3,Tasks!$Z$2:$Z$501,0)),"")</f>
        <v/>
      </c>
      <c r="D197" s="24" t="str">
        <f>IFERROR(INDEX(Tasks!$F$2:$F$501,MATCH($Y193&amp;"|"&amp;3,Tasks!$Z$2:$Z$501,0)),"")</f>
        <v/>
      </c>
      <c r="E197" s="25" t="str">
        <f>IFERROR(IF(INDEX(Tasks!$K$2:$K$501,MATCH($Y193&amp;"|"&amp;3,Tasks!$Z$2:$Z$501,0))=0,"",INDEX(Tasks!$K$2:$K$501,MATCH($Y193&amp;"|"&amp;3,Tasks!$Z$2:$Z$501,0))),"")</f>
        <v/>
      </c>
      <c r="F197" s="24" t="str">
        <f>IFERROR(IF(INDEX(Tasks!$L$2:$L$501,MATCH($Y193&amp;"|"&amp;3,Tasks!$Z$2:$Z$501,0))=0,"",INDEX(Tasks!$L$2:$L$501,MATCH($Y193&amp;"|"&amp;3,Tasks!$Z$2:$Z$501,0))),"")</f>
        <v/>
      </c>
      <c r="G197" s="26" t="str">
        <f>IFERROR(IF(INDEX(Tasks!$P$2:$P$501,MATCH($Y193&amp;"|"&amp;3,Tasks!$Z$2:$Z$501,0))=0,"",INDEX(Tasks!$P$2:$P$501,MATCH($Y193&amp;"|"&amp;3,Tasks!$Z$2:$Z$501,0))),"")</f>
        <v/>
      </c>
    </row>
    <row r="198" spans="1:28" ht="17" hidden="1" x14ac:dyDescent="0.5">
      <c r="C198" s="23" t="str">
        <f>IFERROR(INDEX(Tasks!$E$2:$E$501,MATCH($Y193&amp;"|"&amp;4,Tasks!$Z$2:$Z$501,0)),"")</f>
        <v/>
      </c>
      <c r="D198" s="24" t="str">
        <f>IFERROR(INDEX(Tasks!$F$2:$F$501,MATCH($Y193&amp;"|"&amp;4,Tasks!$Z$2:$Z$501,0)),"")</f>
        <v/>
      </c>
      <c r="E198" s="25" t="str">
        <f>IFERROR(IF(INDEX(Tasks!$K$2:$K$501,MATCH($Y193&amp;"|"&amp;4,Tasks!$Z$2:$Z$501,0))=0,"",INDEX(Tasks!$K$2:$K$501,MATCH($Y193&amp;"|"&amp;4,Tasks!$Z$2:$Z$501,0))),"")</f>
        <v/>
      </c>
      <c r="F198" s="24" t="str">
        <f>IFERROR(IF(INDEX(Tasks!$L$2:$L$501,MATCH($Y193&amp;"|"&amp;4,Tasks!$Z$2:$Z$501,0))=0,"",INDEX(Tasks!$L$2:$L$501,MATCH($Y193&amp;"|"&amp;4,Tasks!$Z$2:$Z$501,0))),"")</f>
        <v/>
      </c>
      <c r="G198" s="26" t="str">
        <f>IFERROR(IF(INDEX(Tasks!$P$2:$P$501,MATCH($Y193&amp;"|"&amp;4,Tasks!$Z$2:$Z$501,0))=0,"",INDEX(Tasks!$P$2:$P$501,MATCH($Y193&amp;"|"&amp;4,Tasks!$Z$2:$Z$501,0))),"")</f>
        <v/>
      </c>
    </row>
    <row r="199" spans="1:28" ht="17" hidden="1" x14ac:dyDescent="0.5">
      <c r="C199" s="23" t="str">
        <f>IFERROR(INDEX(Tasks!$E$2:$E$501,MATCH($Y193&amp;"|"&amp;5,Tasks!$Z$2:$Z$501,0)),"")</f>
        <v/>
      </c>
      <c r="D199" s="24" t="str">
        <f>IFERROR(INDEX(Tasks!$F$2:$F$501,MATCH($Y193&amp;"|"&amp;5,Tasks!$Z$2:$Z$501,0)),"")</f>
        <v/>
      </c>
      <c r="E199" s="25" t="str">
        <f>IFERROR(IF(INDEX(Tasks!$K$2:$K$501,MATCH($Y193&amp;"|"&amp;5,Tasks!$Z$2:$Z$501,0))=0,"",INDEX(Tasks!$K$2:$K$501,MATCH($Y193&amp;"|"&amp;5,Tasks!$Z$2:$Z$501,0))),"")</f>
        <v/>
      </c>
      <c r="F199" s="24" t="str">
        <f>IFERROR(IF(INDEX(Tasks!$L$2:$L$501,MATCH($Y193&amp;"|"&amp;5,Tasks!$Z$2:$Z$501,0))=0,"",INDEX(Tasks!$L$2:$L$501,MATCH($Y193&amp;"|"&amp;5,Tasks!$Z$2:$Z$501,0))),"")</f>
        <v/>
      </c>
      <c r="G199" s="26" t="str">
        <f>IFERROR(IF(INDEX(Tasks!$P$2:$P$501,MATCH($Y193&amp;"|"&amp;5,Tasks!$Z$2:$Z$501,0))=0,"",INDEX(Tasks!$P$2:$P$501,MATCH($Y193&amp;"|"&amp;5,Tasks!$Z$2:$Z$501,0))),"")</f>
        <v/>
      </c>
    </row>
    <row r="200" spans="1:28" ht="17" hidden="1" x14ac:dyDescent="0.5">
      <c r="C200" s="23" t="str">
        <f>IFERROR(INDEX(Tasks!$E$2:$E$501,MATCH($Y193&amp;"|"&amp;6,Tasks!$Z$2:$Z$501,0)),"")</f>
        <v/>
      </c>
      <c r="D200" s="24" t="str">
        <f>IFERROR(INDEX(Tasks!$F$2:$F$501,MATCH($Y193&amp;"|"&amp;6,Tasks!$Z$2:$Z$501,0)),"")</f>
        <v/>
      </c>
      <c r="E200" s="25" t="str">
        <f>IFERROR(IF(INDEX(Tasks!$K$2:$K$501,MATCH($Y193&amp;"|"&amp;6,Tasks!$Z$2:$Z$501,0))=0,"",INDEX(Tasks!$K$2:$K$501,MATCH($Y193&amp;"|"&amp;6,Tasks!$Z$2:$Z$501,0))),"")</f>
        <v/>
      </c>
      <c r="F200" s="24" t="str">
        <f>IFERROR(IF(INDEX(Tasks!$L$2:$L$501,MATCH($Y193&amp;"|"&amp;6,Tasks!$Z$2:$Z$501,0))=0,"",INDEX(Tasks!$L$2:$L$501,MATCH($Y193&amp;"|"&amp;6,Tasks!$Z$2:$Z$501,0))),"")</f>
        <v/>
      </c>
      <c r="G200" s="26" t="str">
        <f>IFERROR(IF(INDEX(Tasks!$P$2:$P$501,MATCH($Y193&amp;"|"&amp;6,Tasks!$Z$2:$Z$501,0))=0,"",INDEX(Tasks!$P$2:$P$501,MATCH($Y193&amp;"|"&amp;6,Tasks!$Z$2:$Z$501,0))),"")</f>
        <v/>
      </c>
    </row>
    <row r="201" spans="1:28" ht="17" hidden="1" x14ac:dyDescent="0.5">
      <c r="C201" s="23" t="str">
        <f>IFERROR(INDEX(Tasks!$E$2:$E$501,MATCH($Y193&amp;"|"&amp;7,Tasks!$Z$2:$Z$501,0)),"")</f>
        <v/>
      </c>
      <c r="D201" s="24" t="str">
        <f>IFERROR(INDEX(Tasks!$F$2:$F$501,MATCH($Y193&amp;"|"&amp;7,Tasks!$Z$2:$Z$501,0)),"")</f>
        <v/>
      </c>
      <c r="E201" s="25" t="str">
        <f>IFERROR(IF(INDEX(Tasks!$K$2:$K$501,MATCH($Y193&amp;"|"&amp;7,Tasks!$Z$2:$Z$501,0))=0,"",INDEX(Tasks!$K$2:$K$501,MATCH($Y193&amp;"|"&amp;7,Tasks!$Z$2:$Z$501,0))),"")</f>
        <v/>
      </c>
      <c r="F201" s="24" t="str">
        <f>IFERROR(IF(INDEX(Tasks!$L$2:$L$501,MATCH($Y193&amp;"|"&amp;7,Tasks!$Z$2:$Z$501,0))=0,"",INDEX(Tasks!$L$2:$L$501,MATCH($Y193&amp;"|"&amp;7,Tasks!$Z$2:$Z$501,0))),"")</f>
        <v/>
      </c>
      <c r="G201" s="26" t="str">
        <f>IFERROR(IF(INDEX(Tasks!$P$2:$P$501,MATCH($Y193&amp;"|"&amp;7,Tasks!$Z$2:$Z$501,0))=0,"",INDEX(Tasks!$P$2:$P$501,MATCH($Y193&amp;"|"&amp;7,Tasks!$Z$2:$Z$501,0))),"")</f>
        <v/>
      </c>
    </row>
    <row r="202" spans="1:28" ht="17" hidden="1" x14ac:dyDescent="0.5">
      <c r="C202" s="23" t="str">
        <f>IF(N($D193)&gt;8,"+ "&amp;(N($D193)-7)&amp;" more — see Tasks",IFERROR(INDEX(Tasks!$E$2:$E$501,MATCH($Y193&amp;"|"&amp;8,Tasks!$Z$2:$Z$501,0)),""))</f>
        <v/>
      </c>
      <c r="D202" s="24" t="str">
        <f>IF(N($D193)&gt;8,"",IFERROR(INDEX(Tasks!$F$2:$F$501,MATCH($Y193&amp;"|"&amp;8,Tasks!$Z$2:$Z$501,0)),""))</f>
        <v/>
      </c>
      <c r="E202" s="25" t="str">
        <f>IF(N($D193)&gt;8,"",IFERROR(IF(INDEX(Tasks!$K$2:$K$501,MATCH($Y193&amp;"|"&amp;8,Tasks!$Z$2:$Z$501,0))=0,"",INDEX(Tasks!$K$2:$K$501,MATCH($Y193&amp;"|"&amp;8,Tasks!$Z$2:$Z$501,0))),""))</f>
        <v/>
      </c>
      <c r="F202" s="24" t="str">
        <f>IF(N($D193)&gt;8,"",IFERROR(IF(INDEX(Tasks!$L$2:$L$501,MATCH($Y193&amp;"|"&amp;8,Tasks!$Z$2:$Z$501,0))=0,"",INDEX(Tasks!$L$2:$L$501,MATCH($Y193&amp;"|"&amp;8,Tasks!$Z$2:$Z$501,0))),""))</f>
        <v/>
      </c>
      <c r="G202" s="26" t="str">
        <f>IF(N($D193)&gt;8,"",IFERROR(IF(INDEX(Tasks!$P$2:$P$501,MATCH($Y193&amp;"|"&amp;8,Tasks!$Z$2:$Z$501,0))=0,"",INDEX(Tasks!$P$2:$P$501,MATCH($Y193&amp;"|"&amp;8,Tasks!$Z$2:$Z$501,0))),""))</f>
        <v/>
      </c>
    </row>
  </sheetData>
  <conditionalFormatting sqref="C5:C12">
    <cfRule type="expression" dxfId="452" priority="18">
      <formula>$C5&lt;&gt;""</formula>
    </cfRule>
  </conditionalFormatting>
  <conditionalFormatting sqref="C15:C22">
    <cfRule type="expression" dxfId="451" priority="36">
      <formula>$C15&lt;&gt;""</formula>
    </cfRule>
  </conditionalFormatting>
  <conditionalFormatting sqref="C25:C32">
    <cfRule type="expression" dxfId="450" priority="54">
      <formula>$C25&lt;&gt;""</formula>
    </cfRule>
  </conditionalFormatting>
  <conditionalFormatting sqref="C35:C42">
    <cfRule type="expression" dxfId="449" priority="72">
      <formula>$C35&lt;&gt;""</formula>
    </cfRule>
  </conditionalFormatting>
  <conditionalFormatting sqref="C45:C52">
    <cfRule type="expression" dxfId="448" priority="90">
      <formula>$C45&lt;&gt;""</formula>
    </cfRule>
  </conditionalFormatting>
  <conditionalFormatting sqref="C55:C62">
    <cfRule type="expression" dxfId="447" priority="108">
      <formula>$C55&lt;&gt;""</formula>
    </cfRule>
  </conditionalFormatting>
  <conditionalFormatting sqref="C65:C72">
    <cfRule type="expression" dxfId="446" priority="126">
      <formula>$C65&lt;&gt;""</formula>
    </cfRule>
  </conditionalFormatting>
  <conditionalFormatting sqref="C75:C82">
    <cfRule type="expression" dxfId="445" priority="144">
      <formula>$C75&lt;&gt;""</formula>
    </cfRule>
  </conditionalFormatting>
  <conditionalFormatting sqref="C85:C92">
    <cfRule type="expression" dxfId="444" priority="162">
      <formula>$C85&lt;&gt;""</formula>
    </cfRule>
  </conditionalFormatting>
  <conditionalFormatting sqref="C95:C102">
    <cfRule type="expression" dxfId="443" priority="180">
      <formula>$C95&lt;&gt;""</formula>
    </cfRule>
  </conditionalFormatting>
  <conditionalFormatting sqref="C105:C112">
    <cfRule type="expression" dxfId="442" priority="198">
      <formula>$C105&lt;&gt;""</formula>
    </cfRule>
  </conditionalFormatting>
  <conditionalFormatting sqref="C115:C122">
    <cfRule type="expression" dxfId="441" priority="216">
      <formula>$C115&lt;&gt;""</formula>
    </cfRule>
  </conditionalFormatting>
  <conditionalFormatting sqref="C125:C132">
    <cfRule type="expression" dxfId="440" priority="234">
      <formula>$C125&lt;&gt;""</formula>
    </cfRule>
  </conditionalFormatting>
  <conditionalFormatting sqref="C135:C142">
    <cfRule type="expression" dxfId="439" priority="252">
      <formula>$C135&lt;&gt;""</formula>
    </cfRule>
  </conditionalFormatting>
  <conditionalFormatting sqref="C145:C152">
    <cfRule type="expression" dxfId="438" priority="270">
      <formula>$C145&lt;&gt;""</formula>
    </cfRule>
  </conditionalFormatting>
  <conditionalFormatting sqref="C155:C162">
    <cfRule type="expression" dxfId="437" priority="288">
      <formula>$C155&lt;&gt;""</formula>
    </cfRule>
  </conditionalFormatting>
  <conditionalFormatting sqref="C165:C172">
    <cfRule type="expression" dxfId="436" priority="306">
      <formula>$C165&lt;&gt;""</formula>
    </cfRule>
  </conditionalFormatting>
  <conditionalFormatting sqref="C175:C182">
    <cfRule type="expression" dxfId="435" priority="324">
      <formula>$C175&lt;&gt;""</formula>
    </cfRule>
  </conditionalFormatting>
  <conditionalFormatting sqref="C185:C192">
    <cfRule type="expression" dxfId="434" priority="342">
      <formula>$C185&lt;&gt;""</formula>
    </cfRule>
  </conditionalFormatting>
  <conditionalFormatting sqref="C195:C202">
    <cfRule type="expression" dxfId="433" priority="360">
      <formula>$C195&lt;&gt;""</formula>
    </cfRule>
  </conditionalFormatting>
  <conditionalFormatting sqref="E5:E12">
    <cfRule type="expression" dxfId="432" priority="12">
      <formula>AND(ISNUMBER($E5),$E5&lt;TODAY())</formula>
    </cfRule>
    <cfRule type="expression" dxfId="431" priority="13">
      <formula>AND(ISNUMBER($E5),$E5&gt;=TODAY(),$E5&lt;=TODAY()+2)</formula>
    </cfRule>
    <cfRule type="expression" dxfId="430" priority="14">
      <formula>AND(ISNUMBER($E5),$E5&gt;TODAY()+2)</formula>
    </cfRule>
  </conditionalFormatting>
  <conditionalFormatting sqref="E15:E22">
    <cfRule type="expression" dxfId="429" priority="30">
      <formula>AND(ISNUMBER($E15),$E15&lt;TODAY())</formula>
    </cfRule>
    <cfRule type="expression" dxfId="428" priority="31">
      <formula>AND(ISNUMBER($E15),$E15&gt;=TODAY(),$E15&lt;=TODAY()+2)</formula>
    </cfRule>
    <cfRule type="expression" dxfId="427" priority="32">
      <formula>AND(ISNUMBER($E15),$E15&gt;TODAY()+2)</formula>
    </cfRule>
  </conditionalFormatting>
  <conditionalFormatting sqref="E25:E32">
    <cfRule type="expression" dxfId="426" priority="48">
      <formula>AND(ISNUMBER($E25),$E25&lt;TODAY())</formula>
    </cfRule>
    <cfRule type="expression" dxfId="425" priority="49">
      <formula>AND(ISNUMBER($E25),$E25&gt;=TODAY(),$E25&lt;=TODAY()+2)</formula>
    </cfRule>
    <cfRule type="expression" dxfId="424" priority="50">
      <formula>AND(ISNUMBER($E25),$E25&gt;TODAY()+2)</formula>
    </cfRule>
  </conditionalFormatting>
  <conditionalFormatting sqref="E35:E42">
    <cfRule type="expression" dxfId="423" priority="67">
      <formula>AND(ISNUMBER($E35),$E35&gt;=TODAY(),$E35&lt;=TODAY()+2)</formula>
    </cfRule>
    <cfRule type="expression" dxfId="422" priority="68">
      <formula>AND(ISNUMBER($E35),$E35&gt;TODAY()+2)</formula>
    </cfRule>
    <cfRule type="expression" dxfId="421" priority="66">
      <formula>AND(ISNUMBER($E35),$E35&lt;TODAY())</formula>
    </cfRule>
  </conditionalFormatting>
  <conditionalFormatting sqref="E45:E52">
    <cfRule type="expression" dxfId="420" priority="84">
      <formula>AND(ISNUMBER($E45),$E45&lt;TODAY())</formula>
    </cfRule>
    <cfRule type="expression" dxfId="419" priority="86">
      <formula>AND(ISNUMBER($E45),$E45&gt;TODAY()+2)</formula>
    </cfRule>
    <cfRule type="expression" dxfId="418" priority="85">
      <formula>AND(ISNUMBER($E45),$E45&gt;=TODAY(),$E45&lt;=TODAY()+2)</formula>
    </cfRule>
  </conditionalFormatting>
  <conditionalFormatting sqref="E55:E62">
    <cfRule type="expression" dxfId="417" priority="104">
      <formula>AND(ISNUMBER($E55),$E55&gt;TODAY()+2)</formula>
    </cfRule>
    <cfRule type="expression" dxfId="416" priority="102">
      <formula>AND(ISNUMBER($E55),$E55&lt;TODAY())</formula>
    </cfRule>
    <cfRule type="expression" dxfId="415" priority="103">
      <formula>AND(ISNUMBER($E55),$E55&gt;=TODAY(),$E55&lt;=TODAY()+2)</formula>
    </cfRule>
  </conditionalFormatting>
  <conditionalFormatting sqref="E65:E72">
    <cfRule type="expression" dxfId="414" priority="120">
      <formula>AND(ISNUMBER($E65),$E65&lt;TODAY())</formula>
    </cfRule>
    <cfRule type="expression" dxfId="413" priority="121">
      <formula>AND(ISNUMBER($E65),$E65&gt;=TODAY(),$E65&lt;=TODAY()+2)</formula>
    </cfRule>
    <cfRule type="expression" dxfId="412" priority="122">
      <formula>AND(ISNUMBER($E65),$E65&gt;TODAY()+2)</formula>
    </cfRule>
  </conditionalFormatting>
  <conditionalFormatting sqref="E75:E82">
    <cfRule type="expression" dxfId="411" priority="138">
      <formula>AND(ISNUMBER($E75),$E75&lt;TODAY())</formula>
    </cfRule>
    <cfRule type="expression" dxfId="410" priority="139">
      <formula>AND(ISNUMBER($E75),$E75&gt;=TODAY(),$E75&lt;=TODAY()+2)</formula>
    </cfRule>
    <cfRule type="expression" dxfId="409" priority="140">
      <formula>AND(ISNUMBER($E75),$E75&gt;TODAY()+2)</formula>
    </cfRule>
  </conditionalFormatting>
  <conditionalFormatting sqref="E85:E92">
    <cfRule type="expression" dxfId="408" priority="158">
      <formula>AND(ISNUMBER($E85),$E85&gt;TODAY()+2)</formula>
    </cfRule>
    <cfRule type="expression" dxfId="407" priority="157">
      <formula>AND(ISNUMBER($E85),$E85&gt;=TODAY(),$E85&lt;=TODAY()+2)</formula>
    </cfRule>
    <cfRule type="expression" dxfId="406" priority="156">
      <formula>AND(ISNUMBER($E85),$E85&lt;TODAY())</formula>
    </cfRule>
  </conditionalFormatting>
  <conditionalFormatting sqref="E95:E102">
    <cfRule type="expression" dxfId="405" priority="176">
      <formula>AND(ISNUMBER($E95),$E95&gt;TODAY()+2)</formula>
    </cfRule>
    <cfRule type="expression" dxfId="404" priority="175">
      <formula>AND(ISNUMBER($E95),$E95&gt;=TODAY(),$E95&lt;=TODAY()+2)</formula>
    </cfRule>
    <cfRule type="expression" dxfId="403" priority="174">
      <formula>AND(ISNUMBER($E95),$E95&lt;TODAY())</formula>
    </cfRule>
  </conditionalFormatting>
  <conditionalFormatting sqref="E105:E112">
    <cfRule type="expression" dxfId="402" priority="193">
      <formula>AND(ISNUMBER($E105),$E105&gt;=TODAY(),$E105&lt;=TODAY()+2)</formula>
    </cfRule>
    <cfRule type="expression" dxfId="401" priority="192">
      <formula>AND(ISNUMBER($E105),$E105&lt;TODAY())</formula>
    </cfRule>
    <cfRule type="expression" dxfId="400" priority="194">
      <formula>AND(ISNUMBER($E105),$E105&gt;TODAY()+2)</formula>
    </cfRule>
  </conditionalFormatting>
  <conditionalFormatting sqref="E115:E122">
    <cfRule type="expression" dxfId="399" priority="211">
      <formula>AND(ISNUMBER($E115),$E115&gt;=TODAY(),$E115&lt;=TODAY()+2)</formula>
    </cfRule>
    <cfRule type="expression" dxfId="398" priority="212">
      <formula>AND(ISNUMBER($E115),$E115&gt;TODAY()+2)</formula>
    </cfRule>
    <cfRule type="expression" dxfId="397" priority="210">
      <formula>AND(ISNUMBER($E115),$E115&lt;TODAY())</formula>
    </cfRule>
  </conditionalFormatting>
  <conditionalFormatting sqref="E125:E132">
    <cfRule type="expression" dxfId="396" priority="230">
      <formula>AND(ISNUMBER($E125),$E125&gt;TODAY()+2)</formula>
    </cfRule>
    <cfRule type="expression" dxfId="395" priority="229">
      <formula>AND(ISNUMBER($E125),$E125&gt;=TODAY(),$E125&lt;=TODAY()+2)</formula>
    </cfRule>
    <cfRule type="expression" dxfId="394" priority="228">
      <formula>AND(ISNUMBER($E125),$E125&lt;TODAY())</formula>
    </cfRule>
  </conditionalFormatting>
  <conditionalFormatting sqref="E135:E142">
    <cfRule type="expression" dxfId="393" priority="248">
      <formula>AND(ISNUMBER($E135),$E135&gt;TODAY()+2)</formula>
    </cfRule>
    <cfRule type="expression" dxfId="392" priority="247">
      <formula>AND(ISNUMBER($E135),$E135&gt;=TODAY(),$E135&lt;=TODAY()+2)</formula>
    </cfRule>
    <cfRule type="expression" dxfId="391" priority="246">
      <formula>AND(ISNUMBER($E135),$E135&lt;TODAY())</formula>
    </cfRule>
  </conditionalFormatting>
  <conditionalFormatting sqref="E145:E152">
    <cfRule type="expression" dxfId="390" priority="266">
      <formula>AND(ISNUMBER($E145),$E145&gt;TODAY()+2)</formula>
    </cfRule>
    <cfRule type="expression" dxfId="389" priority="264">
      <formula>AND(ISNUMBER($E145),$E145&lt;TODAY())</formula>
    </cfRule>
    <cfRule type="expression" dxfId="388" priority="265">
      <formula>AND(ISNUMBER($E145),$E145&gt;=TODAY(),$E145&lt;=TODAY()+2)</formula>
    </cfRule>
  </conditionalFormatting>
  <conditionalFormatting sqref="E155:E162">
    <cfRule type="expression" dxfId="387" priority="284">
      <formula>AND(ISNUMBER($E155),$E155&gt;TODAY()+2)</formula>
    </cfRule>
    <cfRule type="expression" dxfId="386" priority="282">
      <formula>AND(ISNUMBER($E155),$E155&lt;TODAY())</formula>
    </cfRule>
    <cfRule type="expression" dxfId="385" priority="283">
      <formula>AND(ISNUMBER($E155),$E155&gt;=TODAY(),$E155&lt;=TODAY()+2)</formula>
    </cfRule>
  </conditionalFormatting>
  <conditionalFormatting sqref="E165:E172">
    <cfRule type="expression" dxfId="384" priority="300">
      <formula>AND(ISNUMBER($E165),$E165&lt;TODAY())</formula>
    </cfRule>
    <cfRule type="expression" dxfId="383" priority="302">
      <formula>AND(ISNUMBER($E165),$E165&gt;TODAY()+2)</formula>
    </cfRule>
    <cfRule type="expression" dxfId="382" priority="301">
      <formula>AND(ISNUMBER($E165),$E165&gt;=TODAY(),$E165&lt;=TODAY()+2)</formula>
    </cfRule>
  </conditionalFormatting>
  <conditionalFormatting sqref="E175:E182">
    <cfRule type="expression" dxfId="381" priority="320">
      <formula>AND(ISNUMBER($E175),$E175&gt;TODAY()+2)</formula>
    </cfRule>
    <cfRule type="expression" dxfId="380" priority="319">
      <formula>AND(ISNUMBER($E175),$E175&gt;=TODAY(),$E175&lt;=TODAY()+2)</formula>
    </cfRule>
    <cfRule type="expression" dxfId="379" priority="318">
      <formula>AND(ISNUMBER($E175),$E175&lt;TODAY())</formula>
    </cfRule>
  </conditionalFormatting>
  <conditionalFormatting sqref="E185:E192">
    <cfRule type="expression" dxfId="378" priority="337">
      <formula>AND(ISNUMBER($E185),$E185&gt;=TODAY(),$E185&lt;=TODAY()+2)</formula>
    </cfRule>
    <cfRule type="expression" dxfId="377" priority="336">
      <formula>AND(ISNUMBER($E185),$E185&lt;TODAY())</formula>
    </cfRule>
    <cfRule type="expression" dxfId="376" priority="338">
      <formula>AND(ISNUMBER($E185),$E185&gt;TODAY()+2)</formula>
    </cfRule>
  </conditionalFormatting>
  <conditionalFormatting sqref="E195:E202">
    <cfRule type="expression" dxfId="375" priority="356">
      <formula>AND(ISNUMBER($E195),$E195&gt;TODAY()+2)</formula>
    </cfRule>
    <cfRule type="expression" dxfId="374" priority="354">
      <formula>AND(ISNUMBER($E195),$E195&lt;TODAY())</formula>
    </cfRule>
    <cfRule type="expression" dxfId="373" priority="355">
      <formula>AND(ISNUMBER($E195),$E195&gt;=TODAY(),$E195&lt;=TODAY()+2)</formula>
    </cfRule>
  </conditionalFormatting>
  <conditionalFormatting sqref="F5:F12">
    <cfRule type="expression" dxfId="372" priority="15">
      <formula>$F5="Not Started"</formula>
    </cfRule>
    <cfRule type="expression" dxfId="371" priority="16">
      <formula>$F5="In Progress"</formula>
    </cfRule>
    <cfRule type="expression" dxfId="370" priority="17">
      <formula>$F5="Completed"</formula>
    </cfRule>
  </conditionalFormatting>
  <conditionalFormatting sqref="F15:F22">
    <cfRule type="expression" dxfId="369" priority="35">
      <formula>$F15="Completed"</formula>
    </cfRule>
    <cfRule type="expression" dxfId="368" priority="33">
      <formula>$F15="Not Started"</formula>
    </cfRule>
    <cfRule type="expression" dxfId="367" priority="34">
      <formula>$F15="In Progress"</formula>
    </cfRule>
  </conditionalFormatting>
  <conditionalFormatting sqref="F25:F32">
    <cfRule type="expression" dxfId="366" priority="52">
      <formula>$F25="In Progress"</formula>
    </cfRule>
    <cfRule type="expression" dxfId="365" priority="53">
      <formula>$F25="Completed"</formula>
    </cfRule>
    <cfRule type="expression" dxfId="364" priority="51">
      <formula>$F25="Not Started"</formula>
    </cfRule>
  </conditionalFormatting>
  <conditionalFormatting sqref="F35:F42">
    <cfRule type="expression" dxfId="363" priority="70">
      <formula>$F35="In Progress"</formula>
    </cfRule>
    <cfRule type="expression" dxfId="362" priority="69">
      <formula>$F35="Not Started"</formula>
    </cfRule>
    <cfRule type="expression" dxfId="361" priority="71">
      <formula>$F35="Completed"</formula>
    </cfRule>
  </conditionalFormatting>
  <conditionalFormatting sqref="F45:F52">
    <cfRule type="expression" dxfId="360" priority="87">
      <formula>$F45="Not Started"</formula>
    </cfRule>
    <cfRule type="expression" dxfId="359" priority="88">
      <formula>$F45="In Progress"</formula>
    </cfRule>
    <cfRule type="expression" dxfId="358" priority="89">
      <formula>$F45="Completed"</formula>
    </cfRule>
  </conditionalFormatting>
  <conditionalFormatting sqref="F55:F62">
    <cfRule type="expression" dxfId="357" priority="105">
      <formula>$F55="Not Started"</formula>
    </cfRule>
    <cfRule type="expression" dxfId="356" priority="106">
      <formula>$F55="In Progress"</formula>
    </cfRule>
    <cfRule type="expression" dxfId="355" priority="107">
      <formula>$F55="Completed"</formula>
    </cfRule>
  </conditionalFormatting>
  <conditionalFormatting sqref="F65:F72">
    <cfRule type="expression" dxfId="354" priority="123">
      <formula>$F65="Not Started"</formula>
    </cfRule>
    <cfRule type="expression" dxfId="353" priority="125">
      <formula>$F65="Completed"</formula>
    </cfRule>
    <cfRule type="expression" dxfId="352" priority="124">
      <formula>$F65="In Progress"</formula>
    </cfRule>
  </conditionalFormatting>
  <conditionalFormatting sqref="F75:F82">
    <cfRule type="expression" dxfId="351" priority="143">
      <formula>$F75="Completed"</formula>
    </cfRule>
    <cfRule type="expression" dxfId="350" priority="142">
      <formula>$F75="In Progress"</formula>
    </cfRule>
    <cfRule type="expression" dxfId="349" priority="141">
      <formula>$F75="Not Started"</formula>
    </cfRule>
  </conditionalFormatting>
  <conditionalFormatting sqref="F85:F92">
    <cfRule type="expression" dxfId="348" priority="161">
      <formula>$F85="Completed"</formula>
    </cfRule>
    <cfRule type="expression" dxfId="347" priority="160">
      <formula>$F85="In Progress"</formula>
    </cfRule>
    <cfRule type="expression" dxfId="346" priority="159">
      <formula>$F85="Not Started"</formula>
    </cfRule>
  </conditionalFormatting>
  <conditionalFormatting sqref="F95:F102">
    <cfRule type="expression" dxfId="345" priority="178">
      <formula>$F95="In Progress"</formula>
    </cfRule>
    <cfRule type="expression" dxfId="344" priority="179">
      <formula>$F95="Completed"</formula>
    </cfRule>
    <cfRule type="expression" dxfId="343" priority="177">
      <formula>$F95="Not Started"</formula>
    </cfRule>
  </conditionalFormatting>
  <conditionalFormatting sqref="F105:F112">
    <cfRule type="expression" dxfId="342" priority="197">
      <formula>$F105="Completed"</formula>
    </cfRule>
    <cfRule type="expression" dxfId="341" priority="195">
      <formula>$F105="Not Started"</formula>
    </cfRule>
    <cfRule type="expression" dxfId="340" priority="196">
      <formula>$F105="In Progress"</formula>
    </cfRule>
  </conditionalFormatting>
  <conditionalFormatting sqref="F115:F122">
    <cfRule type="expression" dxfId="339" priority="214">
      <formula>$F115="In Progress"</formula>
    </cfRule>
    <cfRule type="expression" dxfId="338" priority="215">
      <formula>$F115="Completed"</formula>
    </cfRule>
    <cfRule type="expression" dxfId="337" priority="213">
      <formula>$F115="Not Started"</formula>
    </cfRule>
  </conditionalFormatting>
  <conditionalFormatting sqref="F125:F132">
    <cfRule type="expression" dxfId="336" priority="233">
      <formula>$F125="Completed"</formula>
    </cfRule>
    <cfRule type="expression" dxfId="335" priority="231">
      <formula>$F125="Not Started"</formula>
    </cfRule>
    <cfRule type="expression" dxfId="334" priority="232">
      <formula>$F125="In Progress"</formula>
    </cfRule>
  </conditionalFormatting>
  <conditionalFormatting sqref="F135:F142">
    <cfRule type="expression" dxfId="333" priority="251">
      <formula>$F135="Completed"</formula>
    </cfRule>
    <cfRule type="expression" dxfId="332" priority="249">
      <formula>$F135="Not Started"</formula>
    </cfRule>
    <cfRule type="expression" dxfId="331" priority="250">
      <formula>$F135="In Progress"</formula>
    </cfRule>
  </conditionalFormatting>
  <conditionalFormatting sqref="F145:F152">
    <cfRule type="expression" dxfId="330" priority="268">
      <formula>$F145="In Progress"</formula>
    </cfRule>
    <cfRule type="expression" dxfId="329" priority="267">
      <formula>$F145="Not Started"</formula>
    </cfRule>
    <cfRule type="expression" dxfId="328" priority="269">
      <formula>$F145="Completed"</formula>
    </cfRule>
  </conditionalFormatting>
  <conditionalFormatting sqref="F155:F162">
    <cfRule type="expression" dxfId="327" priority="287">
      <formula>$F155="Completed"</formula>
    </cfRule>
    <cfRule type="expression" dxfId="326" priority="285">
      <formula>$F155="Not Started"</formula>
    </cfRule>
    <cfRule type="expression" dxfId="325" priority="286">
      <formula>$F155="In Progress"</formula>
    </cfRule>
  </conditionalFormatting>
  <conditionalFormatting sqref="F165:F172">
    <cfRule type="expression" dxfId="324" priority="305">
      <formula>$F165="Completed"</formula>
    </cfRule>
    <cfRule type="expression" dxfId="323" priority="304">
      <formula>$F165="In Progress"</formula>
    </cfRule>
    <cfRule type="expression" dxfId="322" priority="303">
      <formula>$F165="Not Started"</formula>
    </cfRule>
  </conditionalFormatting>
  <conditionalFormatting sqref="F175:F182">
    <cfRule type="expression" dxfId="321" priority="323">
      <formula>$F175="Completed"</formula>
    </cfRule>
    <cfRule type="expression" dxfId="320" priority="322">
      <formula>$F175="In Progress"</formula>
    </cfRule>
    <cfRule type="expression" dxfId="319" priority="321">
      <formula>$F175="Not Started"</formula>
    </cfRule>
  </conditionalFormatting>
  <conditionalFormatting sqref="F185:F192">
    <cfRule type="expression" dxfId="318" priority="341">
      <formula>$F185="Completed"</formula>
    </cfRule>
    <cfRule type="expression" dxfId="317" priority="340">
      <formula>$F185="In Progress"</formula>
    </cfRule>
    <cfRule type="expression" dxfId="316" priority="339">
      <formula>$F185="Not Started"</formula>
    </cfRule>
  </conditionalFormatting>
  <conditionalFormatting sqref="F195:F202">
    <cfRule type="expression" dxfId="315" priority="357">
      <formula>$F195="Not Started"</formula>
    </cfRule>
    <cfRule type="expression" dxfId="314" priority="359">
      <formula>$F195="Completed"</formula>
    </cfRule>
    <cfRule type="expression" dxfId="313" priority="358">
      <formula>$F195="In Progress"</formula>
    </cfRule>
  </conditionalFormatting>
  <conditionalFormatting sqref="G3">
    <cfRule type="expression" dxfId="312" priority="7">
      <formula>$G3="Active"</formula>
    </cfRule>
    <cfRule type="expression" dxfId="311" priority="6">
      <formula>$G3="Planned"</formula>
    </cfRule>
    <cfRule type="expression" dxfId="310" priority="8">
      <formula>$G3="Completed"</formula>
    </cfRule>
  </conditionalFormatting>
  <conditionalFormatting sqref="G13">
    <cfRule type="expression" dxfId="309" priority="24">
      <formula>$G13="Planned"</formula>
    </cfRule>
    <cfRule type="expression" dxfId="308" priority="26">
      <formula>$G13="Completed"</formula>
    </cfRule>
    <cfRule type="expression" dxfId="307" priority="25">
      <formula>$G13="Active"</formula>
    </cfRule>
  </conditionalFormatting>
  <conditionalFormatting sqref="G23">
    <cfRule type="expression" dxfId="306" priority="42">
      <formula>$G23="Planned"</formula>
    </cfRule>
    <cfRule type="expression" dxfId="305" priority="43">
      <formula>$G23="Active"</formula>
    </cfRule>
    <cfRule type="expression" dxfId="304" priority="44">
      <formula>$G23="Completed"</formula>
    </cfRule>
  </conditionalFormatting>
  <conditionalFormatting sqref="G33">
    <cfRule type="expression" dxfId="303" priority="60">
      <formula>$G33="Planned"</formula>
    </cfRule>
    <cfRule type="expression" dxfId="302" priority="61">
      <formula>$G33="Active"</formula>
    </cfRule>
    <cfRule type="expression" dxfId="301" priority="62">
      <formula>$G33="Completed"</formula>
    </cfRule>
  </conditionalFormatting>
  <conditionalFormatting sqref="G43">
    <cfRule type="expression" dxfId="300" priority="78">
      <formula>$G43="Planned"</formula>
    </cfRule>
    <cfRule type="expression" dxfId="299" priority="80">
      <formula>$G43="Completed"</formula>
    </cfRule>
    <cfRule type="expression" dxfId="298" priority="79">
      <formula>$G43="Active"</formula>
    </cfRule>
  </conditionalFormatting>
  <conditionalFormatting sqref="G53">
    <cfRule type="expression" dxfId="297" priority="96">
      <formula>$G53="Planned"</formula>
    </cfRule>
    <cfRule type="expression" dxfId="296" priority="97">
      <formula>$G53="Active"</formula>
    </cfRule>
    <cfRule type="expression" dxfId="295" priority="98">
      <formula>$G53="Completed"</formula>
    </cfRule>
  </conditionalFormatting>
  <conditionalFormatting sqref="G63">
    <cfRule type="expression" dxfId="294" priority="115">
      <formula>$G63="Active"</formula>
    </cfRule>
    <cfRule type="expression" dxfId="293" priority="116">
      <formula>$G63="Completed"</formula>
    </cfRule>
    <cfRule type="expression" dxfId="292" priority="114">
      <formula>$G63="Planned"</formula>
    </cfRule>
  </conditionalFormatting>
  <conditionalFormatting sqref="G73">
    <cfRule type="expression" dxfId="291" priority="134">
      <formula>$G73="Completed"</formula>
    </cfRule>
    <cfRule type="expression" dxfId="290" priority="133">
      <formula>$G73="Active"</formula>
    </cfRule>
    <cfRule type="expression" dxfId="289" priority="132">
      <formula>$G73="Planned"</formula>
    </cfRule>
  </conditionalFormatting>
  <conditionalFormatting sqref="G83">
    <cfRule type="expression" dxfId="288" priority="152">
      <formula>$G83="Completed"</formula>
    </cfRule>
    <cfRule type="expression" dxfId="287" priority="150">
      <formula>$G83="Planned"</formula>
    </cfRule>
    <cfRule type="expression" dxfId="286" priority="151">
      <formula>$G83="Active"</formula>
    </cfRule>
  </conditionalFormatting>
  <conditionalFormatting sqref="G93">
    <cfRule type="expression" dxfId="285" priority="168">
      <formula>$G93="Planned"</formula>
    </cfRule>
    <cfRule type="expression" dxfId="284" priority="169">
      <formula>$G93="Active"</formula>
    </cfRule>
    <cfRule type="expression" dxfId="283" priority="170">
      <formula>$G93="Completed"</formula>
    </cfRule>
  </conditionalFormatting>
  <conditionalFormatting sqref="G103">
    <cfRule type="expression" dxfId="282" priority="188">
      <formula>$G103="Completed"</formula>
    </cfRule>
    <cfRule type="expression" dxfId="281" priority="187">
      <formula>$G103="Active"</formula>
    </cfRule>
    <cfRule type="expression" dxfId="280" priority="186">
      <formula>$G103="Planned"</formula>
    </cfRule>
  </conditionalFormatting>
  <conditionalFormatting sqref="G113">
    <cfRule type="expression" dxfId="279" priority="206">
      <formula>$G113="Completed"</formula>
    </cfRule>
    <cfRule type="expression" dxfId="278" priority="205">
      <formula>$G113="Active"</formula>
    </cfRule>
    <cfRule type="expression" dxfId="277" priority="204">
      <formula>$G113="Planned"</formula>
    </cfRule>
  </conditionalFormatting>
  <conditionalFormatting sqref="G123">
    <cfRule type="expression" dxfId="276" priority="222">
      <formula>$G123="Planned"</formula>
    </cfRule>
    <cfRule type="expression" dxfId="275" priority="223">
      <formula>$G123="Active"</formula>
    </cfRule>
    <cfRule type="expression" dxfId="274" priority="224">
      <formula>$G123="Completed"</formula>
    </cfRule>
  </conditionalFormatting>
  <conditionalFormatting sqref="G133">
    <cfRule type="expression" dxfId="273" priority="240">
      <formula>$G133="Planned"</formula>
    </cfRule>
    <cfRule type="expression" dxfId="272" priority="241">
      <formula>$G133="Active"</formula>
    </cfRule>
    <cfRule type="expression" dxfId="271" priority="242">
      <formula>$G133="Completed"</formula>
    </cfRule>
  </conditionalFormatting>
  <conditionalFormatting sqref="G143">
    <cfRule type="expression" dxfId="270" priority="260">
      <formula>$G143="Completed"</formula>
    </cfRule>
    <cfRule type="expression" dxfId="269" priority="259">
      <formula>$G143="Active"</formula>
    </cfRule>
    <cfRule type="expression" dxfId="268" priority="258">
      <formula>$G143="Planned"</formula>
    </cfRule>
  </conditionalFormatting>
  <conditionalFormatting sqref="G153">
    <cfRule type="expression" dxfId="267" priority="276">
      <formula>$G153="Planned"</formula>
    </cfRule>
    <cfRule type="expression" dxfId="266" priority="277">
      <formula>$G153="Active"</formula>
    </cfRule>
    <cfRule type="expression" dxfId="265" priority="278">
      <formula>$G153="Completed"</formula>
    </cfRule>
  </conditionalFormatting>
  <conditionalFormatting sqref="G163">
    <cfRule type="expression" dxfId="264" priority="294">
      <formula>$G163="Planned"</formula>
    </cfRule>
    <cfRule type="expression" dxfId="263" priority="295">
      <formula>$G163="Active"</formula>
    </cfRule>
    <cfRule type="expression" dxfId="262" priority="296">
      <formula>$G163="Completed"</formula>
    </cfRule>
  </conditionalFormatting>
  <conditionalFormatting sqref="G173">
    <cfRule type="expression" dxfId="261" priority="313">
      <formula>$G173="Active"</formula>
    </cfRule>
    <cfRule type="expression" dxfId="260" priority="314">
      <formula>$G173="Completed"</formula>
    </cfRule>
    <cfRule type="expression" dxfId="259" priority="312">
      <formula>$G173="Planned"</formula>
    </cfRule>
  </conditionalFormatting>
  <conditionalFormatting sqref="G183">
    <cfRule type="expression" dxfId="258" priority="330">
      <formula>$G183="Planned"</formula>
    </cfRule>
    <cfRule type="expression" dxfId="257" priority="331">
      <formula>$G183="Active"</formula>
    </cfRule>
    <cfRule type="expression" dxfId="256" priority="332">
      <formula>$G183="Completed"</formula>
    </cfRule>
  </conditionalFormatting>
  <conditionalFormatting sqref="G193">
    <cfRule type="expression" dxfId="255" priority="348">
      <formula>$G193="Planned"</formula>
    </cfRule>
    <cfRule type="expression" dxfId="254" priority="349">
      <formula>$G193="Active"</formula>
    </cfRule>
    <cfRule type="expression" dxfId="253" priority="350">
      <formula>$G193="Completed"</formula>
    </cfRule>
  </conditionalFormatting>
  <conditionalFormatting sqref="H3">
    <cfRule type="expression" dxfId="252" priority="1">
      <formula>AND(ISNUMBER($H3),$H3&gt;=0,$H3&lt;0.2)</formula>
    </cfRule>
    <cfRule type="expression" dxfId="251" priority="2">
      <formula>AND(ISNUMBER($H3),$H3&gt;=0.2,$H3&lt;0.4)</formula>
    </cfRule>
    <cfRule type="expression" dxfId="250" priority="3">
      <formula>AND(ISNUMBER($H3),$H3&gt;=0.4,$H3&lt;0.6)</formula>
    </cfRule>
    <cfRule type="expression" dxfId="249" priority="4">
      <formula>AND(ISNUMBER($H3),$H3&gt;=0.6,$H3&lt;0.8)</formula>
    </cfRule>
    <cfRule type="expression" dxfId="248" priority="5">
      <formula>AND(ISNUMBER($H3),$H3&gt;=0.8)</formula>
    </cfRule>
  </conditionalFormatting>
  <conditionalFormatting sqref="H13">
    <cfRule type="expression" dxfId="247" priority="23">
      <formula>AND(ISNUMBER($H13),$H13&gt;=0.8)</formula>
    </cfRule>
    <cfRule type="expression" dxfId="246" priority="22">
      <formula>AND(ISNUMBER($H13),$H13&gt;=0.6,$H13&lt;0.8)</formula>
    </cfRule>
    <cfRule type="expression" dxfId="245" priority="21">
      <formula>AND(ISNUMBER($H13),$H13&gt;=0.4,$H13&lt;0.6)</formula>
    </cfRule>
    <cfRule type="expression" dxfId="244" priority="19">
      <formula>AND(ISNUMBER($H13),$H13&gt;=0,$H13&lt;0.2)</formula>
    </cfRule>
    <cfRule type="expression" dxfId="243" priority="20">
      <formula>AND(ISNUMBER($H13),$H13&gt;=0.2,$H13&lt;0.4)</formula>
    </cfRule>
  </conditionalFormatting>
  <conditionalFormatting sqref="H23">
    <cfRule type="expression" dxfId="242" priority="39">
      <formula>AND(ISNUMBER($H23),$H23&gt;=0.4,$H23&lt;0.6)</formula>
    </cfRule>
    <cfRule type="expression" dxfId="241" priority="38">
      <formula>AND(ISNUMBER($H23),$H23&gt;=0.2,$H23&lt;0.4)</formula>
    </cfRule>
    <cfRule type="expression" dxfId="240" priority="37">
      <formula>AND(ISNUMBER($H23),$H23&gt;=0,$H23&lt;0.2)</formula>
    </cfRule>
    <cfRule type="expression" dxfId="239" priority="41">
      <formula>AND(ISNUMBER($H23),$H23&gt;=0.8)</formula>
    </cfRule>
    <cfRule type="expression" dxfId="238" priority="40">
      <formula>AND(ISNUMBER($H23),$H23&gt;=0.6,$H23&lt;0.8)</formula>
    </cfRule>
  </conditionalFormatting>
  <conditionalFormatting sqref="H33">
    <cfRule type="expression" dxfId="237" priority="59">
      <formula>AND(ISNUMBER($H33),$H33&gt;=0.8)</formula>
    </cfRule>
    <cfRule type="expression" dxfId="236" priority="58">
      <formula>AND(ISNUMBER($H33),$H33&gt;=0.6,$H33&lt;0.8)</formula>
    </cfRule>
    <cfRule type="expression" dxfId="235" priority="56">
      <formula>AND(ISNUMBER($H33),$H33&gt;=0.2,$H33&lt;0.4)</formula>
    </cfRule>
    <cfRule type="expression" dxfId="234" priority="55">
      <formula>AND(ISNUMBER($H33),$H33&gt;=0,$H33&lt;0.2)</formula>
    </cfRule>
    <cfRule type="expression" dxfId="233" priority="57">
      <formula>AND(ISNUMBER($H33),$H33&gt;=0.4,$H33&lt;0.6)</formula>
    </cfRule>
  </conditionalFormatting>
  <conditionalFormatting sqref="H43">
    <cfRule type="expression" dxfId="232" priority="76">
      <formula>AND(ISNUMBER($H43),$H43&gt;=0.6,$H43&lt;0.8)</formula>
    </cfRule>
    <cfRule type="expression" dxfId="231" priority="75">
      <formula>AND(ISNUMBER($H43),$H43&gt;=0.4,$H43&lt;0.6)</formula>
    </cfRule>
    <cfRule type="expression" dxfId="230" priority="74">
      <formula>AND(ISNUMBER($H43),$H43&gt;=0.2,$H43&lt;0.4)</formula>
    </cfRule>
    <cfRule type="expression" dxfId="229" priority="73">
      <formula>AND(ISNUMBER($H43),$H43&gt;=0,$H43&lt;0.2)</formula>
    </cfRule>
    <cfRule type="expression" dxfId="228" priority="77">
      <formula>AND(ISNUMBER($H43),$H43&gt;=0.8)</formula>
    </cfRule>
  </conditionalFormatting>
  <conditionalFormatting sqref="H53">
    <cfRule type="expression" dxfId="227" priority="91">
      <formula>AND(ISNUMBER($H53),$H53&gt;=0,$H53&lt;0.2)</formula>
    </cfRule>
    <cfRule type="expression" dxfId="226" priority="92">
      <formula>AND(ISNUMBER($H53),$H53&gt;=0.2,$H53&lt;0.4)</formula>
    </cfRule>
    <cfRule type="expression" dxfId="225" priority="93">
      <formula>AND(ISNUMBER($H53),$H53&gt;=0.4,$H53&lt;0.6)</formula>
    </cfRule>
    <cfRule type="expression" dxfId="224" priority="94">
      <formula>AND(ISNUMBER($H53),$H53&gt;=0.6,$H53&lt;0.8)</formula>
    </cfRule>
    <cfRule type="expression" dxfId="223" priority="95">
      <formula>AND(ISNUMBER($H53),$H53&gt;=0.8)</formula>
    </cfRule>
  </conditionalFormatting>
  <conditionalFormatting sqref="H63">
    <cfRule type="expression" dxfId="222" priority="113">
      <formula>AND(ISNUMBER($H63),$H63&gt;=0.8)</formula>
    </cfRule>
    <cfRule type="expression" dxfId="221" priority="112">
      <formula>AND(ISNUMBER($H63),$H63&gt;=0.6,$H63&lt;0.8)</formula>
    </cfRule>
    <cfRule type="expression" dxfId="220" priority="111">
      <formula>AND(ISNUMBER($H63),$H63&gt;=0.4,$H63&lt;0.6)</formula>
    </cfRule>
    <cfRule type="expression" dxfId="219" priority="110">
      <formula>AND(ISNUMBER($H63),$H63&gt;=0.2,$H63&lt;0.4)</formula>
    </cfRule>
    <cfRule type="expression" dxfId="218" priority="109">
      <formula>AND(ISNUMBER($H63),$H63&gt;=0,$H63&lt;0.2)</formula>
    </cfRule>
  </conditionalFormatting>
  <conditionalFormatting sqref="H73">
    <cfRule type="expression" dxfId="217" priority="127">
      <formula>AND(ISNUMBER($H73),$H73&gt;=0,$H73&lt;0.2)</formula>
    </cfRule>
    <cfRule type="expression" dxfId="216" priority="128">
      <formula>AND(ISNUMBER($H73),$H73&gt;=0.2,$H73&lt;0.4)</formula>
    </cfRule>
    <cfRule type="expression" dxfId="215" priority="129">
      <formula>AND(ISNUMBER($H73),$H73&gt;=0.4,$H73&lt;0.6)</formula>
    </cfRule>
    <cfRule type="expression" dxfId="214" priority="130">
      <formula>AND(ISNUMBER($H73),$H73&gt;=0.6,$H73&lt;0.8)</formula>
    </cfRule>
    <cfRule type="expression" dxfId="213" priority="131">
      <formula>AND(ISNUMBER($H73),$H73&gt;=0.8)</formula>
    </cfRule>
  </conditionalFormatting>
  <conditionalFormatting sqref="H83">
    <cfRule type="expression" dxfId="212" priority="145">
      <formula>AND(ISNUMBER($H83),$H83&gt;=0,$H83&lt;0.2)</formula>
    </cfRule>
    <cfRule type="expression" dxfId="211" priority="149">
      <formula>AND(ISNUMBER($H83),$H83&gt;=0.8)</formula>
    </cfRule>
    <cfRule type="expression" dxfId="210" priority="148">
      <formula>AND(ISNUMBER($H83),$H83&gt;=0.6,$H83&lt;0.8)</formula>
    </cfRule>
    <cfRule type="expression" dxfId="209" priority="147">
      <formula>AND(ISNUMBER($H83),$H83&gt;=0.4,$H83&lt;0.6)</formula>
    </cfRule>
    <cfRule type="expression" dxfId="208" priority="146">
      <formula>AND(ISNUMBER($H83),$H83&gt;=0.2,$H83&lt;0.4)</formula>
    </cfRule>
  </conditionalFormatting>
  <conditionalFormatting sqref="H93">
    <cfRule type="expression" dxfId="207" priority="166">
      <formula>AND(ISNUMBER($H93),$H93&gt;=0.6,$H93&lt;0.8)</formula>
    </cfRule>
    <cfRule type="expression" dxfId="206" priority="167">
      <formula>AND(ISNUMBER($H93),$H93&gt;=0.8)</formula>
    </cfRule>
    <cfRule type="expression" dxfId="205" priority="164">
      <formula>AND(ISNUMBER($H93),$H93&gt;=0.2,$H93&lt;0.4)</formula>
    </cfRule>
    <cfRule type="expression" dxfId="204" priority="165">
      <formula>AND(ISNUMBER($H93),$H93&gt;=0.4,$H93&lt;0.6)</formula>
    </cfRule>
    <cfRule type="expression" dxfId="203" priority="163">
      <formula>AND(ISNUMBER($H93),$H93&gt;=0,$H93&lt;0.2)</formula>
    </cfRule>
  </conditionalFormatting>
  <conditionalFormatting sqref="H103">
    <cfRule type="expression" dxfId="202" priority="183">
      <formula>AND(ISNUMBER($H103),$H103&gt;=0.4,$H103&lt;0.6)</formula>
    </cfRule>
    <cfRule type="expression" dxfId="201" priority="182">
      <formula>AND(ISNUMBER($H103),$H103&gt;=0.2,$H103&lt;0.4)</formula>
    </cfRule>
    <cfRule type="expression" dxfId="200" priority="185">
      <formula>AND(ISNUMBER($H103),$H103&gt;=0.8)</formula>
    </cfRule>
    <cfRule type="expression" dxfId="199" priority="181">
      <formula>AND(ISNUMBER($H103),$H103&gt;=0,$H103&lt;0.2)</formula>
    </cfRule>
    <cfRule type="expression" dxfId="198" priority="184">
      <formula>AND(ISNUMBER($H103),$H103&gt;=0.6,$H103&lt;0.8)</formula>
    </cfRule>
  </conditionalFormatting>
  <conditionalFormatting sqref="H113">
    <cfRule type="expression" dxfId="197" priority="200">
      <formula>AND(ISNUMBER($H113),$H113&gt;=0.2,$H113&lt;0.4)</formula>
    </cfRule>
    <cfRule type="expression" dxfId="196" priority="199">
      <formula>AND(ISNUMBER($H113),$H113&gt;=0,$H113&lt;0.2)</formula>
    </cfRule>
    <cfRule type="expression" dxfId="195" priority="202">
      <formula>AND(ISNUMBER($H113),$H113&gt;=0.6,$H113&lt;0.8)</formula>
    </cfRule>
    <cfRule type="expression" dxfId="194" priority="203">
      <formula>AND(ISNUMBER($H113),$H113&gt;=0.8)</formula>
    </cfRule>
    <cfRule type="expression" dxfId="193" priority="201">
      <formula>AND(ISNUMBER($H113),$H113&gt;=0.4,$H113&lt;0.6)</formula>
    </cfRule>
  </conditionalFormatting>
  <conditionalFormatting sqref="H123">
    <cfRule type="expression" dxfId="192" priority="221">
      <formula>AND(ISNUMBER($H123),$H123&gt;=0.8)</formula>
    </cfRule>
    <cfRule type="expression" dxfId="191" priority="220">
      <formula>AND(ISNUMBER($H123),$H123&gt;=0.6,$H123&lt;0.8)</formula>
    </cfRule>
    <cfRule type="expression" dxfId="190" priority="218">
      <formula>AND(ISNUMBER($H123),$H123&gt;=0.2,$H123&lt;0.4)</formula>
    </cfRule>
    <cfRule type="expression" dxfId="189" priority="217">
      <formula>AND(ISNUMBER($H123),$H123&gt;=0,$H123&lt;0.2)</formula>
    </cfRule>
    <cfRule type="expression" dxfId="188" priority="219">
      <formula>AND(ISNUMBER($H123),$H123&gt;=0.4,$H123&lt;0.6)</formula>
    </cfRule>
  </conditionalFormatting>
  <conditionalFormatting sqref="H133">
    <cfRule type="expression" dxfId="187" priority="235">
      <formula>AND(ISNUMBER($H133),$H133&gt;=0,$H133&lt;0.2)</formula>
    </cfRule>
    <cfRule type="expression" dxfId="186" priority="236">
      <formula>AND(ISNUMBER($H133),$H133&gt;=0.2,$H133&lt;0.4)</formula>
    </cfRule>
    <cfRule type="expression" dxfId="185" priority="237">
      <formula>AND(ISNUMBER($H133),$H133&gt;=0.4,$H133&lt;0.6)</formula>
    </cfRule>
    <cfRule type="expression" dxfId="184" priority="238">
      <formula>AND(ISNUMBER($H133),$H133&gt;=0.6,$H133&lt;0.8)</formula>
    </cfRule>
    <cfRule type="expression" dxfId="183" priority="239">
      <formula>AND(ISNUMBER($H133),$H133&gt;=0.8)</formula>
    </cfRule>
  </conditionalFormatting>
  <conditionalFormatting sqref="H143">
    <cfRule type="expression" dxfId="182" priority="257">
      <formula>AND(ISNUMBER($H143),$H143&gt;=0.8)</formula>
    </cfRule>
    <cfRule type="expression" dxfId="181" priority="256">
      <formula>AND(ISNUMBER($H143),$H143&gt;=0.6,$H143&lt;0.8)</formula>
    </cfRule>
    <cfRule type="expression" dxfId="180" priority="255">
      <formula>AND(ISNUMBER($H143),$H143&gt;=0.4,$H143&lt;0.6)</formula>
    </cfRule>
    <cfRule type="expression" dxfId="179" priority="254">
      <formula>AND(ISNUMBER($H143),$H143&gt;=0.2,$H143&lt;0.4)</formula>
    </cfRule>
    <cfRule type="expression" dxfId="178" priority="253">
      <formula>AND(ISNUMBER($H143),$H143&gt;=0,$H143&lt;0.2)</formula>
    </cfRule>
  </conditionalFormatting>
  <conditionalFormatting sqref="H153">
    <cfRule type="expression" dxfId="177" priority="272">
      <formula>AND(ISNUMBER($H153),$H153&gt;=0.2,$H153&lt;0.4)</formula>
    </cfRule>
    <cfRule type="expression" dxfId="176" priority="275">
      <formula>AND(ISNUMBER($H153),$H153&gt;=0.8)</formula>
    </cfRule>
    <cfRule type="expression" dxfId="175" priority="271">
      <formula>AND(ISNUMBER($H153),$H153&gt;=0,$H153&lt;0.2)</formula>
    </cfRule>
    <cfRule type="expression" dxfId="174" priority="274">
      <formula>AND(ISNUMBER($H153),$H153&gt;=0.6,$H153&lt;0.8)</formula>
    </cfRule>
    <cfRule type="expression" dxfId="173" priority="273">
      <formula>AND(ISNUMBER($H153),$H153&gt;=0.4,$H153&lt;0.6)</formula>
    </cfRule>
  </conditionalFormatting>
  <conditionalFormatting sqref="H163">
    <cfRule type="expression" dxfId="172" priority="289">
      <formula>AND(ISNUMBER($H163),$H163&gt;=0,$H163&lt;0.2)</formula>
    </cfRule>
    <cfRule type="expression" dxfId="171" priority="290">
      <formula>AND(ISNUMBER($H163),$H163&gt;=0.2,$H163&lt;0.4)</formula>
    </cfRule>
    <cfRule type="expression" dxfId="170" priority="291">
      <formula>AND(ISNUMBER($H163),$H163&gt;=0.4,$H163&lt;0.6)</formula>
    </cfRule>
    <cfRule type="expression" dxfId="169" priority="292">
      <formula>AND(ISNUMBER($H163),$H163&gt;=0.6,$H163&lt;0.8)</formula>
    </cfRule>
    <cfRule type="expression" dxfId="168" priority="293">
      <formula>AND(ISNUMBER($H163),$H163&gt;=0.8)</formula>
    </cfRule>
  </conditionalFormatting>
  <conditionalFormatting sqref="H173">
    <cfRule type="expression" dxfId="167" priority="311">
      <formula>AND(ISNUMBER($H173),$H173&gt;=0.8)</formula>
    </cfRule>
    <cfRule type="expression" dxfId="166" priority="310">
      <formula>AND(ISNUMBER($H173),$H173&gt;=0.6,$H173&lt;0.8)</formula>
    </cfRule>
    <cfRule type="expression" dxfId="165" priority="308">
      <formula>AND(ISNUMBER($H173),$H173&gt;=0.2,$H173&lt;0.4)</formula>
    </cfRule>
    <cfRule type="expression" dxfId="164" priority="307">
      <formula>AND(ISNUMBER($H173),$H173&gt;=0,$H173&lt;0.2)</formula>
    </cfRule>
    <cfRule type="expression" dxfId="163" priority="309">
      <formula>AND(ISNUMBER($H173),$H173&gt;=0.4,$H173&lt;0.6)</formula>
    </cfRule>
  </conditionalFormatting>
  <conditionalFormatting sqref="H183">
    <cfRule type="expression" dxfId="162" priority="326">
      <formula>AND(ISNUMBER($H183),$H183&gt;=0.2,$H183&lt;0.4)</formula>
    </cfRule>
    <cfRule type="expression" dxfId="161" priority="325">
      <formula>AND(ISNUMBER($H183),$H183&gt;=0,$H183&lt;0.2)</formula>
    </cfRule>
    <cfRule type="expression" dxfId="160" priority="327">
      <formula>AND(ISNUMBER($H183),$H183&gt;=0.4,$H183&lt;0.6)</formula>
    </cfRule>
    <cfRule type="expression" dxfId="159" priority="328">
      <formula>AND(ISNUMBER($H183),$H183&gt;=0.6,$H183&lt;0.8)</formula>
    </cfRule>
    <cfRule type="expression" dxfId="158" priority="329">
      <formula>AND(ISNUMBER($H183),$H183&gt;=0.8)</formula>
    </cfRule>
  </conditionalFormatting>
  <conditionalFormatting sqref="H193">
    <cfRule type="expression" dxfId="157" priority="344">
      <formula>AND(ISNUMBER($H193),$H193&gt;=0.2,$H193&lt;0.4)</formula>
    </cfRule>
    <cfRule type="expression" dxfId="156" priority="343">
      <formula>AND(ISNUMBER($H193),$H193&gt;=0,$H193&lt;0.2)</formula>
    </cfRule>
    <cfRule type="expression" dxfId="155" priority="345">
      <formula>AND(ISNUMBER($H193),$H193&gt;=0.4,$H193&lt;0.6)</formula>
    </cfRule>
    <cfRule type="expression" dxfId="154" priority="346">
      <formula>AND(ISNUMBER($H193),$H193&gt;=0.6,$H193&lt;0.8)</formula>
    </cfRule>
    <cfRule type="expression" dxfId="153" priority="347">
      <formula>AND(ISNUMBER($H193),$H193&gt;=0.8)</formula>
    </cfRule>
  </conditionalFormatting>
  <conditionalFormatting sqref="J3:X3">
    <cfRule type="expression" dxfId="152" priority="9">
      <formula>AND(AND($E3&lt;=J$1+6,$F3&gt;=J$1),$G3="Planned")</formula>
    </cfRule>
    <cfRule type="expression" dxfId="151" priority="10">
      <formula>AND(AND($E3&lt;=J$1+6,$F3&gt;=J$1),$G3="Active")</formula>
    </cfRule>
    <cfRule type="expression" dxfId="150" priority="11">
      <formula>AND(AND($E3&lt;=J$1+6,$F3&gt;=J$1),$G3="Completed")</formula>
    </cfRule>
  </conditionalFormatting>
  <conditionalFormatting sqref="J13:X13">
    <cfRule type="expression" dxfId="149" priority="27">
      <formula>AND(AND($E13&lt;=J$1+6,$F13&gt;=J$1),$G13="Planned")</formula>
    </cfRule>
    <cfRule type="expression" dxfId="148" priority="28">
      <formula>AND(AND($E13&lt;=J$1+6,$F13&gt;=J$1),$G13="Active")</formula>
    </cfRule>
    <cfRule type="expression" dxfId="147" priority="29">
      <formula>AND(AND($E13&lt;=J$1+6,$F13&gt;=J$1),$G13="Completed")</formula>
    </cfRule>
  </conditionalFormatting>
  <conditionalFormatting sqref="J23:X23">
    <cfRule type="expression" dxfId="146" priority="46">
      <formula>AND(AND($E23&lt;=J$1+6,$F23&gt;=J$1),$G23="Active")</formula>
    </cfRule>
    <cfRule type="expression" dxfId="145" priority="45">
      <formula>AND(AND($E23&lt;=J$1+6,$F23&gt;=J$1),$G23="Planned")</formula>
    </cfRule>
    <cfRule type="expression" dxfId="144" priority="47">
      <formula>AND(AND($E23&lt;=J$1+6,$F23&gt;=J$1),$G23="Completed")</formula>
    </cfRule>
  </conditionalFormatting>
  <conditionalFormatting sqref="J33:X33">
    <cfRule type="expression" dxfId="143" priority="64">
      <formula>AND(AND($E33&lt;=J$1+6,$F33&gt;=J$1),$G33="Active")</formula>
    </cfRule>
    <cfRule type="expression" dxfId="142" priority="65">
      <formula>AND(AND($E33&lt;=J$1+6,$F33&gt;=J$1),$G33="Completed")</formula>
    </cfRule>
    <cfRule type="expression" dxfId="141" priority="63">
      <formula>AND(AND($E33&lt;=J$1+6,$F33&gt;=J$1),$G33="Planned")</formula>
    </cfRule>
  </conditionalFormatting>
  <conditionalFormatting sqref="J43:X43">
    <cfRule type="expression" dxfId="140" priority="82">
      <formula>AND(AND($E43&lt;=J$1+6,$F43&gt;=J$1),$G43="Active")</formula>
    </cfRule>
    <cfRule type="expression" dxfId="139" priority="83">
      <formula>AND(AND($E43&lt;=J$1+6,$F43&gt;=J$1),$G43="Completed")</formula>
    </cfRule>
    <cfRule type="expression" dxfId="138" priority="81">
      <formula>AND(AND($E43&lt;=J$1+6,$F43&gt;=J$1),$G43="Planned")</formula>
    </cfRule>
  </conditionalFormatting>
  <conditionalFormatting sqref="J53:X53">
    <cfRule type="expression" dxfId="137" priority="99">
      <formula>AND(AND($E53&lt;=J$1+6,$F53&gt;=J$1),$G53="Planned")</formula>
    </cfRule>
    <cfRule type="expression" dxfId="136" priority="101">
      <formula>AND(AND($E53&lt;=J$1+6,$F53&gt;=J$1),$G53="Completed")</formula>
    </cfRule>
    <cfRule type="expression" dxfId="135" priority="100">
      <formula>AND(AND($E53&lt;=J$1+6,$F53&gt;=J$1),$G53="Active")</formula>
    </cfRule>
  </conditionalFormatting>
  <conditionalFormatting sqref="J63:X63">
    <cfRule type="expression" dxfId="134" priority="119">
      <formula>AND(AND($E63&lt;=J$1+6,$F63&gt;=J$1),$G63="Completed")</formula>
    </cfRule>
    <cfRule type="expression" dxfId="133" priority="117">
      <formula>AND(AND($E63&lt;=J$1+6,$F63&gt;=J$1),$G63="Planned")</formula>
    </cfRule>
    <cfRule type="expression" dxfId="132" priority="118">
      <formula>AND(AND($E63&lt;=J$1+6,$F63&gt;=J$1),$G63="Active")</formula>
    </cfRule>
  </conditionalFormatting>
  <conditionalFormatting sqref="J73:X73">
    <cfRule type="expression" dxfId="131" priority="136">
      <formula>AND(AND($E73&lt;=J$1+6,$F73&gt;=J$1),$G73="Active")</formula>
    </cfRule>
    <cfRule type="expression" dxfId="130" priority="137">
      <formula>AND(AND($E73&lt;=J$1+6,$F73&gt;=J$1),$G73="Completed")</formula>
    </cfRule>
    <cfRule type="expression" dxfId="129" priority="135">
      <formula>AND(AND($E73&lt;=J$1+6,$F73&gt;=J$1),$G73="Planned")</formula>
    </cfRule>
  </conditionalFormatting>
  <conditionalFormatting sqref="J83:X83">
    <cfRule type="expression" dxfId="128" priority="155">
      <formula>AND(AND($E83&lt;=J$1+6,$F83&gt;=J$1),$G83="Completed")</formula>
    </cfRule>
    <cfRule type="expression" dxfId="127" priority="154">
      <formula>AND(AND($E83&lt;=J$1+6,$F83&gt;=J$1),$G83="Active")</formula>
    </cfRule>
    <cfRule type="expression" dxfId="126" priority="153">
      <formula>AND(AND($E83&lt;=J$1+6,$F83&gt;=J$1),$G83="Planned")</formula>
    </cfRule>
  </conditionalFormatting>
  <conditionalFormatting sqref="J93:X93">
    <cfRule type="expression" dxfId="125" priority="171">
      <formula>AND(AND($E93&lt;=J$1+6,$F93&gt;=J$1),$G93="Planned")</formula>
    </cfRule>
    <cfRule type="expression" dxfId="124" priority="172">
      <formula>AND(AND($E93&lt;=J$1+6,$F93&gt;=J$1),$G93="Active")</formula>
    </cfRule>
    <cfRule type="expression" dxfId="123" priority="173">
      <formula>AND(AND($E93&lt;=J$1+6,$F93&gt;=J$1),$G93="Completed")</formula>
    </cfRule>
  </conditionalFormatting>
  <conditionalFormatting sqref="J103:X103">
    <cfRule type="expression" dxfId="122" priority="190">
      <formula>AND(AND($E103&lt;=J$1+6,$F103&gt;=J$1),$G103="Active")</formula>
    </cfRule>
    <cfRule type="expression" dxfId="121" priority="191">
      <formula>AND(AND($E103&lt;=J$1+6,$F103&gt;=J$1),$G103="Completed")</formula>
    </cfRule>
    <cfRule type="expression" dxfId="120" priority="189">
      <formula>AND(AND($E103&lt;=J$1+6,$F103&gt;=J$1),$G103="Planned")</formula>
    </cfRule>
  </conditionalFormatting>
  <conditionalFormatting sqref="J113:X113">
    <cfRule type="expression" dxfId="119" priority="209">
      <formula>AND(AND($E113&lt;=J$1+6,$F113&gt;=J$1),$G113="Completed")</formula>
    </cfRule>
    <cfRule type="expression" dxfId="118" priority="208">
      <formula>AND(AND($E113&lt;=J$1+6,$F113&gt;=J$1),$G113="Active")</formula>
    </cfRule>
    <cfRule type="expression" dxfId="117" priority="207">
      <formula>AND(AND($E113&lt;=J$1+6,$F113&gt;=J$1),$G113="Planned")</formula>
    </cfRule>
  </conditionalFormatting>
  <conditionalFormatting sqref="J123:X123">
    <cfRule type="expression" dxfId="116" priority="225">
      <formula>AND(AND($E123&lt;=J$1+6,$F123&gt;=J$1),$G123="Planned")</formula>
    </cfRule>
    <cfRule type="expression" dxfId="115" priority="226">
      <formula>AND(AND($E123&lt;=J$1+6,$F123&gt;=J$1),$G123="Active")</formula>
    </cfRule>
    <cfRule type="expression" dxfId="114" priority="227">
      <formula>AND(AND($E123&lt;=J$1+6,$F123&gt;=J$1),$G123="Completed")</formula>
    </cfRule>
  </conditionalFormatting>
  <conditionalFormatting sqref="J133:X133">
    <cfRule type="expression" dxfId="113" priority="245">
      <formula>AND(AND($E133&lt;=J$1+6,$F133&gt;=J$1),$G133="Completed")</formula>
    </cfRule>
    <cfRule type="expression" dxfId="112" priority="244">
      <formula>AND(AND($E133&lt;=J$1+6,$F133&gt;=J$1),$G133="Active")</formula>
    </cfRule>
    <cfRule type="expression" dxfId="111" priority="243">
      <formula>AND(AND($E133&lt;=J$1+6,$F133&gt;=J$1),$G133="Planned")</formula>
    </cfRule>
  </conditionalFormatting>
  <conditionalFormatting sqref="J143:X143">
    <cfRule type="expression" dxfId="110" priority="262">
      <formula>AND(AND($E143&lt;=J$1+6,$F143&gt;=J$1),$G143="Active")</formula>
    </cfRule>
    <cfRule type="expression" dxfId="109" priority="263">
      <formula>AND(AND($E143&lt;=J$1+6,$F143&gt;=J$1),$G143="Completed")</formula>
    </cfRule>
    <cfRule type="expression" dxfId="108" priority="261">
      <formula>AND(AND($E143&lt;=J$1+6,$F143&gt;=J$1),$G143="Planned")</formula>
    </cfRule>
  </conditionalFormatting>
  <conditionalFormatting sqref="J153:X153">
    <cfRule type="expression" dxfId="107" priority="281">
      <formula>AND(AND($E153&lt;=J$1+6,$F153&gt;=J$1),$G153="Completed")</formula>
    </cfRule>
    <cfRule type="expression" dxfId="106" priority="280">
      <formula>AND(AND($E153&lt;=J$1+6,$F153&gt;=J$1),$G153="Active")</formula>
    </cfRule>
    <cfRule type="expression" dxfId="105" priority="279">
      <formula>AND(AND($E153&lt;=J$1+6,$F153&gt;=J$1),$G153="Planned")</formula>
    </cfRule>
  </conditionalFormatting>
  <conditionalFormatting sqref="J163:X163">
    <cfRule type="expression" dxfId="104" priority="297">
      <formula>AND(AND($E163&lt;=J$1+6,$F163&gt;=J$1),$G163="Planned")</formula>
    </cfRule>
    <cfRule type="expression" dxfId="103" priority="298">
      <formula>AND(AND($E163&lt;=J$1+6,$F163&gt;=J$1),$G163="Active")</formula>
    </cfRule>
    <cfRule type="expression" dxfId="102" priority="299">
      <formula>AND(AND($E163&lt;=J$1+6,$F163&gt;=J$1),$G163="Completed")</formula>
    </cfRule>
  </conditionalFormatting>
  <conditionalFormatting sqref="J173:X173">
    <cfRule type="expression" dxfId="101" priority="317">
      <formula>AND(AND($E173&lt;=J$1+6,$F173&gt;=J$1),$G173="Completed")</formula>
    </cfRule>
    <cfRule type="expression" dxfId="100" priority="316">
      <formula>AND(AND($E173&lt;=J$1+6,$F173&gt;=J$1),$G173="Active")</formula>
    </cfRule>
    <cfRule type="expression" dxfId="99" priority="315">
      <formula>AND(AND($E173&lt;=J$1+6,$F173&gt;=J$1),$G173="Planned")</formula>
    </cfRule>
  </conditionalFormatting>
  <conditionalFormatting sqref="J183:X183">
    <cfRule type="expression" dxfId="98" priority="334">
      <formula>AND(AND($E183&lt;=J$1+6,$F183&gt;=J$1),$G183="Active")</formula>
    </cfRule>
    <cfRule type="expression" dxfId="97" priority="335">
      <formula>AND(AND($E183&lt;=J$1+6,$F183&gt;=J$1),$G183="Completed")</formula>
    </cfRule>
    <cfRule type="expression" dxfId="96" priority="333">
      <formula>AND(AND($E183&lt;=J$1+6,$F183&gt;=J$1),$G183="Planned")</formula>
    </cfRule>
  </conditionalFormatting>
  <conditionalFormatting sqref="J193:X193">
    <cfRule type="expression" dxfId="95" priority="351">
      <formula>AND(AND($E193&lt;=J$1+6,$F193&gt;=J$1),$G193="Planned")</formula>
    </cfRule>
    <cfRule type="expression" dxfId="94" priority="352">
      <formula>AND(AND($E193&lt;=J$1+6,$F193&gt;=J$1),$G193="Active")</formula>
    </cfRule>
    <cfRule type="expression" dxfId="93" priority="353">
      <formula>AND(AND($E193&lt;=J$1+6,$F193&gt;=J$1),$G193="Completed")</formula>
    </cfRule>
  </conditionalFormatting>
  <dataValidations count="2">
    <dataValidation type="custom" showErrorMessage="1" errorTitle="Use the popup instead" error="Double-click this cell to open the Notes popup instead." sqref="I3 I193 I183 I173 I163 I153 I143 I133 I123 I113 I103 I93 I83 I73 I63 I53 I43 I33 I23 I13" xr:uid="{00000000-0002-0000-0300-000000000000}">
      <formula1>FALSE</formula1>
    </dataValidation>
    <dataValidation type="list" allowBlank="1" sqref="G3 G193 G183 G173 G163 G153 G143 G133 G123 G113 G103 G93 G83 G73 G63 G53 G43 G33 G23 G13" xr:uid="{00000000-0002-0000-0300-000001000000}">
      <formula1>"Planned,Active,Completed"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898781"/>
  </sheetPr>
  <dimension ref="A1:H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22" customWidth="1"/>
    <col min="2" max="3" width="13" customWidth="1"/>
    <col min="4" max="4" width="12" customWidth="1"/>
    <col min="5" max="5" width="10" customWidth="1"/>
    <col min="6" max="6" width="8" customWidth="1"/>
    <col min="7" max="7" width="19" customWidth="1"/>
    <col min="8" max="8" width="13" hidden="1" customWidth="1"/>
  </cols>
  <sheetData>
    <row r="1" spans="1:8" ht="32" customHeight="1" x14ac:dyDescent="0.35">
      <c r="A1" s="4" t="s">
        <v>30</v>
      </c>
      <c r="B1" s="4" t="s">
        <v>6</v>
      </c>
      <c r="C1" s="4" t="s">
        <v>32</v>
      </c>
      <c r="D1" s="4" t="s">
        <v>14</v>
      </c>
      <c r="E1" s="4" t="s">
        <v>33</v>
      </c>
      <c r="F1" s="4" t="s">
        <v>18</v>
      </c>
      <c r="G1" s="4" t="s">
        <v>29</v>
      </c>
      <c r="H1" s="4" t="s">
        <v>34</v>
      </c>
    </row>
    <row r="2" spans="1:8" ht="14.5" x14ac:dyDescent="0.35">
      <c r="B2" s="2"/>
      <c r="C2" s="2"/>
      <c r="D2" s="27"/>
      <c r="E2" s="28"/>
      <c r="F2" s="16"/>
      <c r="G2" s="13"/>
    </row>
  </sheetData>
  <sheetProtection sheet="1"/>
  <conditionalFormatting sqref="A2:H1000">
    <cfRule type="expression" dxfId="92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tabColor rgb="FF1BAF7A"/>
  </sheetPr>
  <dimension ref="A1:W1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3" customWidth="1"/>
    <col min="2" max="2" width="10" customWidth="1"/>
    <col min="3" max="4" width="4" customWidth="1"/>
    <col min="5" max="5" width="32" customWidth="1"/>
    <col min="6" max="7" width="10" customWidth="1"/>
    <col min="8" max="9" width="18" customWidth="1"/>
    <col min="10" max="10" width="10" customWidth="1"/>
    <col min="11" max="11" width="12" customWidth="1"/>
    <col min="12" max="13" width="14" customWidth="1"/>
    <col min="14" max="14" width="8" customWidth="1"/>
    <col min="15" max="19" width="13" hidden="1" customWidth="1"/>
    <col min="20" max="20" width="14" customWidth="1"/>
    <col min="22" max="23" width="13" hidden="1" customWidth="1"/>
  </cols>
  <sheetData>
    <row r="1" spans="1:23" ht="32" customHeight="1" x14ac:dyDescent="0.35">
      <c r="A1" s="4" t="s">
        <v>14</v>
      </c>
      <c r="B1" s="4" t="s">
        <v>3</v>
      </c>
      <c r="C1" s="4" t="s">
        <v>4</v>
      </c>
      <c r="D1" s="4" t="s">
        <v>5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41</v>
      </c>
      <c r="L1" s="4" t="s">
        <v>42</v>
      </c>
      <c r="M1" s="4" t="s">
        <v>43</v>
      </c>
      <c r="N1" s="4" t="s">
        <v>18</v>
      </c>
      <c r="O1" s="4" t="s">
        <v>44</v>
      </c>
      <c r="P1" s="4" t="s">
        <v>45</v>
      </c>
      <c r="Q1" s="4" t="s">
        <v>20</v>
      </c>
      <c r="R1" s="4" t="s">
        <v>21</v>
      </c>
      <c r="S1" s="4" t="s">
        <v>23</v>
      </c>
      <c r="T1" s="4" t="s">
        <v>46</v>
      </c>
      <c r="V1" t="s">
        <v>47</v>
      </c>
      <c r="W1">
        <v>1</v>
      </c>
    </row>
    <row r="2" spans="1:23" ht="14.5" x14ac:dyDescent="0.35">
      <c r="A2" s="6"/>
      <c r="B2" s="5"/>
      <c r="C2" s="6"/>
      <c r="D2" s="6"/>
      <c r="E2" s="6"/>
      <c r="F2" s="5" t="str">
        <f t="shared" ref="F2:F33" si="0">IF(COUNTIF($B$2:$B$101,B2&amp;".*")=0,"",COUNTIF($B$2:$B$101,B2&amp;".*"))</f>
        <v/>
      </c>
      <c r="G2" s="5"/>
      <c r="H2" s="6"/>
      <c r="I2" s="6"/>
      <c r="J2" s="6"/>
      <c r="K2" s="6"/>
      <c r="L2" s="6"/>
      <c r="M2" s="8"/>
      <c r="N2" s="10"/>
      <c r="O2" s="6"/>
      <c r="P2" s="6"/>
      <c r="Q2" s="6"/>
      <c r="R2" s="6"/>
      <c r="S2" s="6"/>
      <c r="T2" s="18"/>
      <c r="V2" t="s">
        <v>48</v>
      </c>
      <c r="W2">
        <v>2</v>
      </c>
    </row>
    <row r="3" spans="1:23" ht="14.5" x14ac:dyDescent="0.35">
      <c r="A3" s="6"/>
      <c r="B3" s="5"/>
      <c r="C3" s="6"/>
      <c r="D3" s="6"/>
      <c r="E3" s="6"/>
      <c r="F3" s="5" t="str">
        <f t="shared" si="0"/>
        <v/>
      </c>
      <c r="G3" s="5"/>
      <c r="H3" s="6"/>
      <c r="I3" s="6"/>
      <c r="J3" s="6"/>
      <c r="K3" s="6"/>
      <c r="L3" s="6"/>
      <c r="M3" s="8"/>
      <c r="N3" s="10"/>
      <c r="O3" s="6"/>
      <c r="P3" s="6"/>
      <c r="Q3" s="6"/>
      <c r="R3" s="6"/>
      <c r="S3" s="6"/>
      <c r="T3" s="18"/>
      <c r="V3" t="s">
        <v>49</v>
      </c>
      <c r="W3">
        <v>3</v>
      </c>
    </row>
    <row r="4" spans="1:23" ht="14.5" x14ac:dyDescent="0.35">
      <c r="A4" s="6"/>
      <c r="B4" s="5"/>
      <c r="C4" s="6"/>
      <c r="D4" s="6"/>
      <c r="E4" s="6"/>
      <c r="F4" s="5" t="str">
        <f t="shared" si="0"/>
        <v/>
      </c>
      <c r="G4" s="5"/>
      <c r="H4" s="6"/>
      <c r="I4" s="6"/>
      <c r="J4" s="6"/>
      <c r="K4" s="6"/>
      <c r="L4" s="6"/>
      <c r="M4" s="8"/>
      <c r="N4" s="10"/>
      <c r="O4" s="6"/>
      <c r="P4" s="6"/>
      <c r="Q4" s="6"/>
      <c r="R4" s="6"/>
      <c r="S4" s="6"/>
      <c r="T4" s="18"/>
      <c r="V4" t="s">
        <v>50</v>
      </c>
      <c r="W4">
        <v>4</v>
      </c>
    </row>
    <row r="5" spans="1:23" ht="14.5" x14ac:dyDescent="0.35">
      <c r="A5" s="6"/>
      <c r="B5" s="5"/>
      <c r="C5" s="6"/>
      <c r="D5" s="6"/>
      <c r="E5" s="6"/>
      <c r="F5" s="5" t="str">
        <f t="shared" si="0"/>
        <v/>
      </c>
      <c r="G5" s="5"/>
      <c r="H5" s="6"/>
      <c r="I5" s="6"/>
      <c r="J5" s="6"/>
      <c r="K5" s="6"/>
      <c r="L5" s="6"/>
      <c r="M5" s="8"/>
      <c r="N5" s="10"/>
      <c r="O5" s="6"/>
      <c r="P5" s="6"/>
      <c r="Q5" s="6"/>
      <c r="R5" s="6"/>
      <c r="S5" s="6"/>
      <c r="T5" s="18"/>
      <c r="V5" t="s">
        <v>51</v>
      </c>
      <c r="W5">
        <v>5</v>
      </c>
    </row>
    <row r="6" spans="1:23" ht="14.5" x14ac:dyDescent="0.35">
      <c r="A6" s="6"/>
      <c r="B6" s="5"/>
      <c r="C6" s="6"/>
      <c r="D6" s="6"/>
      <c r="E6" s="6"/>
      <c r="F6" s="5" t="str">
        <f t="shared" si="0"/>
        <v/>
      </c>
      <c r="G6" s="5"/>
      <c r="H6" s="6"/>
      <c r="I6" s="6"/>
      <c r="J6" s="6"/>
      <c r="K6" s="6"/>
      <c r="L6" s="6"/>
      <c r="M6" s="8"/>
      <c r="N6" s="10"/>
      <c r="O6" s="6"/>
      <c r="P6" s="6"/>
      <c r="Q6" s="6"/>
      <c r="R6" s="6"/>
      <c r="S6" s="6"/>
      <c r="T6" s="18"/>
      <c r="V6" t="s">
        <v>52</v>
      </c>
      <c r="W6">
        <v>6</v>
      </c>
    </row>
    <row r="7" spans="1:23" ht="14.5" x14ac:dyDescent="0.35">
      <c r="A7" s="6"/>
      <c r="B7" s="5"/>
      <c r="C7" s="6"/>
      <c r="D7" s="6"/>
      <c r="E7" s="6"/>
      <c r="F7" s="5" t="str">
        <f t="shared" si="0"/>
        <v/>
      </c>
      <c r="G7" s="5"/>
      <c r="H7" s="6"/>
      <c r="I7" s="6"/>
      <c r="J7" s="6"/>
      <c r="K7" s="6"/>
      <c r="L7" s="6"/>
      <c r="M7" s="8"/>
      <c r="N7" s="10"/>
      <c r="O7" s="6"/>
      <c r="P7" s="6"/>
      <c r="Q7" s="6"/>
      <c r="R7" s="6"/>
      <c r="S7" s="6"/>
      <c r="T7" s="18"/>
      <c r="V7" t="s">
        <v>53</v>
      </c>
      <c r="W7">
        <v>7</v>
      </c>
    </row>
    <row r="8" spans="1:23" ht="14.5" x14ac:dyDescent="0.35">
      <c r="A8" s="6"/>
      <c r="B8" s="5"/>
      <c r="C8" s="6"/>
      <c r="D8" s="6"/>
      <c r="E8" s="6"/>
      <c r="F8" s="5" t="str">
        <f t="shared" si="0"/>
        <v/>
      </c>
      <c r="G8" s="5"/>
      <c r="H8" s="6"/>
      <c r="I8" s="6"/>
      <c r="J8" s="6"/>
      <c r="K8" s="6"/>
      <c r="L8" s="6"/>
      <c r="M8" s="8"/>
      <c r="N8" s="10"/>
      <c r="O8" s="6"/>
      <c r="P8" s="6"/>
      <c r="Q8" s="6"/>
      <c r="R8" s="6"/>
      <c r="S8" s="6"/>
      <c r="T8" s="18"/>
      <c r="W8">
        <v>8</v>
      </c>
    </row>
    <row r="9" spans="1:23" ht="14.5" x14ac:dyDescent="0.35">
      <c r="A9" s="6"/>
      <c r="B9" s="5"/>
      <c r="C9" s="6"/>
      <c r="D9" s="6"/>
      <c r="E9" s="6"/>
      <c r="F9" s="5" t="str">
        <f t="shared" si="0"/>
        <v/>
      </c>
      <c r="G9" s="5"/>
      <c r="H9" s="6"/>
      <c r="I9" s="6"/>
      <c r="J9" s="6"/>
      <c r="K9" s="6"/>
      <c r="L9" s="6"/>
      <c r="M9" s="8"/>
      <c r="N9" s="10"/>
      <c r="O9" s="6"/>
      <c r="P9" s="6"/>
      <c r="Q9" s="6"/>
      <c r="R9" s="6"/>
      <c r="S9" s="6"/>
      <c r="T9" s="18"/>
      <c r="W9">
        <v>9</v>
      </c>
    </row>
    <row r="10" spans="1:23" ht="14.5" x14ac:dyDescent="0.35">
      <c r="A10" s="6"/>
      <c r="B10" s="5"/>
      <c r="C10" s="6"/>
      <c r="D10" s="6"/>
      <c r="E10" s="6"/>
      <c r="F10" s="5" t="str">
        <f t="shared" si="0"/>
        <v/>
      </c>
      <c r="G10" s="5"/>
      <c r="H10" s="6"/>
      <c r="I10" s="6"/>
      <c r="J10" s="6"/>
      <c r="K10" s="6"/>
      <c r="L10" s="6"/>
      <c r="M10" s="8"/>
      <c r="N10" s="10"/>
      <c r="O10" s="6"/>
      <c r="P10" s="6"/>
      <c r="Q10" s="6"/>
      <c r="R10" s="6"/>
      <c r="S10" s="6"/>
      <c r="T10" s="18"/>
      <c r="W10">
        <v>10</v>
      </c>
    </row>
    <row r="11" spans="1:23" ht="14.5" x14ac:dyDescent="0.35">
      <c r="A11" s="6"/>
      <c r="B11" s="5"/>
      <c r="C11" s="6"/>
      <c r="D11" s="6"/>
      <c r="E11" s="6"/>
      <c r="F11" s="5" t="str">
        <f t="shared" si="0"/>
        <v/>
      </c>
      <c r="G11" s="5"/>
      <c r="H11" s="6"/>
      <c r="I11" s="6"/>
      <c r="J11" s="6"/>
      <c r="K11" s="6"/>
      <c r="L11" s="6"/>
      <c r="M11" s="8"/>
      <c r="N11" s="10"/>
      <c r="O11" s="6"/>
      <c r="P11" s="6"/>
      <c r="Q11" s="6"/>
      <c r="R11" s="6"/>
      <c r="S11" s="6"/>
      <c r="T11" s="18"/>
      <c r="W11">
        <v>11</v>
      </c>
    </row>
    <row r="12" spans="1:23" ht="14.5" x14ac:dyDescent="0.35">
      <c r="A12" s="6"/>
      <c r="B12" s="5"/>
      <c r="C12" s="6"/>
      <c r="D12" s="6"/>
      <c r="E12" s="6"/>
      <c r="F12" s="5" t="str">
        <f t="shared" si="0"/>
        <v/>
      </c>
      <c r="G12" s="5"/>
      <c r="H12" s="6"/>
      <c r="I12" s="6"/>
      <c r="J12" s="6"/>
      <c r="K12" s="6"/>
      <c r="L12" s="6"/>
      <c r="M12" s="8"/>
      <c r="N12" s="10"/>
      <c r="O12" s="6"/>
      <c r="P12" s="6"/>
      <c r="Q12" s="6"/>
      <c r="R12" s="6"/>
      <c r="S12" s="6"/>
      <c r="T12" s="18"/>
      <c r="W12">
        <v>12</v>
      </c>
    </row>
    <row r="13" spans="1:23" ht="14.5" x14ac:dyDescent="0.35">
      <c r="A13" s="6"/>
      <c r="B13" s="5"/>
      <c r="C13" s="6"/>
      <c r="D13" s="6"/>
      <c r="E13" s="6"/>
      <c r="F13" s="5" t="str">
        <f t="shared" si="0"/>
        <v/>
      </c>
      <c r="G13" s="5"/>
      <c r="H13" s="6"/>
      <c r="I13" s="6"/>
      <c r="J13" s="6"/>
      <c r="K13" s="6"/>
      <c r="L13" s="6"/>
      <c r="M13" s="8"/>
      <c r="N13" s="10"/>
      <c r="O13" s="6"/>
      <c r="P13" s="6"/>
      <c r="Q13" s="6"/>
      <c r="R13" s="6"/>
      <c r="S13" s="6"/>
      <c r="T13" s="18"/>
      <c r="W13">
        <v>13</v>
      </c>
    </row>
    <row r="14" spans="1:23" ht="14.5" x14ac:dyDescent="0.35">
      <c r="A14" s="6"/>
      <c r="B14" s="5"/>
      <c r="C14" s="6"/>
      <c r="D14" s="6"/>
      <c r="E14" s="6"/>
      <c r="F14" s="5" t="str">
        <f t="shared" si="0"/>
        <v/>
      </c>
      <c r="G14" s="5"/>
      <c r="H14" s="6"/>
      <c r="I14" s="6"/>
      <c r="J14" s="6"/>
      <c r="K14" s="6"/>
      <c r="L14" s="6"/>
      <c r="M14" s="8"/>
      <c r="N14" s="10"/>
      <c r="O14" s="6"/>
      <c r="P14" s="6"/>
      <c r="Q14" s="6"/>
      <c r="R14" s="6"/>
      <c r="S14" s="6"/>
      <c r="T14" s="18"/>
      <c r="W14">
        <v>14</v>
      </c>
    </row>
    <row r="15" spans="1:23" ht="14.5" x14ac:dyDescent="0.35">
      <c r="A15" s="6"/>
      <c r="B15" s="5"/>
      <c r="C15" s="6"/>
      <c r="D15" s="6"/>
      <c r="E15" s="6"/>
      <c r="F15" s="5" t="str">
        <f t="shared" si="0"/>
        <v/>
      </c>
      <c r="G15" s="5"/>
      <c r="H15" s="6"/>
      <c r="I15" s="6"/>
      <c r="J15" s="6"/>
      <c r="K15" s="6"/>
      <c r="L15" s="6"/>
      <c r="M15" s="8"/>
      <c r="N15" s="10"/>
      <c r="O15" s="6"/>
      <c r="P15" s="6"/>
      <c r="Q15" s="6"/>
      <c r="R15" s="6"/>
      <c r="S15" s="6"/>
      <c r="T15" s="18"/>
      <c r="W15">
        <v>15</v>
      </c>
    </row>
    <row r="16" spans="1:23" ht="14.5" x14ac:dyDescent="0.35">
      <c r="A16" s="6"/>
      <c r="B16" s="5"/>
      <c r="C16" s="6"/>
      <c r="D16" s="6"/>
      <c r="E16" s="6"/>
      <c r="F16" s="5" t="str">
        <f t="shared" si="0"/>
        <v/>
      </c>
      <c r="G16" s="5"/>
      <c r="H16" s="6"/>
      <c r="I16" s="6"/>
      <c r="J16" s="6"/>
      <c r="K16" s="6"/>
      <c r="L16" s="6"/>
      <c r="M16" s="8"/>
      <c r="N16" s="10"/>
      <c r="O16" s="6"/>
      <c r="P16" s="6"/>
      <c r="Q16" s="6"/>
      <c r="R16" s="6"/>
      <c r="S16" s="6"/>
      <c r="T16" s="18"/>
      <c r="W16">
        <v>16</v>
      </c>
    </row>
    <row r="17" spans="1:23" ht="14.5" x14ac:dyDescent="0.35">
      <c r="A17" s="6"/>
      <c r="B17" s="5"/>
      <c r="C17" s="6"/>
      <c r="D17" s="6"/>
      <c r="E17" s="6"/>
      <c r="F17" s="5" t="str">
        <f t="shared" si="0"/>
        <v/>
      </c>
      <c r="G17" s="5"/>
      <c r="H17" s="6"/>
      <c r="I17" s="6"/>
      <c r="J17" s="6"/>
      <c r="K17" s="6"/>
      <c r="L17" s="6"/>
      <c r="M17" s="8"/>
      <c r="N17" s="10"/>
      <c r="O17" s="6"/>
      <c r="P17" s="6"/>
      <c r="Q17" s="6"/>
      <c r="R17" s="6"/>
      <c r="S17" s="6"/>
      <c r="T17" s="18"/>
      <c r="W17">
        <v>17</v>
      </c>
    </row>
    <row r="18" spans="1:23" ht="14.5" x14ac:dyDescent="0.35">
      <c r="A18" s="6"/>
      <c r="B18" s="5"/>
      <c r="C18" s="6"/>
      <c r="D18" s="6"/>
      <c r="E18" s="6"/>
      <c r="F18" s="5" t="str">
        <f t="shared" si="0"/>
        <v/>
      </c>
      <c r="G18" s="5"/>
      <c r="H18" s="6"/>
      <c r="I18" s="6"/>
      <c r="J18" s="6"/>
      <c r="K18" s="6"/>
      <c r="L18" s="6"/>
      <c r="M18" s="8"/>
      <c r="N18" s="10"/>
      <c r="O18" s="6"/>
      <c r="P18" s="6"/>
      <c r="Q18" s="6"/>
      <c r="R18" s="6"/>
      <c r="S18" s="6"/>
      <c r="T18" s="18"/>
      <c r="W18">
        <v>18</v>
      </c>
    </row>
    <row r="19" spans="1:23" ht="14.5" x14ac:dyDescent="0.35">
      <c r="A19" s="6"/>
      <c r="B19" s="5"/>
      <c r="C19" s="6"/>
      <c r="D19" s="6"/>
      <c r="E19" s="6"/>
      <c r="F19" s="5" t="str">
        <f t="shared" si="0"/>
        <v/>
      </c>
      <c r="G19" s="5"/>
      <c r="H19" s="6"/>
      <c r="I19" s="6"/>
      <c r="J19" s="6"/>
      <c r="K19" s="6"/>
      <c r="L19" s="6"/>
      <c r="M19" s="8"/>
      <c r="N19" s="10"/>
      <c r="O19" s="6"/>
      <c r="P19" s="6"/>
      <c r="Q19" s="6"/>
      <c r="R19" s="6"/>
      <c r="S19" s="6"/>
      <c r="T19" s="18"/>
      <c r="W19">
        <v>19</v>
      </c>
    </row>
    <row r="20" spans="1:23" ht="14.5" x14ac:dyDescent="0.35">
      <c r="A20" s="6"/>
      <c r="B20" s="5"/>
      <c r="C20" s="6"/>
      <c r="D20" s="6"/>
      <c r="E20" s="6"/>
      <c r="F20" s="5" t="str">
        <f t="shared" si="0"/>
        <v/>
      </c>
      <c r="G20" s="5"/>
      <c r="H20" s="6"/>
      <c r="I20" s="6"/>
      <c r="J20" s="6"/>
      <c r="K20" s="6"/>
      <c r="L20" s="6"/>
      <c r="M20" s="8"/>
      <c r="N20" s="10"/>
      <c r="O20" s="6"/>
      <c r="P20" s="6"/>
      <c r="Q20" s="6"/>
      <c r="R20" s="6"/>
      <c r="S20" s="6"/>
      <c r="T20" s="18"/>
      <c r="W20">
        <v>20</v>
      </c>
    </row>
    <row r="21" spans="1:23" ht="14.5" x14ac:dyDescent="0.35">
      <c r="A21" s="6"/>
      <c r="B21" s="5"/>
      <c r="C21" s="6"/>
      <c r="D21" s="6"/>
      <c r="E21" s="6"/>
      <c r="F21" s="5" t="str">
        <f t="shared" si="0"/>
        <v/>
      </c>
      <c r="G21" s="5"/>
      <c r="H21" s="6"/>
      <c r="I21" s="6"/>
      <c r="J21" s="6"/>
      <c r="K21" s="6"/>
      <c r="L21" s="6"/>
      <c r="M21" s="8"/>
      <c r="N21" s="10"/>
      <c r="O21" s="6"/>
      <c r="P21" s="6"/>
      <c r="Q21" s="6"/>
      <c r="R21" s="6"/>
      <c r="S21" s="6"/>
      <c r="T21" s="18"/>
      <c r="W21">
        <v>21</v>
      </c>
    </row>
    <row r="22" spans="1:23" ht="14.5" x14ac:dyDescent="0.35">
      <c r="A22" s="6"/>
      <c r="B22" s="5"/>
      <c r="C22" s="6"/>
      <c r="D22" s="6"/>
      <c r="E22" s="6"/>
      <c r="F22" s="5" t="str">
        <f t="shared" si="0"/>
        <v/>
      </c>
      <c r="G22" s="5"/>
      <c r="H22" s="6"/>
      <c r="I22" s="6"/>
      <c r="J22" s="6"/>
      <c r="K22" s="6"/>
      <c r="L22" s="6"/>
      <c r="M22" s="8"/>
      <c r="N22" s="10"/>
      <c r="O22" s="6"/>
      <c r="P22" s="6"/>
      <c r="Q22" s="6"/>
      <c r="R22" s="6"/>
      <c r="S22" s="6"/>
      <c r="T22" s="18"/>
      <c r="W22">
        <v>22</v>
      </c>
    </row>
    <row r="23" spans="1:23" ht="14.5" x14ac:dyDescent="0.35">
      <c r="A23" s="6"/>
      <c r="B23" s="5"/>
      <c r="C23" s="6"/>
      <c r="D23" s="6"/>
      <c r="E23" s="6"/>
      <c r="F23" s="5" t="str">
        <f t="shared" si="0"/>
        <v/>
      </c>
      <c r="G23" s="5"/>
      <c r="H23" s="6"/>
      <c r="I23" s="6"/>
      <c r="J23" s="6"/>
      <c r="K23" s="6"/>
      <c r="L23" s="6"/>
      <c r="M23" s="8"/>
      <c r="N23" s="10"/>
      <c r="O23" s="6"/>
      <c r="P23" s="6"/>
      <c r="Q23" s="6"/>
      <c r="R23" s="6"/>
      <c r="S23" s="6"/>
      <c r="T23" s="18"/>
      <c r="W23">
        <v>23</v>
      </c>
    </row>
    <row r="24" spans="1:23" ht="14.5" x14ac:dyDescent="0.35">
      <c r="A24" s="6"/>
      <c r="B24" s="5"/>
      <c r="C24" s="6"/>
      <c r="D24" s="6"/>
      <c r="E24" s="6"/>
      <c r="F24" s="5" t="str">
        <f t="shared" si="0"/>
        <v/>
      </c>
      <c r="G24" s="5"/>
      <c r="H24" s="6"/>
      <c r="I24" s="6"/>
      <c r="J24" s="6"/>
      <c r="K24" s="6"/>
      <c r="L24" s="6"/>
      <c r="M24" s="8"/>
      <c r="N24" s="10"/>
      <c r="O24" s="6"/>
      <c r="P24" s="6"/>
      <c r="Q24" s="6"/>
      <c r="R24" s="6"/>
      <c r="S24" s="6"/>
      <c r="T24" s="18"/>
      <c r="W24">
        <v>24</v>
      </c>
    </row>
    <row r="25" spans="1:23" ht="14.5" x14ac:dyDescent="0.35">
      <c r="A25" s="6"/>
      <c r="B25" s="5"/>
      <c r="C25" s="6"/>
      <c r="D25" s="6"/>
      <c r="E25" s="6"/>
      <c r="F25" s="5" t="str">
        <f t="shared" si="0"/>
        <v/>
      </c>
      <c r="G25" s="5"/>
      <c r="H25" s="6"/>
      <c r="I25" s="6"/>
      <c r="J25" s="6"/>
      <c r="K25" s="6"/>
      <c r="L25" s="6"/>
      <c r="M25" s="8"/>
      <c r="N25" s="10"/>
      <c r="O25" s="6"/>
      <c r="P25" s="6"/>
      <c r="Q25" s="6"/>
      <c r="R25" s="6"/>
      <c r="S25" s="6"/>
      <c r="T25" s="18"/>
      <c r="W25">
        <v>25</v>
      </c>
    </row>
    <row r="26" spans="1:23" ht="14.5" x14ac:dyDescent="0.35">
      <c r="A26" s="6"/>
      <c r="B26" s="5"/>
      <c r="C26" s="6"/>
      <c r="D26" s="6"/>
      <c r="E26" s="6"/>
      <c r="F26" s="5" t="str">
        <f t="shared" si="0"/>
        <v/>
      </c>
      <c r="G26" s="5"/>
      <c r="H26" s="6"/>
      <c r="I26" s="6"/>
      <c r="J26" s="6"/>
      <c r="K26" s="6"/>
      <c r="L26" s="6"/>
      <c r="M26" s="8"/>
      <c r="N26" s="10"/>
      <c r="O26" s="6"/>
      <c r="P26" s="6"/>
      <c r="Q26" s="6"/>
      <c r="R26" s="6"/>
      <c r="S26" s="6"/>
      <c r="T26" s="18"/>
      <c r="W26">
        <v>26</v>
      </c>
    </row>
    <row r="27" spans="1:23" ht="14.5" x14ac:dyDescent="0.35">
      <c r="A27" s="6"/>
      <c r="B27" s="5"/>
      <c r="C27" s="6"/>
      <c r="D27" s="6"/>
      <c r="E27" s="6"/>
      <c r="F27" s="5" t="str">
        <f t="shared" si="0"/>
        <v/>
      </c>
      <c r="G27" s="5"/>
      <c r="H27" s="6"/>
      <c r="I27" s="6"/>
      <c r="J27" s="6"/>
      <c r="K27" s="6"/>
      <c r="L27" s="6"/>
      <c r="M27" s="8"/>
      <c r="N27" s="10"/>
      <c r="O27" s="6"/>
      <c r="P27" s="6"/>
      <c r="Q27" s="6"/>
      <c r="R27" s="6"/>
      <c r="S27" s="6"/>
      <c r="T27" s="18"/>
      <c r="W27">
        <v>27</v>
      </c>
    </row>
    <row r="28" spans="1:23" ht="14.5" x14ac:dyDescent="0.35">
      <c r="A28" s="6"/>
      <c r="B28" s="5"/>
      <c r="C28" s="6"/>
      <c r="D28" s="6"/>
      <c r="E28" s="6"/>
      <c r="F28" s="5" t="str">
        <f t="shared" si="0"/>
        <v/>
      </c>
      <c r="G28" s="5"/>
      <c r="H28" s="6"/>
      <c r="I28" s="6"/>
      <c r="J28" s="6"/>
      <c r="K28" s="6"/>
      <c r="L28" s="6"/>
      <c r="M28" s="8"/>
      <c r="N28" s="10"/>
      <c r="O28" s="6"/>
      <c r="P28" s="6"/>
      <c r="Q28" s="6"/>
      <c r="R28" s="6"/>
      <c r="S28" s="6"/>
      <c r="T28" s="18"/>
      <c r="W28">
        <v>28</v>
      </c>
    </row>
    <row r="29" spans="1:23" ht="14.5" x14ac:dyDescent="0.35">
      <c r="A29" s="6"/>
      <c r="B29" s="5"/>
      <c r="C29" s="6"/>
      <c r="D29" s="6"/>
      <c r="E29" s="6"/>
      <c r="F29" s="5" t="str">
        <f t="shared" si="0"/>
        <v/>
      </c>
      <c r="G29" s="5"/>
      <c r="H29" s="6"/>
      <c r="I29" s="6"/>
      <c r="J29" s="6"/>
      <c r="K29" s="6"/>
      <c r="L29" s="6"/>
      <c r="M29" s="8"/>
      <c r="N29" s="10"/>
      <c r="O29" s="6"/>
      <c r="P29" s="6"/>
      <c r="Q29" s="6"/>
      <c r="R29" s="6"/>
      <c r="S29" s="6"/>
      <c r="T29" s="18"/>
      <c r="W29">
        <v>29</v>
      </c>
    </row>
    <row r="30" spans="1:23" ht="14.5" x14ac:dyDescent="0.35">
      <c r="A30" s="6"/>
      <c r="B30" s="5"/>
      <c r="C30" s="6"/>
      <c r="D30" s="6"/>
      <c r="E30" s="6"/>
      <c r="F30" s="5" t="str">
        <f t="shared" si="0"/>
        <v/>
      </c>
      <c r="G30" s="5"/>
      <c r="H30" s="6"/>
      <c r="I30" s="6"/>
      <c r="J30" s="6"/>
      <c r="K30" s="6"/>
      <c r="L30" s="6"/>
      <c r="M30" s="8"/>
      <c r="N30" s="10"/>
      <c r="O30" s="6"/>
      <c r="P30" s="6"/>
      <c r="Q30" s="6"/>
      <c r="R30" s="6"/>
      <c r="S30" s="6"/>
      <c r="T30" s="18"/>
      <c r="W30">
        <v>30</v>
      </c>
    </row>
    <row r="31" spans="1:23" ht="14.5" x14ac:dyDescent="0.35">
      <c r="A31" s="6"/>
      <c r="B31" s="5"/>
      <c r="C31" s="6"/>
      <c r="D31" s="6"/>
      <c r="E31" s="6"/>
      <c r="F31" s="5" t="str">
        <f t="shared" si="0"/>
        <v/>
      </c>
      <c r="G31" s="5"/>
      <c r="H31" s="6"/>
      <c r="I31" s="6"/>
      <c r="J31" s="6"/>
      <c r="K31" s="6"/>
      <c r="L31" s="6"/>
      <c r="M31" s="8"/>
      <c r="N31" s="10"/>
      <c r="O31" s="6"/>
      <c r="P31" s="6"/>
      <c r="Q31" s="6"/>
      <c r="R31" s="6"/>
      <c r="S31" s="6"/>
      <c r="T31" s="18"/>
      <c r="W31">
        <v>31</v>
      </c>
    </row>
    <row r="32" spans="1:23" ht="14.5" x14ac:dyDescent="0.35">
      <c r="A32" s="6"/>
      <c r="B32" s="5"/>
      <c r="C32" s="6"/>
      <c r="D32" s="6"/>
      <c r="E32" s="6"/>
      <c r="F32" s="5" t="str">
        <f t="shared" si="0"/>
        <v/>
      </c>
      <c r="G32" s="5"/>
      <c r="H32" s="6"/>
      <c r="I32" s="6"/>
      <c r="J32" s="6"/>
      <c r="K32" s="6"/>
      <c r="L32" s="6"/>
      <c r="M32" s="8"/>
      <c r="N32" s="10"/>
      <c r="O32" s="6"/>
      <c r="P32" s="6"/>
      <c r="Q32" s="6"/>
      <c r="R32" s="6"/>
      <c r="S32" s="6"/>
      <c r="T32" s="18"/>
    </row>
    <row r="33" spans="1:20" ht="14.5" x14ac:dyDescent="0.35">
      <c r="A33" s="6"/>
      <c r="B33" s="5"/>
      <c r="C33" s="6"/>
      <c r="D33" s="6"/>
      <c r="E33" s="6"/>
      <c r="F33" s="5" t="str">
        <f t="shared" si="0"/>
        <v/>
      </c>
      <c r="G33" s="5"/>
      <c r="H33" s="6"/>
      <c r="I33" s="6"/>
      <c r="J33" s="6"/>
      <c r="K33" s="6"/>
      <c r="L33" s="6"/>
      <c r="M33" s="8"/>
      <c r="N33" s="10"/>
      <c r="O33" s="6"/>
      <c r="P33" s="6"/>
      <c r="Q33" s="6"/>
      <c r="R33" s="6"/>
      <c r="S33" s="6"/>
      <c r="T33" s="18"/>
    </row>
    <row r="34" spans="1:20" ht="14.5" x14ac:dyDescent="0.35">
      <c r="A34" s="6"/>
      <c r="B34" s="5"/>
      <c r="C34" s="6"/>
      <c r="D34" s="6"/>
      <c r="E34" s="6"/>
      <c r="F34" s="5" t="str">
        <f t="shared" ref="F34:F65" si="1">IF(COUNTIF($B$2:$B$101,B34&amp;".*")=0,"",COUNTIF($B$2:$B$101,B34&amp;".*"))</f>
        <v/>
      </c>
      <c r="G34" s="5"/>
      <c r="H34" s="6"/>
      <c r="I34" s="6"/>
      <c r="J34" s="6"/>
      <c r="K34" s="6"/>
      <c r="L34" s="6"/>
      <c r="M34" s="8"/>
      <c r="N34" s="10"/>
      <c r="O34" s="6"/>
      <c r="P34" s="6"/>
      <c r="Q34" s="6"/>
      <c r="R34" s="6"/>
      <c r="S34" s="6"/>
      <c r="T34" s="18"/>
    </row>
    <row r="35" spans="1:20" ht="14.5" x14ac:dyDescent="0.35">
      <c r="A35" s="6"/>
      <c r="B35" s="5"/>
      <c r="C35" s="6"/>
      <c r="D35" s="6"/>
      <c r="E35" s="6"/>
      <c r="F35" s="5" t="str">
        <f t="shared" si="1"/>
        <v/>
      </c>
      <c r="G35" s="5"/>
      <c r="H35" s="6"/>
      <c r="I35" s="6"/>
      <c r="J35" s="6"/>
      <c r="K35" s="6"/>
      <c r="L35" s="6"/>
      <c r="M35" s="8"/>
      <c r="N35" s="10"/>
      <c r="O35" s="6"/>
      <c r="P35" s="6"/>
      <c r="Q35" s="6"/>
      <c r="R35" s="6"/>
      <c r="S35" s="6"/>
      <c r="T35" s="18"/>
    </row>
    <row r="36" spans="1:20" ht="14.5" x14ac:dyDescent="0.35">
      <c r="A36" s="6"/>
      <c r="B36" s="5"/>
      <c r="C36" s="6"/>
      <c r="D36" s="6"/>
      <c r="E36" s="6"/>
      <c r="F36" s="5" t="str">
        <f t="shared" si="1"/>
        <v/>
      </c>
      <c r="G36" s="5"/>
      <c r="H36" s="6"/>
      <c r="I36" s="6"/>
      <c r="J36" s="6"/>
      <c r="K36" s="6"/>
      <c r="L36" s="6"/>
      <c r="M36" s="8"/>
      <c r="N36" s="10"/>
      <c r="O36" s="6"/>
      <c r="P36" s="6"/>
      <c r="Q36" s="6"/>
      <c r="R36" s="6"/>
      <c r="S36" s="6"/>
      <c r="T36" s="18"/>
    </row>
    <row r="37" spans="1:20" ht="14.5" x14ac:dyDescent="0.35">
      <c r="A37" s="6"/>
      <c r="B37" s="5"/>
      <c r="C37" s="6"/>
      <c r="D37" s="6"/>
      <c r="E37" s="6"/>
      <c r="F37" s="5" t="str">
        <f t="shared" si="1"/>
        <v/>
      </c>
      <c r="G37" s="5"/>
      <c r="H37" s="6"/>
      <c r="I37" s="6"/>
      <c r="J37" s="6"/>
      <c r="K37" s="6"/>
      <c r="L37" s="6"/>
      <c r="M37" s="8"/>
      <c r="N37" s="10"/>
      <c r="O37" s="6"/>
      <c r="P37" s="6"/>
      <c r="Q37" s="6"/>
      <c r="R37" s="6"/>
      <c r="S37" s="6"/>
      <c r="T37" s="18"/>
    </row>
    <row r="38" spans="1:20" ht="14.5" x14ac:dyDescent="0.35">
      <c r="A38" s="6"/>
      <c r="B38" s="5"/>
      <c r="C38" s="6"/>
      <c r="D38" s="6"/>
      <c r="E38" s="6"/>
      <c r="F38" s="5" t="str">
        <f t="shared" si="1"/>
        <v/>
      </c>
      <c r="G38" s="5"/>
      <c r="H38" s="6"/>
      <c r="I38" s="6"/>
      <c r="J38" s="6"/>
      <c r="K38" s="6"/>
      <c r="L38" s="6"/>
      <c r="M38" s="8"/>
      <c r="N38" s="10"/>
      <c r="O38" s="6"/>
      <c r="P38" s="6"/>
      <c r="Q38" s="6"/>
      <c r="R38" s="6"/>
      <c r="S38" s="6"/>
      <c r="T38" s="18"/>
    </row>
    <row r="39" spans="1:20" ht="14.5" x14ac:dyDescent="0.35">
      <c r="A39" s="6"/>
      <c r="B39" s="5"/>
      <c r="C39" s="6"/>
      <c r="D39" s="6"/>
      <c r="E39" s="6"/>
      <c r="F39" s="5" t="str">
        <f t="shared" si="1"/>
        <v/>
      </c>
      <c r="G39" s="5"/>
      <c r="H39" s="6"/>
      <c r="I39" s="6"/>
      <c r="J39" s="6"/>
      <c r="K39" s="6"/>
      <c r="L39" s="6"/>
      <c r="M39" s="8"/>
      <c r="N39" s="10"/>
      <c r="O39" s="6"/>
      <c r="P39" s="6"/>
      <c r="Q39" s="6"/>
      <c r="R39" s="6"/>
      <c r="S39" s="6"/>
      <c r="T39" s="18"/>
    </row>
    <row r="40" spans="1:20" ht="14.5" x14ac:dyDescent="0.35">
      <c r="A40" s="6"/>
      <c r="B40" s="5"/>
      <c r="C40" s="6"/>
      <c r="D40" s="6"/>
      <c r="E40" s="6"/>
      <c r="F40" s="5" t="str">
        <f t="shared" si="1"/>
        <v/>
      </c>
      <c r="G40" s="5"/>
      <c r="H40" s="6"/>
      <c r="I40" s="6"/>
      <c r="J40" s="6"/>
      <c r="K40" s="6"/>
      <c r="L40" s="6"/>
      <c r="M40" s="8"/>
      <c r="N40" s="10"/>
      <c r="O40" s="6"/>
      <c r="P40" s="6"/>
      <c r="Q40" s="6"/>
      <c r="R40" s="6"/>
      <c r="S40" s="6"/>
      <c r="T40" s="18"/>
    </row>
    <row r="41" spans="1:20" ht="14.5" x14ac:dyDescent="0.35">
      <c r="A41" s="6"/>
      <c r="B41" s="5"/>
      <c r="C41" s="6"/>
      <c r="D41" s="6"/>
      <c r="E41" s="6"/>
      <c r="F41" s="5" t="str">
        <f t="shared" si="1"/>
        <v/>
      </c>
      <c r="G41" s="5"/>
      <c r="H41" s="6"/>
      <c r="I41" s="6"/>
      <c r="J41" s="6"/>
      <c r="K41" s="6"/>
      <c r="L41" s="6"/>
      <c r="M41" s="8"/>
      <c r="N41" s="10"/>
      <c r="O41" s="6"/>
      <c r="P41" s="6"/>
      <c r="Q41" s="6"/>
      <c r="R41" s="6"/>
      <c r="S41" s="6"/>
      <c r="T41" s="18"/>
    </row>
    <row r="42" spans="1:20" ht="14.5" x14ac:dyDescent="0.35">
      <c r="A42" s="6"/>
      <c r="B42" s="5"/>
      <c r="C42" s="6"/>
      <c r="D42" s="6"/>
      <c r="E42" s="6"/>
      <c r="F42" s="5" t="str">
        <f t="shared" si="1"/>
        <v/>
      </c>
      <c r="G42" s="5"/>
      <c r="H42" s="6"/>
      <c r="I42" s="6"/>
      <c r="J42" s="6"/>
      <c r="K42" s="6"/>
      <c r="L42" s="6"/>
      <c r="M42" s="8"/>
      <c r="N42" s="10"/>
      <c r="O42" s="6"/>
      <c r="P42" s="6"/>
      <c r="Q42" s="6"/>
      <c r="R42" s="6"/>
      <c r="S42" s="6"/>
      <c r="T42" s="18"/>
    </row>
    <row r="43" spans="1:20" ht="14.5" x14ac:dyDescent="0.35">
      <c r="A43" s="6"/>
      <c r="B43" s="5"/>
      <c r="C43" s="6"/>
      <c r="D43" s="6"/>
      <c r="E43" s="6"/>
      <c r="F43" s="5" t="str">
        <f t="shared" si="1"/>
        <v/>
      </c>
      <c r="G43" s="5"/>
      <c r="H43" s="6"/>
      <c r="I43" s="6"/>
      <c r="J43" s="6"/>
      <c r="K43" s="6"/>
      <c r="L43" s="6"/>
      <c r="M43" s="8"/>
      <c r="N43" s="10"/>
      <c r="O43" s="6"/>
      <c r="P43" s="6"/>
      <c r="Q43" s="6"/>
      <c r="R43" s="6"/>
      <c r="S43" s="6"/>
      <c r="T43" s="18"/>
    </row>
    <row r="44" spans="1:20" ht="14.5" x14ac:dyDescent="0.35">
      <c r="A44" s="6"/>
      <c r="B44" s="5"/>
      <c r="C44" s="6"/>
      <c r="D44" s="6"/>
      <c r="E44" s="6"/>
      <c r="F44" s="5" t="str">
        <f t="shared" si="1"/>
        <v/>
      </c>
      <c r="G44" s="5"/>
      <c r="H44" s="6"/>
      <c r="I44" s="6"/>
      <c r="J44" s="6"/>
      <c r="K44" s="6"/>
      <c r="L44" s="6"/>
      <c r="M44" s="8"/>
      <c r="N44" s="10"/>
      <c r="O44" s="6"/>
      <c r="P44" s="6"/>
      <c r="Q44" s="6"/>
      <c r="R44" s="6"/>
      <c r="S44" s="6"/>
      <c r="T44" s="18"/>
    </row>
    <row r="45" spans="1:20" ht="14.5" x14ac:dyDescent="0.35">
      <c r="A45" s="6"/>
      <c r="B45" s="5"/>
      <c r="C45" s="6"/>
      <c r="D45" s="6"/>
      <c r="E45" s="6"/>
      <c r="F45" s="5" t="str">
        <f t="shared" si="1"/>
        <v/>
      </c>
      <c r="G45" s="5"/>
      <c r="H45" s="6"/>
      <c r="I45" s="6"/>
      <c r="J45" s="6"/>
      <c r="K45" s="6"/>
      <c r="L45" s="6"/>
      <c r="M45" s="8"/>
      <c r="N45" s="10"/>
      <c r="O45" s="6"/>
      <c r="P45" s="6"/>
      <c r="Q45" s="6"/>
      <c r="R45" s="6"/>
      <c r="S45" s="6"/>
      <c r="T45" s="18"/>
    </row>
    <row r="46" spans="1:20" ht="14.5" x14ac:dyDescent="0.35">
      <c r="A46" s="6"/>
      <c r="B46" s="5"/>
      <c r="C46" s="6"/>
      <c r="D46" s="6"/>
      <c r="E46" s="6"/>
      <c r="F46" s="5" t="str">
        <f t="shared" si="1"/>
        <v/>
      </c>
      <c r="G46" s="5"/>
      <c r="H46" s="6"/>
      <c r="I46" s="6"/>
      <c r="J46" s="6"/>
      <c r="K46" s="6"/>
      <c r="L46" s="6"/>
      <c r="M46" s="8"/>
      <c r="N46" s="10"/>
      <c r="O46" s="6"/>
      <c r="P46" s="6"/>
      <c r="Q46" s="6"/>
      <c r="R46" s="6"/>
      <c r="S46" s="6"/>
      <c r="T46" s="18"/>
    </row>
    <row r="47" spans="1:20" ht="14.5" x14ac:dyDescent="0.35">
      <c r="A47" s="6"/>
      <c r="B47" s="5"/>
      <c r="C47" s="6"/>
      <c r="D47" s="6"/>
      <c r="E47" s="6"/>
      <c r="F47" s="5" t="str">
        <f t="shared" si="1"/>
        <v/>
      </c>
      <c r="G47" s="5"/>
      <c r="H47" s="6"/>
      <c r="I47" s="6"/>
      <c r="J47" s="6"/>
      <c r="K47" s="6"/>
      <c r="L47" s="6"/>
      <c r="M47" s="8"/>
      <c r="N47" s="10"/>
      <c r="O47" s="6"/>
      <c r="P47" s="6"/>
      <c r="Q47" s="6"/>
      <c r="R47" s="6"/>
      <c r="S47" s="6"/>
      <c r="T47" s="18"/>
    </row>
    <row r="48" spans="1:20" ht="14.5" x14ac:dyDescent="0.35">
      <c r="A48" s="6"/>
      <c r="B48" s="5"/>
      <c r="C48" s="6"/>
      <c r="D48" s="6"/>
      <c r="E48" s="6"/>
      <c r="F48" s="5" t="str">
        <f t="shared" si="1"/>
        <v/>
      </c>
      <c r="G48" s="5"/>
      <c r="H48" s="6"/>
      <c r="I48" s="6"/>
      <c r="J48" s="6"/>
      <c r="K48" s="6"/>
      <c r="L48" s="6"/>
      <c r="M48" s="8"/>
      <c r="N48" s="10"/>
      <c r="O48" s="6"/>
      <c r="P48" s="6"/>
      <c r="Q48" s="6"/>
      <c r="R48" s="6"/>
      <c r="S48" s="6"/>
      <c r="T48" s="18"/>
    </row>
    <row r="49" spans="1:20" ht="14.5" x14ac:dyDescent="0.35">
      <c r="A49" s="6"/>
      <c r="B49" s="5"/>
      <c r="C49" s="6"/>
      <c r="D49" s="6"/>
      <c r="E49" s="6"/>
      <c r="F49" s="5" t="str">
        <f t="shared" si="1"/>
        <v/>
      </c>
      <c r="G49" s="5"/>
      <c r="H49" s="6"/>
      <c r="I49" s="6"/>
      <c r="J49" s="6"/>
      <c r="K49" s="6"/>
      <c r="L49" s="6"/>
      <c r="M49" s="8"/>
      <c r="N49" s="10"/>
      <c r="O49" s="6"/>
      <c r="P49" s="6"/>
      <c r="Q49" s="6"/>
      <c r="R49" s="6"/>
      <c r="S49" s="6"/>
      <c r="T49" s="18"/>
    </row>
    <row r="50" spans="1:20" ht="14.5" x14ac:dyDescent="0.35">
      <c r="A50" s="6"/>
      <c r="B50" s="5"/>
      <c r="C50" s="6"/>
      <c r="D50" s="6"/>
      <c r="E50" s="6"/>
      <c r="F50" s="5" t="str">
        <f t="shared" si="1"/>
        <v/>
      </c>
      <c r="G50" s="5"/>
      <c r="H50" s="6"/>
      <c r="I50" s="6"/>
      <c r="J50" s="6"/>
      <c r="K50" s="6"/>
      <c r="L50" s="6"/>
      <c r="M50" s="8"/>
      <c r="N50" s="10"/>
      <c r="O50" s="6"/>
      <c r="P50" s="6"/>
      <c r="Q50" s="6"/>
      <c r="R50" s="6"/>
      <c r="S50" s="6"/>
      <c r="T50" s="18"/>
    </row>
    <row r="51" spans="1:20" ht="14.5" x14ac:dyDescent="0.35">
      <c r="A51" s="6"/>
      <c r="B51" s="5"/>
      <c r="C51" s="6"/>
      <c r="D51" s="6"/>
      <c r="E51" s="6"/>
      <c r="F51" s="5" t="str">
        <f t="shared" si="1"/>
        <v/>
      </c>
      <c r="G51" s="5"/>
      <c r="H51" s="6"/>
      <c r="I51" s="6"/>
      <c r="J51" s="6"/>
      <c r="K51" s="6"/>
      <c r="L51" s="6"/>
      <c r="M51" s="8"/>
      <c r="N51" s="10"/>
      <c r="O51" s="6"/>
      <c r="P51" s="6"/>
      <c r="Q51" s="6"/>
      <c r="R51" s="6"/>
      <c r="S51" s="6"/>
      <c r="T51" s="18"/>
    </row>
    <row r="52" spans="1:20" ht="14.5" x14ac:dyDescent="0.35">
      <c r="A52" s="6"/>
      <c r="B52" s="5"/>
      <c r="C52" s="6"/>
      <c r="D52" s="6"/>
      <c r="E52" s="6"/>
      <c r="F52" s="5" t="str">
        <f t="shared" si="1"/>
        <v/>
      </c>
      <c r="G52" s="5"/>
      <c r="H52" s="6"/>
      <c r="I52" s="6"/>
      <c r="J52" s="6"/>
      <c r="K52" s="6"/>
      <c r="L52" s="6"/>
      <c r="M52" s="8"/>
      <c r="N52" s="10"/>
      <c r="O52" s="6"/>
      <c r="P52" s="6"/>
      <c r="Q52" s="6"/>
      <c r="R52" s="6"/>
      <c r="S52" s="6"/>
      <c r="T52" s="18"/>
    </row>
    <row r="53" spans="1:20" ht="14.5" x14ac:dyDescent="0.35">
      <c r="A53" s="6"/>
      <c r="B53" s="5"/>
      <c r="C53" s="6"/>
      <c r="D53" s="6"/>
      <c r="E53" s="6"/>
      <c r="F53" s="5" t="str">
        <f t="shared" si="1"/>
        <v/>
      </c>
      <c r="G53" s="5"/>
      <c r="H53" s="6"/>
      <c r="I53" s="6"/>
      <c r="J53" s="6"/>
      <c r="K53" s="6"/>
      <c r="L53" s="6"/>
      <c r="M53" s="8"/>
      <c r="N53" s="10"/>
      <c r="O53" s="6"/>
      <c r="P53" s="6"/>
      <c r="Q53" s="6"/>
      <c r="R53" s="6"/>
      <c r="S53" s="6"/>
      <c r="T53" s="18"/>
    </row>
    <row r="54" spans="1:20" ht="14.5" x14ac:dyDescent="0.35">
      <c r="A54" s="6"/>
      <c r="B54" s="5"/>
      <c r="C54" s="6"/>
      <c r="D54" s="6"/>
      <c r="E54" s="6"/>
      <c r="F54" s="5" t="str">
        <f t="shared" si="1"/>
        <v/>
      </c>
      <c r="G54" s="5"/>
      <c r="H54" s="6"/>
      <c r="I54" s="6"/>
      <c r="J54" s="6"/>
      <c r="K54" s="6"/>
      <c r="L54" s="6"/>
      <c r="M54" s="8"/>
      <c r="N54" s="10"/>
      <c r="O54" s="6"/>
      <c r="P54" s="6"/>
      <c r="Q54" s="6"/>
      <c r="R54" s="6"/>
      <c r="S54" s="6"/>
      <c r="T54" s="18"/>
    </row>
    <row r="55" spans="1:20" ht="14.5" x14ac:dyDescent="0.35">
      <c r="A55" s="6"/>
      <c r="B55" s="5"/>
      <c r="C55" s="6"/>
      <c r="D55" s="6"/>
      <c r="E55" s="6"/>
      <c r="F55" s="5" t="str">
        <f t="shared" si="1"/>
        <v/>
      </c>
      <c r="G55" s="5"/>
      <c r="H55" s="6"/>
      <c r="I55" s="6"/>
      <c r="J55" s="6"/>
      <c r="K55" s="6"/>
      <c r="L55" s="6"/>
      <c r="M55" s="8"/>
      <c r="N55" s="10"/>
      <c r="O55" s="6"/>
      <c r="P55" s="6"/>
      <c r="Q55" s="6"/>
      <c r="R55" s="6"/>
      <c r="S55" s="6"/>
      <c r="T55" s="18"/>
    </row>
    <row r="56" spans="1:20" ht="14.5" x14ac:dyDescent="0.35">
      <c r="A56" s="6"/>
      <c r="B56" s="5"/>
      <c r="C56" s="6"/>
      <c r="D56" s="6"/>
      <c r="E56" s="6"/>
      <c r="F56" s="5" t="str">
        <f t="shared" si="1"/>
        <v/>
      </c>
      <c r="G56" s="5"/>
      <c r="H56" s="6"/>
      <c r="I56" s="6"/>
      <c r="J56" s="6"/>
      <c r="K56" s="6"/>
      <c r="L56" s="6"/>
      <c r="M56" s="8"/>
      <c r="N56" s="10"/>
      <c r="O56" s="6"/>
      <c r="P56" s="6"/>
      <c r="Q56" s="6"/>
      <c r="R56" s="6"/>
      <c r="S56" s="6"/>
      <c r="T56" s="18"/>
    </row>
    <row r="57" spans="1:20" ht="14.5" x14ac:dyDescent="0.35">
      <c r="A57" s="6"/>
      <c r="B57" s="5"/>
      <c r="C57" s="6"/>
      <c r="D57" s="6"/>
      <c r="E57" s="6"/>
      <c r="F57" s="5" t="str">
        <f t="shared" si="1"/>
        <v/>
      </c>
      <c r="G57" s="5"/>
      <c r="H57" s="6"/>
      <c r="I57" s="6"/>
      <c r="J57" s="6"/>
      <c r="K57" s="6"/>
      <c r="L57" s="6"/>
      <c r="M57" s="8"/>
      <c r="N57" s="10"/>
      <c r="O57" s="6"/>
      <c r="P57" s="6"/>
      <c r="Q57" s="6"/>
      <c r="R57" s="6"/>
      <c r="S57" s="6"/>
      <c r="T57" s="18"/>
    </row>
    <row r="58" spans="1:20" ht="14.5" x14ac:dyDescent="0.35">
      <c r="A58" s="6"/>
      <c r="B58" s="5"/>
      <c r="C58" s="6"/>
      <c r="D58" s="6"/>
      <c r="E58" s="6"/>
      <c r="F58" s="5" t="str">
        <f t="shared" si="1"/>
        <v/>
      </c>
      <c r="G58" s="5"/>
      <c r="H58" s="6"/>
      <c r="I58" s="6"/>
      <c r="J58" s="6"/>
      <c r="K58" s="6"/>
      <c r="L58" s="6"/>
      <c r="M58" s="8"/>
      <c r="N58" s="10"/>
      <c r="O58" s="6"/>
      <c r="P58" s="6"/>
      <c r="Q58" s="6"/>
      <c r="R58" s="6"/>
      <c r="S58" s="6"/>
      <c r="T58" s="18"/>
    </row>
    <row r="59" spans="1:20" ht="14.5" x14ac:dyDescent="0.35">
      <c r="A59" s="6"/>
      <c r="B59" s="5"/>
      <c r="C59" s="6"/>
      <c r="D59" s="6"/>
      <c r="E59" s="6"/>
      <c r="F59" s="5" t="str">
        <f t="shared" si="1"/>
        <v/>
      </c>
      <c r="G59" s="5"/>
      <c r="H59" s="6"/>
      <c r="I59" s="6"/>
      <c r="J59" s="6"/>
      <c r="K59" s="6"/>
      <c r="L59" s="6"/>
      <c r="M59" s="8"/>
      <c r="N59" s="10"/>
      <c r="O59" s="6"/>
      <c r="P59" s="6"/>
      <c r="Q59" s="6"/>
      <c r="R59" s="6"/>
      <c r="S59" s="6"/>
      <c r="T59" s="18"/>
    </row>
    <row r="60" spans="1:20" ht="14.5" x14ac:dyDescent="0.35">
      <c r="A60" s="6"/>
      <c r="B60" s="5"/>
      <c r="C60" s="6"/>
      <c r="D60" s="6"/>
      <c r="E60" s="6"/>
      <c r="F60" s="5" t="str">
        <f t="shared" si="1"/>
        <v/>
      </c>
      <c r="G60" s="5"/>
      <c r="H60" s="6"/>
      <c r="I60" s="6"/>
      <c r="J60" s="6"/>
      <c r="K60" s="6"/>
      <c r="L60" s="6"/>
      <c r="M60" s="8"/>
      <c r="N60" s="10"/>
      <c r="O60" s="6"/>
      <c r="P60" s="6"/>
      <c r="Q60" s="6"/>
      <c r="R60" s="6"/>
      <c r="S60" s="6"/>
      <c r="T60" s="18"/>
    </row>
    <row r="61" spans="1:20" ht="14.5" x14ac:dyDescent="0.35">
      <c r="A61" s="6"/>
      <c r="B61" s="5"/>
      <c r="C61" s="6"/>
      <c r="D61" s="6"/>
      <c r="E61" s="6"/>
      <c r="F61" s="5" t="str">
        <f t="shared" si="1"/>
        <v/>
      </c>
      <c r="G61" s="5"/>
      <c r="H61" s="6"/>
      <c r="I61" s="6"/>
      <c r="J61" s="6"/>
      <c r="K61" s="6"/>
      <c r="L61" s="6"/>
      <c r="M61" s="8"/>
      <c r="N61" s="10"/>
      <c r="O61" s="6"/>
      <c r="P61" s="6"/>
      <c r="Q61" s="6"/>
      <c r="R61" s="6"/>
      <c r="S61" s="6"/>
      <c r="T61" s="18"/>
    </row>
    <row r="62" spans="1:20" ht="14.5" x14ac:dyDescent="0.35">
      <c r="A62" s="6"/>
      <c r="B62" s="5"/>
      <c r="C62" s="6"/>
      <c r="D62" s="6"/>
      <c r="E62" s="6"/>
      <c r="F62" s="5" t="str">
        <f t="shared" si="1"/>
        <v/>
      </c>
      <c r="G62" s="5"/>
      <c r="H62" s="6"/>
      <c r="I62" s="6"/>
      <c r="J62" s="6"/>
      <c r="K62" s="6"/>
      <c r="L62" s="6"/>
      <c r="M62" s="8"/>
      <c r="N62" s="10"/>
      <c r="O62" s="6"/>
      <c r="P62" s="6"/>
      <c r="Q62" s="6"/>
      <c r="R62" s="6"/>
      <c r="S62" s="6"/>
      <c r="T62" s="18"/>
    </row>
    <row r="63" spans="1:20" ht="14.5" x14ac:dyDescent="0.35">
      <c r="A63" s="6"/>
      <c r="B63" s="5"/>
      <c r="C63" s="6"/>
      <c r="D63" s="6"/>
      <c r="E63" s="6"/>
      <c r="F63" s="5" t="str">
        <f t="shared" si="1"/>
        <v/>
      </c>
      <c r="G63" s="5"/>
      <c r="H63" s="6"/>
      <c r="I63" s="6"/>
      <c r="J63" s="6"/>
      <c r="K63" s="6"/>
      <c r="L63" s="6"/>
      <c r="M63" s="8"/>
      <c r="N63" s="10"/>
      <c r="O63" s="6"/>
      <c r="P63" s="6"/>
      <c r="Q63" s="6"/>
      <c r="R63" s="6"/>
      <c r="S63" s="6"/>
      <c r="T63" s="18"/>
    </row>
    <row r="64" spans="1:20" ht="14.5" x14ac:dyDescent="0.35">
      <c r="A64" s="6"/>
      <c r="B64" s="5"/>
      <c r="C64" s="6"/>
      <c r="D64" s="6"/>
      <c r="E64" s="6"/>
      <c r="F64" s="5" t="str">
        <f t="shared" si="1"/>
        <v/>
      </c>
      <c r="G64" s="5"/>
      <c r="H64" s="6"/>
      <c r="I64" s="6"/>
      <c r="J64" s="6"/>
      <c r="K64" s="6"/>
      <c r="L64" s="6"/>
      <c r="M64" s="8"/>
      <c r="N64" s="10"/>
      <c r="O64" s="6"/>
      <c r="P64" s="6"/>
      <c r="Q64" s="6"/>
      <c r="R64" s="6"/>
      <c r="S64" s="6"/>
      <c r="T64" s="18"/>
    </row>
    <row r="65" spans="1:20" ht="14.5" x14ac:dyDescent="0.35">
      <c r="A65" s="6"/>
      <c r="B65" s="5"/>
      <c r="C65" s="6"/>
      <c r="D65" s="6"/>
      <c r="E65" s="6"/>
      <c r="F65" s="5" t="str">
        <f t="shared" si="1"/>
        <v/>
      </c>
      <c r="G65" s="5"/>
      <c r="H65" s="6"/>
      <c r="I65" s="6"/>
      <c r="J65" s="6"/>
      <c r="K65" s="6"/>
      <c r="L65" s="6"/>
      <c r="M65" s="8"/>
      <c r="N65" s="10"/>
      <c r="O65" s="6"/>
      <c r="P65" s="6"/>
      <c r="Q65" s="6"/>
      <c r="R65" s="6"/>
      <c r="S65" s="6"/>
      <c r="T65" s="18"/>
    </row>
    <row r="66" spans="1:20" ht="14.5" x14ac:dyDescent="0.35">
      <c r="A66" s="6"/>
      <c r="B66" s="5"/>
      <c r="C66" s="6"/>
      <c r="D66" s="6"/>
      <c r="E66" s="6"/>
      <c r="F66" s="5" t="str">
        <f t="shared" ref="F66:F101" si="2">IF(COUNTIF($B$2:$B$101,B66&amp;".*")=0,"",COUNTIF($B$2:$B$101,B66&amp;".*"))</f>
        <v/>
      </c>
      <c r="G66" s="5"/>
      <c r="H66" s="6"/>
      <c r="I66" s="6"/>
      <c r="J66" s="6"/>
      <c r="K66" s="6"/>
      <c r="L66" s="6"/>
      <c r="M66" s="8"/>
      <c r="N66" s="10"/>
      <c r="O66" s="6"/>
      <c r="P66" s="6"/>
      <c r="Q66" s="6"/>
      <c r="R66" s="6"/>
      <c r="S66" s="6"/>
      <c r="T66" s="18"/>
    </row>
    <row r="67" spans="1:20" ht="14.5" x14ac:dyDescent="0.35">
      <c r="A67" s="6"/>
      <c r="B67" s="5"/>
      <c r="C67" s="6"/>
      <c r="D67" s="6"/>
      <c r="E67" s="6"/>
      <c r="F67" s="5" t="str">
        <f t="shared" si="2"/>
        <v/>
      </c>
      <c r="G67" s="5"/>
      <c r="H67" s="6"/>
      <c r="I67" s="6"/>
      <c r="J67" s="6"/>
      <c r="K67" s="6"/>
      <c r="L67" s="6"/>
      <c r="M67" s="8"/>
      <c r="N67" s="10"/>
      <c r="O67" s="6"/>
      <c r="P67" s="6"/>
      <c r="Q67" s="6"/>
      <c r="R67" s="6"/>
      <c r="S67" s="6"/>
      <c r="T67" s="18"/>
    </row>
    <row r="68" spans="1:20" ht="14.5" x14ac:dyDescent="0.35">
      <c r="A68" s="6"/>
      <c r="B68" s="5"/>
      <c r="C68" s="6"/>
      <c r="D68" s="6"/>
      <c r="E68" s="6"/>
      <c r="F68" s="5" t="str">
        <f t="shared" si="2"/>
        <v/>
      </c>
      <c r="G68" s="5"/>
      <c r="H68" s="6"/>
      <c r="I68" s="6"/>
      <c r="J68" s="6"/>
      <c r="K68" s="6"/>
      <c r="L68" s="6"/>
      <c r="M68" s="8"/>
      <c r="N68" s="10"/>
      <c r="O68" s="6"/>
      <c r="P68" s="6"/>
      <c r="Q68" s="6"/>
      <c r="R68" s="6"/>
      <c r="S68" s="6"/>
      <c r="T68" s="18"/>
    </row>
    <row r="69" spans="1:20" ht="14.5" x14ac:dyDescent="0.35">
      <c r="A69" s="6"/>
      <c r="B69" s="5"/>
      <c r="C69" s="6"/>
      <c r="D69" s="6"/>
      <c r="E69" s="6"/>
      <c r="F69" s="5" t="str">
        <f t="shared" si="2"/>
        <v/>
      </c>
      <c r="G69" s="5"/>
      <c r="H69" s="6"/>
      <c r="I69" s="6"/>
      <c r="J69" s="6"/>
      <c r="K69" s="6"/>
      <c r="L69" s="6"/>
      <c r="M69" s="8"/>
      <c r="N69" s="10"/>
      <c r="O69" s="6"/>
      <c r="P69" s="6"/>
      <c r="Q69" s="6"/>
      <c r="R69" s="6"/>
      <c r="S69" s="6"/>
      <c r="T69" s="18"/>
    </row>
    <row r="70" spans="1:20" ht="14.5" x14ac:dyDescent="0.35">
      <c r="A70" s="6"/>
      <c r="B70" s="5"/>
      <c r="C70" s="6"/>
      <c r="D70" s="6"/>
      <c r="E70" s="6"/>
      <c r="F70" s="5" t="str">
        <f t="shared" si="2"/>
        <v/>
      </c>
      <c r="G70" s="5"/>
      <c r="H70" s="6"/>
      <c r="I70" s="6"/>
      <c r="J70" s="6"/>
      <c r="K70" s="6"/>
      <c r="L70" s="6"/>
      <c r="M70" s="8"/>
      <c r="N70" s="10"/>
      <c r="O70" s="6"/>
      <c r="P70" s="6"/>
      <c r="Q70" s="6"/>
      <c r="R70" s="6"/>
      <c r="S70" s="6"/>
      <c r="T70" s="18"/>
    </row>
    <row r="71" spans="1:20" ht="14.5" x14ac:dyDescent="0.35">
      <c r="A71" s="6"/>
      <c r="B71" s="5"/>
      <c r="C71" s="6"/>
      <c r="D71" s="6"/>
      <c r="E71" s="6"/>
      <c r="F71" s="5" t="str">
        <f t="shared" si="2"/>
        <v/>
      </c>
      <c r="G71" s="5"/>
      <c r="H71" s="6"/>
      <c r="I71" s="6"/>
      <c r="J71" s="6"/>
      <c r="K71" s="6"/>
      <c r="L71" s="6"/>
      <c r="M71" s="8"/>
      <c r="N71" s="10"/>
      <c r="O71" s="6"/>
      <c r="P71" s="6"/>
      <c r="Q71" s="6"/>
      <c r="R71" s="6"/>
      <c r="S71" s="6"/>
      <c r="T71" s="18"/>
    </row>
    <row r="72" spans="1:20" ht="14.5" x14ac:dyDescent="0.35">
      <c r="A72" s="6"/>
      <c r="B72" s="5"/>
      <c r="C72" s="6"/>
      <c r="D72" s="6"/>
      <c r="E72" s="6"/>
      <c r="F72" s="5" t="str">
        <f t="shared" si="2"/>
        <v/>
      </c>
      <c r="G72" s="5"/>
      <c r="H72" s="6"/>
      <c r="I72" s="6"/>
      <c r="J72" s="6"/>
      <c r="K72" s="6"/>
      <c r="L72" s="6"/>
      <c r="M72" s="8"/>
      <c r="N72" s="10"/>
      <c r="O72" s="6"/>
      <c r="P72" s="6"/>
      <c r="Q72" s="6"/>
      <c r="R72" s="6"/>
      <c r="S72" s="6"/>
      <c r="T72" s="18"/>
    </row>
    <row r="73" spans="1:20" ht="14.5" x14ac:dyDescent="0.35">
      <c r="A73" s="6"/>
      <c r="B73" s="5"/>
      <c r="C73" s="6"/>
      <c r="D73" s="6"/>
      <c r="E73" s="6"/>
      <c r="F73" s="5" t="str">
        <f t="shared" si="2"/>
        <v/>
      </c>
      <c r="G73" s="5"/>
      <c r="H73" s="6"/>
      <c r="I73" s="6"/>
      <c r="J73" s="6"/>
      <c r="K73" s="6"/>
      <c r="L73" s="6"/>
      <c r="M73" s="8"/>
      <c r="N73" s="10"/>
      <c r="O73" s="6"/>
      <c r="P73" s="6"/>
      <c r="Q73" s="6"/>
      <c r="R73" s="6"/>
      <c r="S73" s="6"/>
      <c r="T73" s="18"/>
    </row>
    <row r="74" spans="1:20" ht="14.5" x14ac:dyDescent="0.35">
      <c r="A74" s="6"/>
      <c r="B74" s="5"/>
      <c r="C74" s="6"/>
      <c r="D74" s="6"/>
      <c r="E74" s="6"/>
      <c r="F74" s="5" t="str">
        <f t="shared" si="2"/>
        <v/>
      </c>
      <c r="G74" s="5"/>
      <c r="H74" s="6"/>
      <c r="I74" s="6"/>
      <c r="J74" s="6"/>
      <c r="K74" s="6"/>
      <c r="L74" s="6"/>
      <c r="M74" s="8"/>
      <c r="N74" s="10"/>
      <c r="O74" s="6"/>
      <c r="P74" s="6"/>
      <c r="Q74" s="6"/>
      <c r="R74" s="6"/>
      <c r="S74" s="6"/>
      <c r="T74" s="18"/>
    </row>
    <row r="75" spans="1:20" ht="14.5" x14ac:dyDescent="0.35">
      <c r="A75" s="6"/>
      <c r="B75" s="5"/>
      <c r="C75" s="6"/>
      <c r="D75" s="6"/>
      <c r="E75" s="6"/>
      <c r="F75" s="5" t="str">
        <f t="shared" si="2"/>
        <v/>
      </c>
      <c r="G75" s="5"/>
      <c r="H75" s="6"/>
      <c r="I75" s="6"/>
      <c r="J75" s="6"/>
      <c r="K75" s="6"/>
      <c r="L75" s="6"/>
      <c r="M75" s="8"/>
      <c r="N75" s="10"/>
      <c r="O75" s="6"/>
      <c r="P75" s="6"/>
      <c r="Q75" s="6"/>
      <c r="R75" s="6"/>
      <c r="S75" s="6"/>
      <c r="T75" s="18"/>
    </row>
    <row r="76" spans="1:20" ht="14.5" x14ac:dyDescent="0.35">
      <c r="A76" s="6"/>
      <c r="B76" s="5"/>
      <c r="C76" s="6"/>
      <c r="D76" s="6"/>
      <c r="E76" s="6"/>
      <c r="F76" s="5" t="str">
        <f t="shared" si="2"/>
        <v/>
      </c>
      <c r="G76" s="5"/>
      <c r="H76" s="6"/>
      <c r="I76" s="6"/>
      <c r="J76" s="6"/>
      <c r="K76" s="6"/>
      <c r="L76" s="6"/>
      <c r="M76" s="8"/>
      <c r="N76" s="10"/>
      <c r="O76" s="6"/>
      <c r="P76" s="6"/>
      <c r="Q76" s="6"/>
      <c r="R76" s="6"/>
      <c r="S76" s="6"/>
      <c r="T76" s="18"/>
    </row>
    <row r="77" spans="1:20" ht="14.5" x14ac:dyDescent="0.35">
      <c r="A77" s="6"/>
      <c r="B77" s="5"/>
      <c r="C77" s="6"/>
      <c r="D77" s="6"/>
      <c r="E77" s="6"/>
      <c r="F77" s="5" t="str">
        <f t="shared" si="2"/>
        <v/>
      </c>
      <c r="G77" s="5"/>
      <c r="H77" s="6"/>
      <c r="I77" s="6"/>
      <c r="J77" s="6"/>
      <c r="K77" s="6"/>
      <c r="L77" s="6"/>
      <c r="M77" s="8"/>
      <c r="N77" s="10"/>
      <c r="O77" s="6"/>
      <c r="P77" s="6"/>
      <c r="Q77" s="6"/>
      <c r="R77" s="6"/>
      <c r="S77" s="6"/>
      <c r="T77" s="18"/>
    </row>
    <row r="78" spans="1:20" ht="14.5" x14ac:dyDescent="0.35">
      <c r="A78" s="6"/>
      <c r="B78" s="5"/>
      <c r="C78" s="6"/>
      <c r="D78" s="6"/>
      <c r="E78" s="6"/>
      <c r="F78" s="5" t="str">
        <f t="shared" si="2"/>
        <v/>
      </c>
      <c r="G78" s="5"/>
      <c r="H78" s="6"/>
      <c r="I78" s="6"/>
      <c r="J78" s="6"/>
      <c r="K78" s="6"/>
      <c r="L78" s="6"/>
      <c r="M78" s="8"/>
      <c r="N78" s="10"/>
      <c r="O78" s="6"/>
      <c r="P78" s="6"/>
      <c r="Q78" s="6"/>
      <c r="R78" s="6"/>
      <c r="S78" s="6"/>
      <c r="T78" s="18"/>
    </row>
    <row r="79" spans="1:20" ht="14.5" x14ac:dyDescent="0.35">
      <c r="A79" s="6"/>
      <c r="B79" s="5"/>
      <c r="C79" s="6"/>
      <c r="D79" s="6"/>
      <c r="E79" s="6"/>
      <c r="F79" s="5" t="str">
        <f t="shared" si="2"/>
        <v/>
      </c>
      <c r="G79" s="5"/>
      <c r="H79" s="6"/>
      <c r="I79" s="6"/>
      <c r="J79" s="6"/>
      <c r="K79" s="6"/>
      <c r="L79" s="6"/>
      <c r="M79" s="8"/>
      <c r="N79" s="10"/>
      <c r="O79" s="6"/>
      <c r="P79" s="6"/>
      <c r="Q79" s="6"/>
      <c r="R79" s="6"/>
      <c r="S79" s="6"/>
      <c r="T79" s="18"/>
    </row>
    <row r="80" spans="1:20" ht="14.5" x14ac:dyDescent="0.35">
      <c r="A80" s="6"/>
      <c r="B80" s="5"/>
      <c r="C80" s="6"/>
      <c r="D80" s="6"/>
      <c r="E80" s="6"/>
      <c r="F80" s="5" t="str">
        <f t="shared" si="2"/>
        <v/>
      </c>
      <c r="G80" s="5"/>
      <c r="H80" s="6"/>
      <c r="I80" s="6"/>
      <c r="J80" s="6"/>
      <c r="K80" s="6"/>
      <c r="L80" s="6"/>
      <c r="M80" s="8"/>
      <c r="N80" s="10"/>
      <c r="O80" s="6"/>
      <c r="P80" s="6"/>
      <c r="Q80" s="6"/>
      <c r="R80" s="6"/>
      <c r="S80" s="6"/>
      <c r="T80" s="18"/>
    </row>
    <row r="81" spans="1:20" ht="14.5" x14ac:dyDescent="0.35">
      <c r="A81" s="6"/>
      <c r="B81" s="5"/>
      <c r="C81" s="6"/>
      <c r="D81" s="6"/>
      <c r="E81" s="6"/>
      <c r="F81" s="5" t="str">
        <f t="shared" si="2"/>
        <v/>
      </c>
      <c r="G81" s="5"/>
      <c r="H81" s="6"/>
      <c r="I81" s="6"/>
      <c r="J81" s="6"/>
      <c r="K81" s="6"/>
      <c r="L81" s="6"/>
      <c r="M81" s="8"/>
      <c r="N81" s="10"/>
      <c r="O81" s="6"/>
      <c r="P81" s="6"/>
      <c r="Q81" s="6"/>
      <c r="R81" s="6"/>
      <c r="S81" s="6"/>
      <c r="T81" s="18"/>
    </row>
    <row r="82" spans="1:20" ht="14.5" x14ac:dyDescent="0.35">
      <c r="A82" s="6"/>
      <c r="B82" s="5"/>
      <c r="C82" s="6"/>
      <c r="D82" s="6"/>
      <c r="E82" s="6"/>
      <c r="F82" s="5" t="str">
        <f t="shared" si="2"/>
        <v/>
      </c>
      <c r="G82" s="5"/>
      <c r="H82" s="6"/>
      <c r="I82" s="6"/>
      <c r="J82" s="6"/>
      <c r="K82" s="6"/>
      <c r="L82" s="6"/>
      <c r="M82" s="8"/>
      <c r="N82" s="10"/>
      <c r="O82" s="6"/>
      <c r="P82" s="6"/>
      <c r="Q82" s="6"/>
      <c r="R82" s="6"/>
      <c r="S82" s="6"/>
      <c r="T82" s="18"/>
    </row>
    <row r="83" spans="1:20" ht="14.5" x14ac:dyDescent="0.35">
      <c r="A83" s="6"/>
      <c r="B83" s="5"/>
      <c r="C83" s="6"/>
      <c r="D83" s="6"/>
      <c r="E83" s="6"/>
      <c r="F83" s="5" t="str">
        <f t="shared" si="2"/>
        <v/>
      </c>
      <c r="G83" s="5"/>
      <c r="H83" s="6"/>
      <c r="I83" s="6"/>
      <c r="J83" s="6"/>
      <c r="K83" s="6"/>
      <c r="L83" s="6"/>
      <c r="M83" s="8"/>
      <c r="N83" s="10"/>
      <c r="O83" s="6"/>
      <c r="P83" s="6"/>
      <c r="Q83" s="6"/>
      <c r="R83" s="6"/>
      <c r="S83" s="6"/>
      <c r="T83" s="18"/>
    </row>
    <row r="84" spans="1:20" ht="14.5" x14ac:dyDescent="0.35">
      <c r="A84" s="6"/>
      <c r="B84" s="5"/>
      <c r="C84" s="6"/>
      <c r="D84" s="6"/>
      <c r="E84" s="6"/>
      <c r="F84" s="5" t="str">
        <f t="shared" si="2"/>
        <v/>
      </c>
      <c r="G84" s="5"/>
      <c r="H84" s="6"/>
      <c r="I84" s="6"/>
      <c r="J84" s="6"/>
      <c r="K84" s="6"/>
      <c r="L84" s="6"/>
      <c r="M84" s="8"/>
      <c r="N84" s="10"/>
      <c r="O84" s="6"/>
      <c r="P84" s="6"/>
      <c r="Q84" s="6"/>
      <c r="R84" s="6"/>
      <c r="S84" s="6"/>
      <c r="T84" s="18"/>
    </row>
    <row r="85" spans="1:20" ht="14.5" x14ac:dyDescent="0.35">
      <c r="A85" s="6"/>
      <c r="B85" s="5"/>
      <c r="C85" s="6"/>
      <c r="D85" s="6"/>
      <c r="E85" s="6"/>
      <c r="F85" s="5" t="str">
        <f t="shared" si="2"/>
        <v/>
      </c>
      <c r="G85" s="5"/>
      <c r="H85" s="6"/>
      <c r="I85" s="6"/>
      <c r="J85" s="6"/>
      <c r="K85" s="6"/>
      <c r="L85" s="6"/>
      <c r="M85" s="8"/>
      <c r="N85" s="10"/>
      <c r="O85" s="6"/>
      <c r="P85" s="6"/>
      <c r="Q85" s="6"/>
      <c r="R85" s="6"/>
      <c r="S85" s="6"/>
      <c r="T85" s="18"/>
    </row>
    <row r="86" spans="1:20" ht="14.5" x14ac:dyDescent="0.35">
      <c r="A86" s="6"/>
      <c r="B86" s="5"/>
      <c r="C86" s="6"/>
      <c r="D86" s="6"/>
      <c r="E86" s="6"/>
      <c r="F86" s="5" t="str">
        <f t="shared" si="2"/>
        <v/>
      </c>
      <c r="G86" s="5"/>
      <c r="H86" s="6"/>
      <c r="I86" s="6"/>
      <c r="J86" s="6"/>
      <c r="K86" s="6"/>
      <c r="L86" s="6"/>
      <c r="M86" s="8"/>
      <c r="N86" s="10"/>
      <c r="O86" s="6"/>
      <c r="P86" s="6"/>
      <c r="Q86" s="6"/>
      <c r="R86" s="6"/>
      <c r="S86" s="6"/>
      <c r="T86" s="18"/>
    </row>
    <row r="87" spans="1:20" ht="14.5" x14ac:dyDescent="0.35">
      <c r="A87" s="6"/>
      <c r="B87" s="5"/>
      <c r="C87" s="6"/>
      <c r="D87" s="6"/>
      <c r="E87" s="6"/>
      <c r="F87" s="5" t="str">
        <f t="shared" si="2"/>
        <v/>
      </c>
      <c r="G87" s="5"/>
      <c r="H87" s="6"/>
      <c r="I87" s="6"/>
      <c r="J87" s="6"/>
      <c r="K87" s="6"/>
      <c r="L87" s="6"/>
      <c r="M87" s="8"/>
      <c r="N87" s="10"/>
      <c r="O87" s="6"/>
      <c r="P87" s="6"/>
      <c r="Q87" s="6"/>
      <c r="R87" s="6"/>
      <c r="S87" s="6"/>
      <c r="T87" s="18"/>
    </row>
    <row r="88" spans="1:20" ht="14.5" x14ac:dyDescent="0.35">
      <c r="A88" s="6"/>
      <c r="B88" s="5"/>
      <c r="C88" s="6"/>
      <c r="D88" s="6"/>
      <c r="E88" s="6"/>
      <c r="F88" s="5" t="str">
        <f t="shared" si="2"/>
        <v/>
      </c>
      <c r="G88" s="5"/>
      <c r="H88" s="6"/>
      <c r="I88" s="6"/>
      <c r="J88" s="6"/>
      <c r="K88" s="6"/>
      <c r="L88" s="6"/>
      <c r="M88" s="8"/>
      <c r="N88" s="10"/>
      <c r="O88" s="6"/>
      <c r="P88" s="6"/>
      <c r="Q88" s="6"/>
      <c r="R88" s="6"/>
      <c r="S88" s="6"/>
      <c r="T88" s="18"/>
    </row>
    <row r="89" spans="1:20" ht="14.5" x14ac:dyDescent="0.35">
      <c r="A89" s="6"/>
      <c r="B89" s="5"/>
      <c r="C89" s="6"/>
      <c r="D89" s="6"/>
      <c r="E89" s="6"/>
      <c r="F89" s="5" t="str">
        <f t="shared" si="2"/>
        <v/>
      </c>
      <c r="G89" s="5"/>
      <c r="H89" s="6"/>
      <c r="I89" s="6"/>
      <c r="J89" s="6"/>
      <c r="K89" s="6"/>
      <c r="L89" s="6"/>
      <c r="M89" s="8"/>
      <c r="N89" s="10"/>
      <c r="O89" s="6"/>
      <c r="P89" s="6"/>
      <c r="Q89" s="6"/>
      <c r="R89" s="6"/>
      <c r="S89" s="6"/>
      <c r="T89" s="18"/>
    </row>
    <row r="90" spans="1:20" ht="14.5" x14ac:dyDescent="0.35">
      <c r="A90" s="6"/>
      <c r="B90" s="5"/>
      <c r="C90" s="6"/>
      <c r="D90" s="6"/>
      <c r="E90" s="6"/>
      <c r="F90" s="5" t="str">
        <f t="shared" si="2"/>
        <v/>
      </c>
      <c r="G90" s="5"/>
      <c r="H90" s="6"/>
      <c r="I90" s="6"/>
      <c r="J90" s="6"/>
      <c r="K90" s="6"/>
      <c r="L90" s="6"/>
      <c r="M90" s="8"/>
      <c r="N90" s="10"/>
      <c r="O90" s="6"/>
      <c r="P90" s="6"/>
      <c r="Q90" s="6"/>
      <c r="R90" s="6"/>
      <c r="S90" s="6"/>
      <c r="T90" s="18"/>
    </row>
    <row r="91" spans="1:20" ht="14.5" x14ac:dyDescent="0.35">
      <c r="A91" s="6"/>
      <c r="B91" s="5"/>
      <c r="C91" s="6"/>
      <c r="D91" s="6"/>
      <c r="E91" s="6"/>
      <c r="F91" s="5" t="str">
        <f t="shared" si="2"/>
        <v/>
      </c>
      <c r="G91" s="5"/>
      <c r="H91" s="6"/>
      <c r="I91" s="6"/>
      <c r="J91" s="6"/>
      <c r="K91" s="6"/>
      <c r="L91" s="6"/>
      <c r="M91" s="8"/>
      <c r="N91" s="10"/>
      <c r="O91" s="6"/>
      <c r="P91" s="6"/>
      <c r="Q91" s="6"/>
      <c r="R91" s="6"/>
      <c r="S91" s="6"/>
      <c r="T91" s="18"/>
    </row>
    <row r="92" spans="1:20" ht="14.5" x14ac:dyDescent="0.35">
      <c r="A92" s="6"/>
      <c r="B92" s="5"/>
      <c r="C92" s="6"/>
      <c r="D92" s="6"/>
      <c r="E92" s="6"/>
      <c r="F92" s="5" t="str">
        <f t="shared" si="2"/>
        <v/>
      </c>
      <c r="G92" s="5"/>
      <c r="H92" s="6"/>
      <c r="I92" s="6"/>
      <c r="J92" s="6"/>
      <c r="K92" s="6"/>
      <c r="L92" s="6"/>
      <c r="M92" s="8"/>
      <c r="N92" s="10"/>
      <c r="O92" s="6"/>
      <c r="P92" s="6"/>
      <c r="Q92" s="6"/>
      <c r="R92" s="6"/>
      <c r="S92" s="6"/>
      <c r="T92" s="18"/>
    </row>
    <row r="93" spans="1:20" ht="14.5" x14ac:dyDescent="0.35">
      <c r="A93" s="6"/>
      <c r="B93" s="5"/>
      <c r="C93" s="6"/>
      <c r="D93" s="6"/>
      <c r="E93" s="6"/>
      <c r="F93" s="5" t="str">
        <f t="shared" si="2"/>
        <v/>
      </c>
      <c r="G93" s="5"/>
      <c r="H93" s="6"/>
      <c r="I93" s="6"/>
      <c r="J93" s="6"/>
      <c r="K93" s="6"/>
      <c r="L93" s="6"/>
      <c r="M93" s="8"/>
      <c r="N93" s="10"/>
      <c r="O93" s="6"/>
      <c r="P93" s="6"/>
      <c r="Q93" s="6"/>
      <c r="R93" s="6"/>
      <c r="S93" s="6"/>
      <c r="T93" s="18"/>
    </row>
    <row r="94" spans="1:20" ht="14.5" x14ac:dyDescent="0.35">
      <c r="A94" s="6"/>
      <c r="B94" s="5"/>
      <c r="C94" s="6"/>
      <c r="D94" s="6"/>
      <c r="E94" s="6"/>
      <c r="F94" s="5" t="str">
        <f t="shared" si="2"/>
        <v/>
      </c>
      <c r="G94" s="5"/>
      <c r="H94" s="6"/>
      <c r="I94" s="6"/>
      <c r="J94" s="6"/>
      <c r="K94" s="6"/>
      <c r="L94" s="6"/>
      <c r="M94" s="8"/>
      <c r="N94" s="10"/>
      <c r="O94" s="6"/>
      <c r="P94" s="6"/>
      <c r="Q94" s="6"/>
      <c r="R94" s="6"/>
      <c r="S94" s="6"/>
      <c r="T94" s="18"/>
    </row>
    <row r="95" spans="1:20" ht="14.5" x14ac:dyDescent="0.35">
      <c r="A95" s="6"/>
      <c r="B95" s="5"/>
      <c r="C95" s="6"/>
      <c r="D95" s="6"/>
      <c r="E95" s="6"/>
      <c r="F95" s="5" t="str">
        <f t="shared" si="2"/>
        <v/>
      </c>
      <c r="G95" s="5"/>
      <c r="H95" s="6"/>
      <c r="I95" s="6"/>
      <c r="J95" s="6"/>
      <c r="K95" s="6"/>
      <c r="L95" s="6"/>
      <c r="M95" s="8"/>
      <c r="N95" s="10"/>
      <c r="O95" s="6"/>
      <c r="P95" s="6"/>
      <c r="Q95" s="6"/>
      <c r="R95" s="6"/>
      <c r="S95" s="6"/>
      <c r="T95" s="18"/>
    </row>
    <row r="96" spans="1:20" ht="14.5" x14ac:dyDescent="0.35">
      <c r="A96" s="6"/>
      <c r="B96" s="5"/>
      <c r="C96" s="6"/>
      <c r="D96" s="6"/>
      <c r="E96" s="6"/>
      <c r="F96" s="5" t="str">
        <f t="shared" si="2"/>
        <v/>
      </c>
      <c r="G96" s="5"/>
      <c r="H96" s="6"/>
      <c r="I96" s="6"/>
      <c r="J96" s="6"/>
      <c r="K96" s="6"/>
      <c r="L96" s="6"/>
      <c r="M96" s="8"/>
      <c r="N96" s="10"/>
      <c r="O96" s="6"/>
      <c r="P96" s="6"/>
      <c r="Q96" s="6"/>
      <c r="R96" s="6"/>
      <c r="S96" s="6"/>
      <c r="T96" s="18"/>
    </row>
    <row r="97" spans="1:20" ht="14.5" x14ac:dyDescent="0.35">
      <c r="A97" s="6"/>
      <c r="B97" s="5"/>
      <c r="C97" s="6"/>
      <c r="D97" s="6"/>
      <c r="E97" s="6"/>
      <c r="F97" s="5" t="str">
        <f t="shared" si="2"/>
        <v/>
      </c>
      <c r="G97" s="5"/>
      <c r="H97" s="6"/>
      <c r="I97" s="6"/>
      <c r="J97" s="6"/>
      <c r="K97" s="6"/>
      <c r="L97" s="6"/>
      <c r="M97" s="8"/>
      <c r="N97" s="10"/>
      <c r="O97" s="6"/>
      <c r="P97" s="6"/>
      <c r="Q97" s="6"/>
      <c r="R97" s="6"/>
      <c r="S97" s="6"/>
      <c r="T97" s="18"/>
    </row>
    <row r="98" spans="1:20" ht="14.5" x14ac:dyDescent="0.35">
      <c r="A98" s="6"/>
      <c r="B98" s="5"/>
      <c r="C98" s="6"/>
      <c r="D98" s="6"/>
      <c r="E98" s="6"/>
      <c r="F98" s="5" t="str">
        <f t="shared" si="2"/>
        <v/>
      </c>
      <c r="G98" s="5"/>
      <c r="H98" s="6"/>
      <c r="I98" s="6"/>
      <c r="J98" s="6"/>
      <c r="K98" s="6"/>
      <c r="L98" s="6"/>
      <c r="M98" s="8"/>
      <c r="N98" s="10"/>
      <c r="O98" s="6"/>
      <c r="P98" s="6"/>
      <c r="Q98" s="6"/>
      <c r="R98" s="6"/>
      <c r="S98" s="6"/>
      <c r="T98" s="18"/>
    </row>
    <row r="99" spans="1:20" ht="14.5" x14ac:dyDescent="0.35">
      <c r="A99" s="6"/>
      <c r="B99" s="5"/>
      <c r="C99" s="6"/>
      <c r="D99" s="6"/>
      <c r="E99" s="6"/>
      <c r="F99" s="5" t="str">
        <f t="shared" si="2"/>
        <v/>
      </c>
      <c r="G99" s="5"/>
      <c r="H99" s="6"/>
      <c r="I99" s="6"/>
      <c r="J99" s="6"/>
      <c r="K99" s="6"/>
      <c r="L99" s="6"/>
      <c r="M99" s="8"/>
      <c r="N99" s="10"/>
      <c r="O99" s="6"/>
      <c r="P99" s="6"/>
      <c r="Q99" s="6"/>
      <c r="R99" s="6"/>
      <c r="S99" s="6"/>
      <c r="T99" s="18"/>
    </row>
    <row r="100" spans="1:20" ht="14.5" x14ac:dyDescent="0.35">
      <c r="A100" s="6"/>
      <c r="B100" s="5"/>
      <c r="C100" s="6"/>
      <c r="D100" s="6"/>
      <c r="E100" s="6"/>
      <c r="F100" s="5" t="str">
        <f t="shared" si="2"/>
        <v/>
      </c>
      <c r="G100" s="5"/>
      <c r="H100" s="6"/>
      <c r="I100" s="6"/>
      <c r="J100" s="6"/>
      <c r="K100" s="6"/>
      <c r="L100" s="6"/>
      <c r="M100" s="8"/>
      <c r="N100" s="10"/>
      <c r="O100" s="6"/>
      <c r="P100" s="6"/>
      <c r="Q100" s="6"/>
      <c r="R100" s="6"/>
      <c r="S100" s="6"/>
      <c r="T100" s="18"/>
    </row>
    <row r="101" spans="1:20" ht="14.5" x14ac:dyDescent="0.35">
      <c r="A101" s="6"/>
      <c r="B101" s="5"/>
      <c r="C101" s="6"/>
      <c r="D101" s="6"/>
      <c r="E101" s="6"/>
      <c r="F101" s="5" t="str">
        <f t="shared" si="2"/>
        <v/>
      </c>
      <c r="G101" s="5"/>
      <c r="H101" s="6"/>
      <c r="I101" s="6"/>
      <c r="J101" s="6"/>
      <c r="K101" s="6"/>
      <c r="L101" s="6"/>
      <c r="M101" s="8"/>
      <c r="N101" s="10"/>
      <c r="O101" s="6"/>
      <c r="P101" s="6"/>
      <c r="Q101" s="6"/>
      <c r="R101" s="6"/>
      <c r="S101" s="6"/>
      <c r="T101" s="18"/>
    </row>
  </sheetData>
  <conditionalFormatting sqref="A2:A101">
    <cfRule type="expression" dxfId="91" priority="1">
      <formula>$A2="Active"</formula>
    </cfRule>
    <cfRule type="expression" dxfId="90" priority="2">
      <formula>$A2="Inactive"</formula>
    </cfRule>
  </conditionalFormatting>
  <conditionalFormatting sqref="A2:N101">
    <cfRule type="expression" dxfId="89" priority="9">
      <formula>$Q2=1</formula>
    </cfRule>
    <cfRule type="expression" dxfId="88" priority="10">
      <formula>$Q2=2</formula>
    </cfRule>
    <cfRule type="expression" dxfId="87" priority="11">
      <formula>$Q2=3</formula>
    </cfRule>
    <cfRule type="expression" dxfId="86" priority="12">
      <formula>$Q2=4</formula>
    </cfRule>
    <cfRule type="expression" dxfId="85" priority="13">
      <formula>$Q2=5</formula>
    </cfRule>
  </conditionalFormatting>
  <conditionalFormatting sqref="E2:E101">
    <cfRule type="expression" dxfId="84" priority="14">
      <formula>$Q2&gt;=1</formula>
    </cfRule>
  </conditionalFormatting>
  <conditionalFormatting sqref="F2:F101">
    <cfRule type="expression" dxfId="83" priority="15">
      <formula>AND(ISNUMBER($F2),$F2&gt;=1,$F2&lt;3)</formula>
    </cfRule>
    <cfRule type="expression" dxfId="82" priority="16">
      <formula>AND(ISNUMBER($F2),$F2&gt;=3,$F2&lt;6)</formula>
    </cfRule>
    <cfRule type="expression" dxfId="81" priority="17">
      <formula>AND(ISNUMBER($F2),$F2&gt;=6,$F2&lt;11)</formula>
    </cfRule>
    <cfRule type="expression" dxfId="80" priority="18">
      <formula>AND(ISNUMBER($F2),$F2&gt;=11,$F2&lt;21)</formula>
    </cfRule>
    <cfRule type="expression" dxfId="79" priority="19">
      <formula>AND(ISNUMBER($F2),$F2&gt;=21)</formula>
    </cfRule>
  </conditionalFormatting>
  <conditionalFormatting sqref="J2:J101">
    <cfRule type="expression" dxfId="78" priority="3">
      <formula>$J2="Low"</formula>
    </cfRule>
    <cfRule type="expression" dxfId="77" priority="4">
      <formula>$J2="Medium"</formula>
    </cfRule>
    <cfRule type="expression" dxfId="76" priority="5">
      <formula>$J2="High"</formula>
    </cfRule>
  </conditionalFormatting>
  <conditionalFormatting sqref="K2:K101">
    <cfRule type="expression" dxfId="75" priority="6">
      <formula>$K2="Daily"</formula>
    </cfRule>
    <cfRule type="expression" dxfId="74" priority="7">
      <formula>$K2="Weekly"</formula>
    </cfRule>
    <cfRule type="expression" dxfId="73" priority="8">
      <formula>$K2="Monthly"</formula>
    </cfRule>
  </conditionalFormatting>
  <dataValidations count="6">
    <dataValidation type="list" allowBlank="1" sqref="A2:A101" xr:uid="{00000000-0002-0000-0500-000000000000}">
      <formula1>"Active,Inactive"</formula1>
    </dataValidation>
    <dataValidation type="list" allowBlank="1" sqref="J2:J101" xr:uid="{00000000-0002-0000-0500-000001000000}">
      <formula1>"Low,Medium,High"</formula1>
    </dataValidation>
    <dataValidation type="list" allowBlank="1" sqref="K2:K101" xr:uid="{00000000-0002-0000-0500-000002000000}">
      <formula1>"Daily,Weekly,Monthly"</formula1>
    </dataValidation>
    <dataValidation type="list" allowBlank="1" sqref="I2:I101" xr:uid="{00000000-0002-0000-0500-000003000000}">
      <formula1>CampaignNameList</formula1>
    </dataValidation>
    <dataValidation type="list" allowBlank="1" sqref="L2:L101" xr:uid="{00000000-0002-0000-0500-000004000000}">
      <formula1>INDIRECT(IF($K2="Weekly","WeekdayList",IF($K2="Monthly","DayNumberList","")))</formula1>
    </dataValidation>
    <dataValidation type="custom" showErrorMessage="1" errorTitle="Use the popup instead" error="Double-click this cell to open the Notes popup instead." sqref="N2:N101" xr:uid="{00000000-0002-0000-0500-000005000000}">
      <formula1>FALSE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1F4E79"/>
  </sheetPr>
  <dimension ref="A1:J12"/>
  <sheetViews>
    <sheetView showGridLines="0" zoomScale="115" workbookViewId="0"/>
  </sheetViews>
  <sheetFormatPr defaultRowHeight="19" customHeight="1" x14ac:dyDescent="0.35"/>
  <cols>
    <col min="1" max="7" width="10" customWidth="1"/>
    <col min="10" max="10" width="13" hidden="1" customWidth="1"/>
  </cols>
  <sheetData>
    <row r="1" spans="1:10" ht="26" customHeight="1" x14ac:dyDescent="0.35">
      <c r="A1" s="29" t="s">
        <v>54</v>
      </c>
      <c r="B1" s="61" t="str">
        <f>INDEX({"January","February","March","April","May","June","July","August","September","October","November","December"},MONTH(DATE(SelectedYear,SelectedMonth,1)))&amp;" "&amp;TEXT(DATE(SelectedYear,SelectedMonth,1),"YYYY")</f>
        <v>July 2026</v>
      </c>
      <c r="C1" s="54"/>
      <c r="D1" s="54"/>
      <c r="E1" s="54"/>
      <c r="F1" s="30" t="s">
        <v>55</v>
      </c>
      <c r="G1" s="29" t="s">
        <v>56</v>
      </c>
      <c r="J1">
        <v>2026</v>
      </c>
    </row>
    <row r="2" spans="1:10" ht="17" x14ac:dyDescent="0.35">
      <c r="A2" s="31" t="s">
        <v>57</v>
      </c>
      <c r="B2" s="31" t="s">
        <v>58</v>
      </c>
      <c r="C2" s="31" t="s">
        <v>59</v>
      </c>
      <c r="D2" s="31" t="s">
        <v>60</v>
      </c>
      <c r="E2" s="31" t="s">
        <v>61</v>
      </c>
      <c r="F2" s="31" t="s">
        <v>62</v>
      </c>
      <c r="G2" s="32" t="s">
        <v>63</v>
      </c>
      <c r="J2">
        <v>7</v>
      </c>
    </row>
    <row r="3" spans="1:10" ht="22" customHeight="1" x14ac:dyDescent="0.35">
      <c r="A3" s="33">
        <f>J6</f>
        <v>46202</v>
      </c>
      <c r="B3" s="33">
        <f>J6+1</f>
        <v>46203</v>
      </c>
      <c r="C3" s="33">
        <f>J6+2</f>
        <v>46204</v>
      </c>
      <c r="D3" s="33">
        <f>J6+3</f>
        <v>46205</v>
      </c>
      <c r="E3" s="33">
        <f>J6+4</f>
        <v>46206</v>
      </c>
      <c r="F3" s="34">
        <f>J6+5</f>
        <v>46207</v>
      </c>
      <c r="G3" s="34">
        <f>J6+6</f>
        <v>46208</v>
      </c>
    </row>
    <row r="4" spans="1:10" ht="22" customHeight="1" x14ac:dyDescent="0.35">
      <c r="A4" s="33">
        <f>J6+7</f>
        <v>46209</v>
      </c>
      <c r="B4" s="33">
        <f>J6+8</f>
        <v>46210</v>
      </c>
      <c r="C4" s="33">
        <f>J6+9</f>
        <v>46211</v>
      </c>
      <c r="D4" s="33">
        <f>J6+10</f>
        <v>46212</v>
      </c>
      <c r="E4" s="33">
        <f>J6+11</f>
        <v>46213</v>
      </c>
      <c r="F4" s="34">
        <f>J6+12</f>
        <v>46214</v>
      </c>
      <c r="G4" s="34">
        <f>J6+13</f>
        <v>46215</v>
      </c>
      <c r="J4" t="str">
        <f>IF(J3="","",J3+TIME(VALUE(SelectedHour),VALUE(SelectedMinute),0))</f>
        <v/>
      </c>
    </row>
    <row r="5" spans="1:10" ht="22" customHeight="1" x14ac:dyDescent="0.35">
      <c r="A5" s="33">
        <f>J6+14</f>
        <v>46216</v>
      </c>
      <c r="B5" s="33">
        <f>J6+15</f>
        <v>46217</v>
      </c>
      <c r="C5" s="33">
        <f>J6+16</f>
        <v>46218</v>
      </c>
      <c r="D5" s="33">
        <f>J6+17</f>
        <v>46219</v>
      </c>
      <c r="E5" s="33">
        <f>J6+18</f>
        <v>46220</v>
      </c>
      <c r="F5" s="34">
        <f>J6+19</f>
        <v>46221</v>
      </c>
      <c r="G5" s="34">
        <f>J6+20</f>
        <v>46222</v>
      </c>
    </row>
    <row r="6" spans="1:10" ht="22" customHeight="1" x14ac:dyDescent="0.35">
      <c r="A6" s="33">
        <f>J6+21</f>
        <v>46223</v>
      </c>
      <c r="B6" s="33">
        <f>J6+22</f>
        <v>46224</v>
      </c>
      <c r="C6" s="33">
        <f>J6+23</f>
        <v>46225</v>
      </c>
      <c r="D6" s="33">
        <f>J6+24</f>
        <v>46226</v>
      </c>
      <c r="E6" s="33">
        <f>J6+25</f>
        <v>46227</v>
      </c>
      <c r="F6" s="34">
        <f>J6+26</f>
        <v>46228</v>
      </c>
      <c r="G6" s="34">
        <f>J6+27</f>
        <v>46229</v>
      </c>
      <c r="J6">
        <f>DATE(SelectedYear,SelectedMonth,1)-WEEKDAY(DATE(SelectedYear,SelectedMonth,1),3)</f>
        <v>46202</v>
      </c>
    </row>
    <row r="7" spans="1:10" ht="22" customHeight="1" x14ac:dyDescent="0.35">
      <c r="A7" s="33">
        <f>J6+28</f>
        <v>46230</v>
      </c>
      <c r="B7" s="33">
        <f>J6+29</f>
        <v>46231</v>
      </c>
      <c r="C7" s="33">
        <f>J6+30</f>
        <v>46232</v>
      </c>
      <c r="D7" s="33">
        <f>J6+31</f>
        <v>46233</v>
      </c>
      <c r="E7" s="33">
        <f>J6+32</f>
        <v>46234</v>
      </c>
      <c r="F7" s="34">
        <f>J6+33</f>
        <v>46235</v>
      </c>
      <c r="G7" s="34">
        <f>J6+34</f>
        <v>46236</v>
      </c>
    </row>
    <row r="8" spans="1:10" ht="22" customHeight="1" x14ac:dyDescent="0.35">
      <c r="A8" s="33">
        <f>J6+35</f>
        <v>46237</v>
      </c>
      <c r="B8" s="33">
        <f>J6+36</f>
        <v>46238</v>
      </c>
      <c r="C8" s="33">
        <f>J6+37</f>
        <v>46239</v>
      </c>
      <c r="D8" s="33">
        <f>J6+38</f>
        <v>46240</v>
      </c>
      <c r="E8" s="33">
        <f>J6+39</f>
        <v>46241</v>
      </c>
      <c r="F8" s="34">
        <f>J6+40</f>
        <v>46242</v>
      </c>
      <c r="G8" s="34">
        <f>J6+41</f>
        <v>46243</v>
      </c>
    </row>
    <row r="10" spans="1:10" ht="16.5" x14ac:dyDescent="0.45">
      <c r="A10" s="35" t="s">
        <v>64</v>
      </c>
      <c r="B10" s="36" t="s">
        <v>65</v>
      </c>
      <c r="C10" s="37" t="s">
        <v>66</v>
      </c>
      <c r="D10" s="36" t="s">
        <v>65</v>
      </c>
      <c r="E10" s="36"/>
      <c r="F10" s="36"/>
      <c r="G10" s="38"/>
    </row>
    <row r="11" spans="1:10" ht="16.5" x14ac:dyDescent="0.35">
      <c r="A11" s="58" t="str">
        <f>IF(SelectedDate="","No date selected yet",INDEX({"Monday","Tuesday","Wednesday","Thursday","Friday","Saturday","Sunday"},WEEKDAY(SelectedDateTime,2))&amp;", "&amp;TEXT(SelectedDateTime,"DD")&amp;" "&amp;INDEX({"January","February","March","April","May","June","July","August","September","October","November","December"},MONTH(SelectedDateTime))&amp;" "&amp;TEXT(SelectedDateTime,"YYYY")&amp;" — "&amp;TEXT(SelectedDateTime,"HH:MM"))</f>
        <v>No date selected yet</v>
      </c>
      <c r="B11" s="59"/>
      <c r="C11" s="59"/>
      <c r="D11" s="59"/>
      <c r="E11" s="59"/>
      <c r="F11" s="59"/>
      <c r="G11" s="60"/>
    </row>
    <row r="12" spans="1:10" ht="16.5" x14ac:dyDescent="0.35">
      <c r="A12" s="53" t="s">
        <v>67</v>
      </c>
      <c r="B12" s="54"/>
      <c r="C12" s="54"/>
      <c r="E12" s="55" t="s">
        <v>68</v>
      </c>
      <c r="F12" s="56"/>
      <c r="G12" s="57"/>
    </row>
  </sheetData>
  <mergeCells count="4">
    <mergeCell ref="A12:C12"/>
    <mergeCell ref="E12:G12"/>
    <mergeCell ref="A11:G11"/>
    <mergeCell ref="B1:E1"/>
  </mergeCells>
  <conditionalFormatting sqref="A3:G8">
    <cfRule type="expression" dxfId="72" priority="1">
      <formula>MONTH(A3)&lt;&gt;SelectedMonth</formula>
    </cfRule>
    <cfRule type="expression" dxfId="70" priority="3">
      <formula>A3=SelectedDate</formula>
    </cfRule>
    <cfRule type="expression" dxfId="69" priority="4">
      <formula>A3=TODAY()</formula>
    </cfRule>
  </conditionalFormatting>
  <dataValidations count="2">
    <dataValidation type="list" sqref="B10" xr:uid="{00000000-0002-0000-0600-000000000000}">
      <formula1>"00,01,02,03,04,05,06,07,08,09,10,11,12,13,14,15,16,17,18,19,20,21,22,23"</formula1>
    </dataValidation>
    <dataValidation type="list" sqref="D10" xr:uid="{00000000-0002-0000-0600-000001000000}">
      <formula1>"00,15,30,45"</formula1>
    </dataValidation>
  </dataValidations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600-000002000000}">
            <xm:f>COUNTIFS(Tasks!$K:$K,"&gt;="&amp;A3,Tasks!$K:$K,"&lt;"&amp;A3+1)&gt;0</xm:f>
            <x14:dxf>
              <fill>
                <patternFill patternType="solid">
                  <bgColor rgb="FFB7D3F6"/>
                </patternFill>
              </fill>
            </x14:dxf>
          </x14:cfRule>
          <xm:sqref>A3:G8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tabColor rgb="FF1BAF7A"/>
  </sheetPr>
  <dimension ref="A1:P36"/>
  <sheetViews>
    <sheetView showGridLines="0" zoomScale="115" workbookViewId="0">
      <pane ySplit="6" topLeftCell="A7" activePane="bottomLeft" state="frozen"/>
      <selection pane="bottomLeft"/>
    </sheetView>
  </sheetViews>
  <sheetFormatPr defaultRowHeight="19" customHeight="1" x14ac:dyDescent="0.35"/>
  <cols>
    <col min="1" max="1" width="12" customWidth="1"/>
    <col min="2" max="2" width="24" customWidth="1"/>
    <col min="3" max="3" width="10" customWidth="1"/>
    <col min="4" max="4" width="20" customWidth="1"/>
    <col min="5" max="5" width="18" customWidth="1"/>
    <col min="6" max="7" width="13" customWidth="1"/>
    <col min="8" max="9" width="14" customWidth="1"/>
    <col min="10" max="14" width="9" customWidth="1"/>
    <col min="15" max="15" width="9" hidden="1" customWidth="1"/>
    <col min="16" max="16" width="13" hidden="1" customWidth="1"/>
  </cols>
  <sheetData>
    <row r="1" spans="1:16" ht="14.5" x14ac:dyDescent="0.35">
      <c r="A1" s="67" t="s">
        <v>69</v>
      </c>
      <c r="B1" s="68"/>
      <c r="D1" s="67" t="s">
        <v>70</v>
      </c>
      <c r="E1" s="68"/>
      <c r="G1" s="67" t="s">
        <v>71</v>
      </c>
      <c r="H1" s="68"/>
      <c r="P1">
        <v>2026</v>
      </c>
    </row>
    <row r="2" spans="1:16" ht="14.5" x14ac:dyDescent="0.35">
      <c r="A2" s="63">
        <f>COUNTA(MonthlyMediaPlanTable[Campaign Name])</f>
        <v>0</v>
      </c>
      <c r="B2" s="64"/>
      <c r="D2" s="69">
        <f>SUM(MonthlyMediaPlanTable[Budget (EUR)])</f>
        <v>0</v>
      </c>
      <c r="E2" s="64"/>
      <c r="G2" s="70">
        <f>SUM(MonthlyMediaPlanTable[Budget (USD)])</f>
        <v>0</v>
      </c>
      <c r="H2" s="64"/>
      <c r="P2">
        <v>7</v>
      </c>
    </row>
    <row r="3" spans="1:16" ht="14.5" x14ac:dyDescent="0.35">
      <c r="A3" s="65"/>
      <c r="B3" s="66"/>
      <c r="D3" s="65"/>
      <c r="E3" s="66"/>
      <c r="G3" s="65"/>
      <c r="H3" s="66"/>
      <c r="P3">
        <v>1.08</v>
      </c>
    </row>
    <row r="4" spans="1:16" ht="17" x14ac:dyDescent="0.35">
      <c r="A4" s="62" t="s">
        <v>72</v>
      </c>
      <c r="B4" s="57"/>
      <c r="C4" s="71" t="str">
        <f>"1 EUR = "&amp;FIXED(MonthlyExchangeRate,4)&amp;" USD"</f>
        <v>1 EUR = 1,0800 USD</v>
      </c>
      <c r="D4" s="54"/>
      <c r="E4" s="54"/>
      <c r="G4" s="62" t="s">
        <v>73</v>
      </c>
      <c r="H4" s="57"/>
    </row>
    <row r="5" spans="1:16" ht="14.5" hidden="1" x14ac:dyDescent="0.35">
      <c r="A5">
        <f>DATE(PlanYear,PlanMonth,1)-WEEKDAY(DATE(PlanYear,PlanMonth,1),3)</f>
        <v>46202</v>
      </c>
      <c r="J5">
        <f>A5</f>
        <v>46202</v>
      </c>
      <c r="K5">
        <f>A5+7</f>
        <v>46209</v>
      </c>
      <c r="L5">
        <f>A5+14</f>
        <v>46216</v>
      </c>
      <c r="M5">
        <f>A5+21</f>
        <v>46223</v>
      </c>
      <c r="N5">
        <f>A5+28</f>
        <v>46230</v>
      </c>
      <c r="O5">
        <f>A5+35</f>
        <v>46237</v>
      </c>
    </row>
    <row r="6" spans="1:16" ht="32" customHeight="1" x14ac:dyDescent="0.35">
      <c r="A6" s="4" t="s">
        <v>74</v>
      </c>
      <c r="B6" s="4" t="s">
        <v>30</v>
      </c>
      <c r="C6" s="4" t="s">
        <v>75</v>
      </c>
      <c r="D6" s="4" t="s">
        <v>76</v>
      </c>
      <c r="E6" s="4" t="s">
        <v>77</v>
      </c>
      <c r="F6" s="4" t="s">
        <v>6</v>
      </c>
      <c r="G6" s="4" t="s">
        <v>32</v>
      </c>
      <c r="H6" s="4" t="s">
        <v>78</v>
      </c>
      <c r="I6" s="4" t="s">
        <v>79</v>
      </c>
      <c r="J6" s="17" t="str">
        <f>"Week "&amp;WEEKNUM(J5,2)&amp;CHAR(10)&amp;TEXT(J5,"dd")&amp;"–"&amp;TEXT(J5+6,"dd")&amp;" "&amp;INDEX({"Jan","Feb","Mar","Apr","May","Jun","Jul","Aug","Sep","Oct","Nov","Dec"},MONTH(J5+6))</f>
        <v>Week 27
29–05 Jul</v>
      </c>
      <c r="K6" s="4" t="str">
        <f>"Week "&amp;WEEKNUM(K5,2)&amp;CHAR(10)&amp;TEXT(K5,"dd")&amp;"–"&amp;TEXT(K5+6,"dd")&amp;" "&amp;INDEX({"Jan","Feb","Mar","Apr","May","Jun","Jul","Aug","Sep","Oct","Nov","Dec"},MONTH(K5+6))</f>
        <v>Week 28
06–12 Jul</v>
      </c>
      <c r="L6" s="4" t="str">
        <f>"Week "&amp;WEEKNUM(L5,2)&amp;CHAR(10)&amp;TEXT(L5,"dd")&amp;"–"&amp;TEXT(L5+6,"dd")&amp;" "&amp;INDEX({"Jan","Feb","Mar","Apr","May","Jun","Jul","Aug","Sep","Oct","Nov","Dec"},MONTH(L5+6))</f>
        <v>Week 29
13–19 Jul</v>
      </c>
      <c r="M6" s="4" t="str">
        <f>"Week "&amp;WEEKNUM(M5,2)&amp;CHAR(10)&amp;TEXT(M5,"dd")&amp;"–"&amp;TEXT(M5+6,"dd")&amp;" "&amp;INDEX({"Jan","Feb","Mar","Apr","May","Jun","Jul","Aug","Sep","Oct","Nov","Dec"},MONTH(M5+6))</f>
        <v>Week 30
20–26 Jul</v>
      </c>
      <c r="N6" s="4" t="str">
        <f>"Week "&amp;WEEKNUM(N5,2)&amp;CHAR(10)&amp;TEXT(N5,"dd")&amp;"–"&amp;TEXT(N5+6,"dd")&amp;" "&amp;INDEX({"Jan","Feb","Mar","Apr","May","Jun","Jul","Aug","Sep","Oct","Nov","Dec"},MONTH(N5+6))</f>
        <v>Week 31
27–02 Aug</v>
      </c>
      <c r="O6" s="4" t="str">
        <f>"Week "&amp;WEEKNUM(O5,2)&amp;CHAR(10)&amp;TEXT(O5,"dd")&amp;"–"&amp;TEXT(O5+6,"dd")&amp;" "&amp;INDEX({"Jan","Feb","Mar","Apr","May","Jun","Jul","Aug","Sep","Oct","Nov","Dec"},MONTH(O5+6))</f>
        <v>Week 32
03–09 Aug</v>
      </c>
    </row>
    <row r="7" spans="1:16" ht="14.5" x14ac:dyDescent="0.35">
      <c r="A7" s="6"/>
      <c r="B7" s="6"/>
      <c r="C7" s="6"/>
      <c r="D7" s="6"/>
      <c r="E7" s="6"/>
      <c r="F7" s="18"/>
      <c r="G7" s="18"/>
      <c r="H7" s="39"/>
      <c r="I7" s="40" t="str">
        <f t="shared" ref="I7:I36" si="0">IF(H7="","",H7*MonthlyExchangeRate)</f>
        <v/>
      </c>
      <c r="J7" s="20"/>
    </row>
    <row r="8" spans="1:16" ht="14.5" x14ac:dyDescent="0.35">
      <c r="A8" s="6"/>
      <c r="B8" s="6"/>
      <c r="C8" s="6"/>
      <c r="D8" s="6"/>
      <c r="E8" s="6"/>
      <c r="F8" s="18"/>
      <c r="G8" s="18"/>
      <c r="H8" s="39"/>
      <c r="I8" s="40" t="str">
        <f t="shared" si="0"/>
        <v/>
      </c>
      <c r="J8" s="20"/>
    </row>
    <row r="9" spans="1:16" ht="14.5" x14ac:dyDescent="0.35">
      <c r="A9" s="6"/>
      <c r="B9" s="6"/>
      <c r="C9" s="6"/>
      <c r="D9" s="6"/>
      <c r="E9" s="6"/>
      <c r="F9" s="18"/>
      <c r="G9" s="18"/>
      <c r="H9" s="39"/>
      <c r="I9" s="40" t="str">
        <f t="shared" si="0"/>
        <v/>
      </c>
      <c r="J9" s="20"/>
    </row>
    <row r="10" spans="1:16" ht="14.5" x14ac:dyDescent="0.35">
      <c r="A10" s="6"/>
      <c r="B10" s="6"/>
      <c r="C10" s="6"/>
      <c r="D10" s="6"/>
      <c r="E10" s="6"/>
      <c r="F10" s="18"/>
      <c r="G10" s="18"/>
      <c r="H10" s="39"/>
      <c r="I10" s="40" t="str">
        <f t="shared" si="0"/>
        <v/>
      </c>
      <c r="J10" s="20"/>
    </row>
    <row r="11" spans="1:16" ht="14.5" x14ac:dyDescent="0.35">
      <c r="A11" s="6"/>
      <c r="B11" s="6"/>
      <c r="C11" s="6"/>
      <c r="D11" s="6"/>
      <c r="E11" s="6"/>
      <c r="F11" s="18"/>
      <c r="G11" s="18"/>
      <c r="H11" s="39"/>
      <c r="I11" s="40" t="str">
        <f t="shared" si="0"/>
        <v/>
      </c>
      <c r="J11" s="20"/>
    </row>
    <row r="12" spans="1:16" ht="14.5" x14ac:dyDescent="0.35">
      <c r="A12" s="6"/>
      <c r="B12" s="6"/>
      <c r="C12" s="6"/>
      <c r="D12" s="6"/>
      <c r="E12" s="6"/>
      <c r="F12" s="18"/>
      <c r="G12" s="18"/>
      <c r="H12" s="39"/>
      <c r="I12" s="40" t="str">
        <f t="shared" si="0"/>
        <v/>
      </c>
      <c r="J12" s="20"/>
    </row>
    <row r="13" spans="1:16" ht="14.5" x14ac:dyDescent="0.35">
      <c r="A13" s="6"/>
      <c r="B13" s="6"/>
      <c r="C13" s="6"/>
      <c r="D13" s="6"/>
      <c r="E13" s="6"/>
      <c r="F13" s="18"/>
      <c r="G13" s="18"/>
      <c r="H13" s="39"/>
      <c r="I13" s="40" t="str">
        <f t="shared" si="0"/>
        <v/>
      </c>
      <c r="J13" s="20"/>
    </row>
    <row r="14" spans="1:16" ht="14.5" x14ac:dyDescent="0.35">
      <c r="A14" s="6"/>
      <c r="B14" s="6"/>
      <c r="C14" s="6"/>
      <c r="D14" s="6"/>
      <c r="E14" s="6"/>
      <c r="F14" s="18"/>
      <c r="G14" s="18"/>
      <c r="H14" s="39"/>
      <c r="I14" s="40" t="str">
        <f t="shared" si="0"/>
        <v/>
      </c>
      <c r="J14" s="20"/>
    </row>
    <row r="15" spans="1:16" ht="14.5" x14ac:dyDescent="0.35">
      <c r="A15" s="6"/>
      <c r="B15" s="6"/>
      <c r="C15" s="6"/>
      <c r="D15" s="6"/>
      <c r="E15" s="6"/>
      <c r="F15" s="18"/>
      <c r="G15" s="18"/>
      <c r="H15" s="39"/>
      <c r="I15" s="40" t="str">
        <f t="shared" si="0"/>
        <v/>
      </c>
      <c r="J15" s="20"/>
    </row>
    <row r="16" spans="1:16" ht="14.5" x14ac:dyDescent="0.35">
      <c r="A16" s="6"/>
      <c r="B16" s="6"/>
      <c r="C16" s="6"/>
      <c r="D16" s="6"/>
      <c r="E16" s="6"/>
      <c r="F16" s="18"/>
      <c r="G16" s="18"/>
      <c r="H16" s="39"/>
      <c r="I16" s="40" t="str">
        <f t="shared" si="0"/>
        <v/>
      </c>
      <c r="J16" s="20"/>
    </row>
    <row r="17" spans="1:10" ht="14.5" x14ac:dyDescent="0.35">
      <c r="A17" s="6"/>
      <c r="B17" s="6"/>
      <c r="C17" s="6"/>
      <c r="D17" s="6"/>
      <c r="E17" s="6"/>
      <c r="F17" s="18"/>
      <c r="G17" s="18"/>
      <c r="H17" s="39"/>
      <c r="I17" s="40" t="str">
        <f t="shared" si="0"/>
        <v/>
      </c>
      <c r="J17" s="20"/>
    </row>
    <row r="18" spans="1:10" ht="14.5" x14ac:dyDescent="0.35">
      <c r="A18" s="6"/>
      <c r="B18" s="6"/>
      <c r="C18" s="6"/>
      <c r="D18" s="6"/>
      <c r="E18" s="6"/>
      <c r="F18" s="18"/>
      <c r="G18" s="18"/>
      <c r="H18" s="39"/>
      <c r="I18" s="40" t="str">
        <f t="shared" si="0"/>
        <v/>
      </c>
      <c r="J18" s="20"/>
    </row>
    <row r="19" spans="1:10" ht="14.5" x14ac:dyDescent="0.35">
      <c r="A19" s="6"/>
      <c r="B19" s="6"/>
      <c r="C19" s="6"/>
      <c r="D19" s="6"/>
      <c r="E19" s="6"/>
      <c r="F19" s="18"/>
      <c r="G19" s="18"/>
      <c r="H19" s="39"/>
      <c r="I19" s="40" t="str">
        <f t="shared" si="0"/>
        <v/>
      </c>
      <c r="J19" s="20"/>
    </row>
    <row r="20" spans="1:10" ht="14.5" x14ac:dyDescent="0.35">
      <c r="A20" s="6"/>
      <c r="B20" s="6"/>
      <c r="C20" s="6"/>
      <c r="D20" s="6"/>
      <c r="E20" s="6"/>
      <c r="F20" s="18"/>
      <c r="G20" s="18"/>
      <c r="H20" s="39"/>
      <c r="I20" s="40" t="str">
        <f t="shared" si="0"/>
        <v/>
      </c>
      <c r="J20" s="20"/>
    </row>
    <row r="21" spans="1:10" ht="14.5" x14ac:dyDescent="0.35">
      <c r="A21" s="6"/>
      <c r="B21" s="6"/>
      <c r="C21" s="6"/>
      <c r="D21" s="6"/>
      <c r="E21" s="6"/>
      <c r="F21" s="18"/>
      <c r="G21" s="18"/>
      <c r="H21" s="39"/>
      <c r="I21" s="40" t="str">
        <f t="shared" si="0"/>
        <v/>
      </c>
      <c r="J21" s="20"/>
    </row>
    <row r="22" spans="1:10" ht="14.5" x14ac:dyDescent="0.35">
      <c r="A22" s="6"/>
      <c r="B22" s="6"/>
      <c r="C22" s="6"/>
      <c r="D22" s="6"/>
      <c r="E22" s="6"/>
      <c r="F22" s="18"/>
      <c r="G22" s="18"/>
      <c r="H22" s="39"/>
      <c r="I22" s="40" t="str">
        <f t="shared" si="0"/>
        <v/>
      </c>
      <c r="J22" s="20"/>
    </row>
    <row r="23" spans="1:10" ht="14.5" x14ac:dyDescent="0.35">
      <c r="A23" s="6"/>
      <c r="B23" s="6"/>
      <c r="C23" s="6"/>
      <c r="D23" s="6"/>
      <c r="E23" s="6"/>
      <c r="F23" s="18"/>
      <c r="G23" s="18"/>
      <c r="H23" s="39"/>
      <c r="I23" s="40" t="str">
        <f t="shared" si="0"/>
        <v/>
      </c>
      <c r="J23" s="20"/>
    </row>
    <row r="24" spans="1:10" ht="14.5" x14ac:dyDescent="0.35">
      <c r="A24" s="6"/>
      <c r="B24" s="6"/>
      <c r="C24" s="6"/>
      <c r="D24" s="6"/>
      <c r="E24" s="6"/>
      <c r="F24" s="18"/>
      <c r="G24" s="18"/>
      <c r="H24" s="39"/>
      <c r="I24" s="40" t="str">
        <f t="shared" si="0"/>
        <v/>
      </c>
      <c r="J24" s="20"/>
    </row>
    <row r="25" spans="1:10" ht="14.5" x14ac:dyDescent="0.35">
      <c r="A25" s="6"/>
      <c r="B25" s="6"/>
      <c r="C25" s="6"/>
      <c r="D25" s="6"/>
      <c r="E25" s="6"/>
      <c r="F25" s="18"/>
      <c r="G25" s="18"/>
      <c r="H25" s="39"/>
      <c r="I25" s="40" t="str">
        <f t="shared" si="0"/>
        <v/>
      </c>
      <c r="J25" s="20"/>
    </row>
    <row r="26" spans="1:10" ht="14.5" x14ac:dyDescent="0.35">
      <c r="A26" s="6"/>
      <c r="B26" s="6"/>
      <c r="C26" s="6"/>
      <c r="D26" s="6"/>
      <c r="E26" s="6"/>
      <c r="F26" s="18"/>
      <c r="G26" s="18"/>
      <c r="H26" s="39"/>
      <c r="I26" s="40" t="str">
        <f t="shared" si="0"/>
        <v/>
      </c>
      <c r="J26" s="20"/>
    </row>
    <row r="27" spans="1:10" ht="14.5" x14ac:dyDescent="0.35">
      <c r="A27" s="6"/>
      <c r="B27" s="6"/>
      <c r="C27" s="6"/>
      <c r="D27" s="6"/>
      <c r="E27" s="6"/>
      <c r="F27" s="18"/>
      <c r="G27" s="18"/>
      <c r="H27" s="39"/>
      <c r="I27" s="40" t="str">
        <f t="shared" si="0"/>
        <v/>
      </c>
      <c r="J27" s="20"/>
    </row>
    <row r="28" spans="1:10" ht="14.5" x14ac:dyDescent="0.35">
      <c r="A28" s="6"/>
      <c r="B28" s="6"/>
      <c r="C28" s="6"/>
      <c r="D28" s="6"/>
      <c r="E28" s="6"/>
      <c r="F28" s="18"/>
      <c r="G28" s="18"/>
      <c r="H28" s="39"/>
      <c r="I28" s="40" t="str">
        <f t="shared" si="0"/>
        <v/>
      </c>
      <c r="J28" s="20"/>
    </row>
    <row r="29" spans="1:10" ht="14.5" x14ac:dyDescent="0.35">
      <c r="A29" s="6"/>
      <c r="B29" s="6"/>
      <c r="C29" s="6"/>
      <c r="D29" s="6"/>
      <c r="E29" s="6"/>
      <c r="F29" s="18"/>
      <c r="G29" s="18"/>
      <c r="H29" s="39"/>
      <c r="I29" s="40" t="str">
        <f t="shared" si="0"/>
        <v/>
      </c>
      <c r="J29" s="20"/>
    </row>
    <row r="30" spans="1:10" ht="14.5" x14ac:dyDescent="0.35">
      <c r="A30" s="6"/>
      <c r="B30" s="6"/>
      <c r="C30" s="6"/>
      <c r="D30" s="6"/>
      <c r="E30" s="6"/>
      <c r="F30" s="18"/>
      <c r="G30" s="18"/>
      <c r="H30" s="39"/>
      <c r="I30" s="40" t="str">
        <f t="shared" si="0"/>
        <v/>
      </c>
      <c r="J30" s="20"/>
    </row>
    <row r="31" spans="1:10" ht="14.5" x14ac:dyDescent="0.35">
      <c r="A31" s="6"/>
      <c r="B31" s="6"/>
      <c r="C31" s="6"/>
      <c r="D31" s="6"/>
      <c r="E31" s="6"/>
      <c r="F31" s="18"/>
      <c r="G31" s="18"/>
      <c r="H31" s="39"/>
      <c r="I31" s="40" t="str">
        <f t="shared" si="0"/>
        <v/>
      </c>
      <c r="J31" s="20"/>
    </row>
    <row r="32" spans="1:10" ht="14.5" x14ac:dyDescent="0.35">
      <c r="A32" s="6"/>
      <c r="B32" s="6"/>
      <c r="C32" s="6"/>
      <c r="D32" s="6"/>
      <c r="E32" s="6"/>
      <c r="F32" s="18"/>
      <c r="G32" s="18"/>
      <c r="H32" s="39"/>
      <c r="I32" s="40" t="str">
        <f t="shared" si="0"/>
        <v/>
      </c>
      <c r="J32" s="20"/>
    </row>
    <row r="33" spans="1:10" ht="14.5" x14ac:dyDescent="0.35">
      <c r="A33" s="6"/>
      <c r="B33" s="6"/>
      <c r="C33" s="6"/>
      <c r="D33" s="6"/>
      <c r="E33" s="6"/>
      <c r="F33" s="18"/>
      <c r="G33" s="18"/>
      <c r="H33" s="39"/>
      <c r="I33" s="40" t="str">
        <f t="shared" si="0"/>
        <v/>
      </c>
      <c r="J33" s="20"/>
    </row>
    <row r="34" spans="1:10" ht="14.5" x14ac:dyDescent="0.35">
      <c r="A34" s="6"/>
      <c r="B34" s="6"/>
      <c r="C34" s="6"/>
      <c r="D34" s="6"/>
      <c r="E34" s="6"/>
      <c r="F34" s="18"/>
      <c r="G34" s="18"/>
      <c r="H34" s="39"/>
      <c r="I34" s="40" t="str">
        <f t="shared" si="0"/>
        <v/>
      </c>
      <c r="J34" s="20"/>
    </row>
    <row r="35" spans="1:10" ht="14.5" x14ac:dyDescent="0.35">
      <c r="A35" s="6"/>
      <c r="B35" s="6"/>
      <c r="C35" s="6"/>
      <c r="D35" s="6"/>
      <c r="E35" s="6"/>
      <c r="F35" s="18"/>
      <c r="G35" s="18"/>
      <c r="H35" s="39"/>
      <c r="I35" s="40" t="str">
        <f t="shared" si="0"/>
        <v/>
      </c>
      <c r="J35" s="20"/>
    </row>
    <row r="36" spans="1:10" ht="14.5" x14ac:dyDescent="0.35">
      <c r="A36" s="6"/>
      <c r="B36" s="6"/>
      <c r="C36" s="6"/>
      <c r="D36" s="6"/>
      <c r="E36" s="6"/>
      <c r="F36" s="18"/>
      <c r="G36" s="18"/>
      <c r="H36" s="39"/>
      <c r="I36" s="40" t="str">
        <f t="shared" si="0"/>
        <v/>
      </c>
      <c r="J36" s="20"/>
    </row>
  </sheetData>
  <mergeCells count="9">
    <mergeCell ref="A4:B4"/>
    <mergeCell ref="G4:H4"/>
    <mergeCell ref="A2:B3"/>
    <mergeCell ref="D1:E1"/>
    <mergeCell ref="D2:E3"/>
    <mergeCell ref="G1:H1"/>
    <mergeCell ref="G2:H3"/>
    <mergeCell ref="C4:E4"/>
    <mergeCell ref="A1:B1"/>
  </mergeCells>
  <conditionalFormatting sqref="A7:A36">
    <cfRule type="expression" dxfId="68" priority="2">
      <formula>$A7="eStore"</formula>
    </cfRule>
    <cfRule type="expression" dxfId="67" priority="3">
      <formula>$A7="MX"</formula>
    </cfRule>
    <cfRule type="expression" dxfId="66" priority="4">
      <formula>$A7="Corporate"</formula>
    </cfRule>
  </conditionalFormatting>
  <conditionalFormatting sqref="A7:I36">
    <cfRule type="expression" dxfId="65" priority="1">
      <formula>MOD(ROW()-7,2)=0</formula>
    </cfRule>
  </conditionalFormatting>
  <conditionalFormatting sqref="C7:C36">
    <cfRule type="expression" dxfId="64" priority="5">
      <formula>$C7="Google"</formula>
    </cfRule>
    <cfRule type="expression" dxfId="63" priority="6">
      <formula>$C7="META"</formula>
    </cfRule>
  </conditionalFormatting>
  <conditionalFormatting sqref="D7:D36">
    <cfRule type="expression" dxfId="62" priority="7">
      <formula>$D7="Performance Max"</formula>
    </cfRule>
    <cfRule type="expression" dxfId="61" priority="8">
      <formula>$D7="Search"</formula>
    </cfRule>
    <cfRule type="expression" dxfId="60" priority="9">
      <formula>$D7="Conversion (Purchases)"</formula>
    </cfRule>
    <cfRule type="expression" dxfId="59" priority="10">
      <formula>$D7="Demand Gen"</formula>
    </cfRule>
    <cfRule type="expression" dxfId="58" priority="11">
      <formula>$D7="Clicks"</formula>
    </cfRule>
  </conditionalFormatting>
  <conditionalFormatting sqref="J7:O36">
    <cfRule type="expression" dxfId="57" priority="12">
      <formula>AND($F7&lt;=J$5+6,$G7&gt;=J$5,$C7="Google")</formula>
    </cfRule>
    <cfRule type="expression" dxfId="56" priority="13">
      <formula>AND($F7&lt;=J$5+6,$G7&gt;=J$5,$C7="META")</formula>
    </cfRule>
  </conditionalFormatting>
  <dataValidations count="3">
    <dataValidation type="list" allowBlank="1" sqref="A7:A36" xr:uid="{00000000-0002-0000-0700-000000000000}">
      <formula1>"eStore,MX,Corporate"</formula1>
    </dataValidation>
    <dataValidation type="list" allowBlank="1" sqref="C7:C36" xr:uid="{00000000-0002-0000-0700-000001000000}">
      <formula1>"Google,META"</formula1>
    </dataValidation>
    <dataValidation type="list" allowBlank="1" sqref="D7:D36" xr:uid="{00000000-0002-0000-0700-000002000000}">
      <formula1>"Performance Max,Search,Conversion (Purchases),Demand Gen,Clicks"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tabColor rgb="FF898781"/>
  </sheetPr>
  <dimension ref="A1:J4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2" width="14" customWidth="1"/>
    <col min="4" max="4" width="24" customWidth="1"/>
    <col min="5" max="7" width="12" customWidth="1"/>
    <col min="8" max="8" width="14" customWidth="1"/>
    <col min="9" max="9" width="12" customWidth="1"/>
    <col min="10" max="10" width="13" hidden="1" customWidth="1"/>
  </cols>
  <sheetData>
    <row r="1" spans="1:10" ht="32" customHeight="1" x14ac:dyDescent="0.35">
      <c r="A1" s="4" t="s">
        <v>1</v>
      </c>
      <c r="B1" s="4" t="s">
        <v>80</v>
      </c>
      <c r="D1" s="4" t="s">
        <v>81</v>
      </c>
      <c r="E1" s="4" t="s">
        <v>82</v>
      </c>
      <c r="F1" s="4" t="s">
        <v>83</v>
      </c>
      <c r="G1" s="4" t="s">
        <v>41</v>
      </c>
      <c r="H1" s="4" t="s">
        <v>84</v>
      </c>
      <c r="I1" s="4" t="s">
        <v>14</v>
      </c>
      <c r="J1" s="4" t="s">
        <v>85</v>
      </c>
    </row>
    <row r="2" spans="1:10" ht="14.5" x14ac:dyDescent="0.35">
      <c r="A2" s="18"/>
      <c r="B2" s="6"/>
      <c r="D2" s="6"/>
      <c r="E2" s="41"/>
      <c r="F2" s="41"/>
      <c r="G2" s="6"/>
      <c r="H2" s="18"/>
      <c r="I2" s="6"/>
      <c r="J2" s="6"/>
    </row>
    <row r="3" spans="1:10" ht="14.5" x14ac:dyDescent="0.35">
      <c r="A3" s="6"/>
      <c r="B3" s="6"/>
      <c r="D3" s="6"/>
      <c r="E3" s="6"/>
      <c r="F3" s="6"/>
      <c r="G3" s="6"/>
      <c r="H3" s="6"/>
      <c r="I3" s="6"/>
      <c r="J3" s="6"/>
    </row>
    <row r="4" spans="1:10" ht="14.5" x14ac:dyDescent="0.35">
      <c r="A4" s="6"/>
      <c r="B4" s="6"/>
      <c r="D4" s="6"/>
      <c r="E4" s="6"/>
      <c r="F4" s="6"/>
      <c r="G4" s="6"/>
      <c r="H4" s="6"/>
      <c r="I4" s="6"/>
      <c r="J4" s="6"/>
    </row>
    <row r="5" spans="1:10" ht="14.5" x14ac:dyDescent="0.35">
      <c r="A5" s="6"/>
      <c r="B5" s="6"/>
      <c r="D5" s="6"/>
      <c r="E5" s="6"/>
      <c r="F5" s="6"/>
      <c r="G5" s="6"/>
      <c r="H5" s="6"/>
      <c r="I5" s="6"/>
      <c r="J5" s="6"/>
    </row>
    <row r="6" spans="1:10" ht="14.5" x14ac:dyDescent="0.35">
      <c r="A6" s="6"/>
      <c r="B6" s="6"/>
      <c r="D6" s="6"/>
      <c r="E6" s="6"/>
      <c r="F6" s="6"/>
      <c r="G6" s="6"/>
      <c r="H6" s="6"/>
      <c r="I6" s="6"/>
      <c r="J6" s="6"/>
    </row>
    <row r="7" spans="1:10" ht="14.5" x14ac:dyDescent="0.35">
      <c r="A7" s="6"/>
      <c r="B7" s="6"/>
      <c r="D7" s="6"/>
      <c r="E7" s="6"/>
      <c r="F7" s="6"/>
      <c r="G7" s="6"/>
      <c r="H7" s="6"/>
      <c r="I7" s="6"/>
      <c r="J7" s="6"/>
    </row>
    <row r="8" spans="1:10" ht="14.5" x14ac:dyDescent="0.35">
      <c r="A8" s="6"/>
      <c r="B8" s="6"/>
      <c r="D8" s="6"/>
      <c r="E8" s="6"/>
      <c r="F8" s="6"/>
      <c r="G8" s="6"/>
      <c r="H8" s="6"/>
      <c r="I8" s="6"/>
      <c r="J8" s="6"/>
    </row>
    <row r="9" spans="1:10" ht="14.5" x14ac:dyDescent="0.35">
      <c r="A9" s="6"/>
      <c r="B9" s="6"/>
      <c r="D9" s="6"/>
      <c r="E9" s="6"/>
      <c r="F9" s="6"/>
      <c r="G9" s="6"/>
      <c r="H9" s="6"/>
      <c r="I9" s="6"/>
      <c r="J9" s="6"/>
    </row>
    <row r="10" spans="1:10" ht="14.5" x14ac:dyDescent="0.35">
      <c r="A10" s="6"/>
      <c r="B10" s="6"/>
      <c r="D10" s="6"/>
      <c r="E10" s="6"/>
      <c r="F10" s="6"/>
      <c r="G10" s="6"/>
      <c r="H10" s="6"/>
      <c r="I10" s="6"/>
      <c r="J10" s="6"/>
    </row>
    <row r="11" spans="1:10" ht="14.5" x14ac:dyDescent="0.35">
      <c r="A11" s="6"/>
      <c r="B11" s="6"/>
      <c r="D11" s="6"/>
      <c r="E11" s="6"/>
      <c r="F11" s="6"/>
      <c r="G11" s="6"/>
      <c r="H11" s="6"/>
      <c r="I11" s="6"/>
      <c r="J11" s="6"/>
    </row>
    <row r="12" spans="1:10" ht="14.5" x14ac:dyDescent="0.35">
      <c r="A12" s="6"/>
      <c r="B12" s="6"/>
      <c r="D12" s="6"/>
      <c r="E12" s="6"/>
      <c r="F12" s="6"/>
      <c r="G12" s="6"/>
      <c r="H12" s="6"/>
      <c r="I12" s="6"/>
      <c r="J12" s="6"/>
    </row>
    <row r="13" spans="1:10" ht="14.5" x14ac:dyDescent="0.35">
      <c r="A13" s="6"/>
      <c r="B13" s="6"/>
      <c r="D13" s="6"/>
      <c r="E13" s="6"/>
      <c r="F13" s="6"/>
      <c r="G13" s="6"/>
      <c r="H13" s="6"/>
      <c r="I13" s="6"/>
      <c r="J13" s="6"/>
    </row>
    <row r="14" spans="1:10" ht="14.5" x14ac:dyDescent="0.35">
      <c r="A14" s="6"/>
      <c r="B14" s="6"/>
      <c r="D14" s="6"/>
      <c r="E14" s="6"/>
      <c r="F14" s="6"/>
      <c r="G14" s="6"/>
      <c r="H14" s="6"/>
      <c r="I14" s="6"/>
      <c r="J14" s="6"/>
    </row>
    <row r="15" spans="1:10" ht="14.5" x14ac:dyDescent="0.35">
      <c r="A15" s="6"/>
      <c r="B15" s="6"/>
      <c r="D15" s="6"/>
      <c r="E15" s="6"/>
      <c r="F15" s="6"/>
      <c r="G15" s="6"/>
      <c r="H15" s="6"/>
      <c r="I15" s="6"/>
      <c r="J15" s="6"/>
    </row>
    <row r="16" spans="1:10" ht="14.5" x14ac:dyDescent="0.35">
      <c r="A16" s="6"/>
      <c r="B16" s="6"/>
      <c r="D16" s="6"/>
      <c r="E16" s="6"/>
      <c r="F16" s="6"/>
      <c r="G16" s="6"/>
      <c r="H16" s="6"/>
      <c r="I16" s="6"/>
      <c r="J16" s="6"/>
    </row>
    <row r="17" spans="1:10" ht="14.5" x14ac:dyDescent="0.35">
      <c r="A17" s="6"/>
      <c r="B17" s="6"/>
      <c r="D17" s="6"/>
      <c r="E17" s="6"/>
      <c r="F17" s="6"/>
      <c r="G17" s="6"/>
      <c r="H17" s="6"/>
      <c r="I17" s="6"/>
      <c r="J17" s="6"/>
    </row>
    <row r="18" spans="1:10" ht="14.5" x14ac:dyDescent="0.35">
      <c r="A18" s="6"/>
      <c r="B18" s="6"/>
      <c r="D18" s="6"/>
      <c r="E18" s="6"/>
      <c r="F18" s="6"/>
      <c r="G18" s="6"/>
      <c r="H18" s="6"/>
      <c r="I18" s="6"/>
      <c r="J18" s="6"/>
    </row>
    <row r="19" spans="1:10" ht="14.5" x14ac:dyDescent="0.35">
      <c r="A19" s="6"/>
      <c r="B19" s="6"/>
      <c r="D19" s="6"/>
      <c r="E19" s="6"/>
      <c r="F19" s="6"/>
      <c r="G19" s="6"/>
      <c r="H19" s="6"/>
      <c r="I19" s="6"/>
      <c r="J19" s="6"/>
    </row>
    <row r="20" spans="1:10" ht="14.5" x14ac:dyDescent="0.35">
      <c r="A20" s="6"/>
      <c r="B20" s="6"/>
      <c r="D20" s="6"/>
      <c r="E20" s="6"/>
      <c r="F20" s="6"/>
      <c r="G20" s="6"/>
      <c r="H20" s="6"/>
      <c r="I20" s="6"/>
      <c r="J20" s="6"/>
    </row>
    <row r="21" spans="1:10" ht="14.5" x14ac:dyDescent="0.35">
      <c r="A21" s="6"/>
      <c r="B21" s="6"/>
      <c r="D21" s="6"/>
      <c r="E21" s="6"/>
      <c r="F21" s="6"/>
      <c r="G21" s="6"/>
      <c r="H21" s="6"/>
      <c r="I21" s="6"/>
      <c r="J21" s="6"/>
    </row>
    <row r="22" spans="1:10" ht="14.5" x14ac:dyDescent="0.35">
      <c r="A22" s="6"/>
      <c r="B22" s="6"/>
      <c r="D22" s="6"/>
      <c r="E22" s="6"/>
      <c r="F22" s="6"/>
      <c r="G22" s="6"/>
      <c r="H22" s="6"/>
      <c r="I22" s="6"/>
      <c r="J22" s="6"/>
    </row>
    <row r="23" spans="1:10" ht="14.5" x14ac:dyDescent="0.35">
      <c r="A23" s="6"/>
      <c r="B23" s="6"/>
      <c r="D23" s="6"/>
      <c r="E23" s="6"/>
      <c r="F23" s="6"/>
      <c r="G23" s="6"/>
      <c r="H23" s="6"/>
      <c r="I23" s="6"/>
      <c r="J23" s="6"/>
    </row>
    <row r="24" spans="1:10" ht="14.5" x14ac:dyDescent="0.35">
      <c r="A24" s="6"/>
      <c r="B24" s="6"/>
      <c r="D24" s="6"/>
      <c r="E24" s="6"/>
      <c r="F24" s="6"/>
      <c r="G24" s="6"/>
      <c r="H24" s="6"/>
      <c r="I24" s="6"/>
      <c r="J24" s="6"/>
    </row>
    <row r="25" spans="1:10" ht="14.5" x14ac:dyDescent="0.35">
      <c r="A25" s="6"/>
      <c r="B25" s="6"/>
      <c r="D25" s="6"/>
      <c r="E25" s="6"/>
      <c r="F25" s="6"/>
      <c r="G25" s="6"/>
      <c r="H25" s="6"/>
      <c r="I25" s="6"/>
      <c r="J25" s="6"/>
    </row>
    <row r="26" spans="1:10" ht="14.5" x14ac:dyDescent="0.35">
      <c r="A26" s="6"/>
      <c r="B26" s="6"/>
      <c r="D26" s="6"/>
      <c r="E26" s="6"/>
      <c r="F26" s="6"/>
      <c r="G26" s="6"/>
      <c r="H26" s="6"/>
      <c r="I26" s="6"/>
      <c r="J26" s="6"/>
    </row>
    <row r="27" spans="1:10" ht="14.5" x14ac:dyDescent="0.35">
      <c r="A27" s="6"/>
      <c r="B27" s="6"/>
      <c r="D27" s="6"/>
      <c r="E27" s="6"/>
      <c r="F27" s="6"/>
      <c r="G27" s="6"/>
      <c r="H27" s="6"/>
      <c r="I27" s="6"/>
      <c r="J27" s="6"/>
    </row>
    <row r="28" spans="1:10" ht="14.5" x14ac:dyDescent="0.35">
      <c r="A28" s="6"/>
      <c r="B28" s="6"/>
      <c r="D28" s="6"/>
      <c r="E28" s="6"/>
      <c r="F28" s="6"/>
      <c r="G28" s="6"/>
      <c r="H28" s="6"/>
      <c r="I28" s="6"/>
      <c r="J28" s="6"/>
    </row>
    <row r="29" spans="1:10" ht="14.5" x14ac:dyDescent="0.35">
      <c r="A29" s="6"/>
      <c r="B29" s="6"/>
      <c r="D29" s="6"/>
      <c r="E29" s="6"/>
      <c r="F29" s="6"/>
      <c r="G29" s="6"/>
      <c r="H29" s="6"/>
      <c r="I29" s="6"/>
      <c r="J29" s="6"/>
    </row>
    <row r="30" spans="1:10" ht="14.5" x14ac:dyDescent="0.35">
      <c r="A30" s="6"/>
      <c r="B30" s="6"/>
      <c r="D30" s="6"/>
      <c r="E30" s="6"/>
      <c r="F30" s="6"/>
      <c r="G30" s="6"/>
      <c r="H30" s="6"/>
      <c r="I30" s="6"/>
      <c r="J30" s="6"/>
    </row>
    <row r="31" spans="1:10" ht="14.5" x14ac:dyDescent="0.35">
      <c r="A31" s="6"/>
      <c r="B31" s="6"/>
      <c r="D31" s="6"/>
      <c r="E31" s="6"/>
      <c r="F31" s="6"/>
      <c r="G31" s="6"/>
      <c r="H31" s="6"/>
      <c r="I31" s="6"/>
      <c r="J31" s="6"/>
    </row>
    <row r="32" spans="1:10" ht="14.5" x14ac:dyDescent="0.35">
      <c r="A32" s="6"/>
      <c r="B32" s="6"/>
      <c r="D32" s="6"/>
      <c r="E32" s="6"/>
      <c r="F32" s="6"/>
      <c r="G32" s="6"/>
      <c r="H32" s="6"/>
      <c r="I32" s="6"/>
      <c r="J32" s="6"/>
    </row>
    <row r="33" spans="1:10" ht="14.5" x14ac:dyDescent="0.35">
      <c r="A33" s="6"/>
      <c r="B33" s="6"/>
      <c r="D33" s="6"/>
      <c r="E33" s="6"/>
      <c r="F33" s="6"/>
      <c r="G33" s="6"/>
      <c r="H33" s="6"/>
      <c r="I33" s="6"/>
      <c r="J33" s="6"/>
    </row>
    <row r="34" spans="1:10" ht="14.5" x14ac:dyDescent="0.35">
      <c r="A34" s="6"/>
      <c r="B34" s="6"/>
      <c r="D34" s="6"/>
      <c r="E34" s="6"/>
      <c r="F34" s="6"/>
      <c r="G34" s="6"/>
      <c r="H34" s="6"/>
      <c r="I34" s="6"/>
      <c r="J34" s="6"/>
    </row>
    <row r="35" spans="1:10" ht="14.5" x14ac:dyDescent="0.35">
      <c r="A35" s="6"/>
      <c r="B35" s="6"/>
      <c r="D35" s="6"/>
      <c r="E35" s="6"/>
      <c r="F35" s="6"/>
      <c r="G35" s="6"/>
      <c r="H35" s="6"/>
      <c r="I35" s="6"/>
      <c r="J35" s="6"/>
    </row>
    <row r="36" spans="1:10" ht="14.5" x14ac:dyDescent="0.35">
      <c r="A36" s="6"/>
      <c r="B36" s="6"/>
      <c r="D36" s="6"/>
      <c r="E36" s="6"/>
      <c r="F36" s="6"/>
      <c r="G36" s="6"/>
      <c r="H36" s="6"/>
      <c r="I36" s="6"/>
      <c r="J36" s="6"/>
    </row>
    <row r="37" spans="1:10" ht="14.5" x14ac:dyDescent="0.35">
      <c r="A37" s="6"/>
      <c r="B37" s="6"/>
      <c r="D37" s="6"/>
      <c r="E37" s="6"/>
      <c r="F37" s="6"/>
      <c r="G37" s="6"/>
      <c r="H37" s="6"/>
      <c r="I37" s="6"/>
      <c r="J37" s="6"/>
    </row>
    <row r="38" spans="1:10" ht="14.5" x14ac:dyDescent="0.35">
      <c r="A38" s="6"/>
      <c r="B38" s="6"/>
      <c r="D38" s="6"/>
      <c r="E38" s="6"/>
      <c r="F38" s="6"/>
      <c r="G38" s="6"/>
      <c r="H38" s="6"/>
      <c r="I38" s="6"/>
      <c r="J38" s="6"/>
    </row>
    <row r="39" spans="1:10" ht="14.5" x14ac:dyDescent="0.35">
      <c r="A39" s="6"/>
      <c r="B39" s="6"/>
      <c r="D39" s="6"/>
      <c r="E39" s="6"/>
      <c r="F39" s="6"/>
      <c r="G39" s="6"/>
      <c r="H39" s="6"/>
      <c r="I39" s="6"/>
      <c r="J39" s="6"/>
    </row>
    <row r="40" spans="1:10" ht="14.5" x14ac:dyDescent="0.35">
      <c r="A40" s="6"/>
      <c r="B40" s="6"/>
      <c r="D40" s="6"/>
      <c r="E40" s="6"/>
      <c r="F40" s="6"/>
      <c r="G40" s="6"/>
      <c r="H40" s="6"/>
      <c r="I40" s="6"/>
      <c r="J40" s="6"/>
    </row>
    <row r="41" spans="1:10" ht="14.5" x14ac:dyDescent="0.35">
      <c r="A41" s="6"/>
      <c r="B41" s="6"/>
      <c r="D41" s="6"/>
      <c r="E41" s="6"/>
      <c r="F41" s="6"/>
      <c r="G41" s="6"/>
      <c r="H41" s="6"/>
      <c r="I41" s="6"/>
      <c r="J41" s="6"/>
    </row>
    <row r="42" spans="1:10" ht="14.5" x14ac:dyDescent="0.35">
      <c r="A42" s="6"/>
      <c r="B42" s="6"/>
      <c r="D42" s="6"/>
      <c r="E42" s="6"/>
      <c r="F42" s="6"/>
      <c r="G42" s="6"/>
      <c r="H42" s="6"/>
      <c r="I42" s="6"/>
      <c r="J42" s="6"/>
    </row>
    <row r="43" spans="1:10" ht="14.5" x14ac:dyDescent="0.35">
      <c r="A43" s="6"/>
      <c r="B43" s="6"/>
      <c r="D43" s="6"/>
      <c r="E43" s="6"/>
      <c r="F43" s="6"/>
      <c r="G43" s="6"/>
      <c r="H43" s="6"/>
      <c r="I43" s="6"/>
      <c r="J43" s="6"/>
    </row>
    <row r="44" spans="1:10" ht="14.5" x14ac:dyDescent="0.35">
      <c r="A44" s="6"/>
      <c r="B44" s="6"/>
      <c r="D44" s="6"/>
      <c r="E44" s="6"/>
      <c r="F44" s="6"/>
      <c r="G44" s="6"/>
      <c r="H44" s="6"/>
      <c r="I44" s="6"/>
      <c r="J44" s="6"/>
    </row>
    <row r="45" spans="1:10" ht="14.5" x14ac:dyDescent="0.35">
      <c r="A45" s="6"/>
      <c r="B45" s="6"/>
      <c r="D45" s="6"/>
      <c r="E45" s="6"/>
      <c r="F45" s="6"/>
      <c r="G45" s="6"/>
      <c r="H45" s="6"/>
      <c r="I45" s="6"/>
      <c r="J45" s="6"/>
    </row>
    <row r="46" spans="1:10" ht="14.5" x14ac:dyDescent="0.35">
      <c r="A46" s="6"/>
      <c r="B46" s="6"/>
      <c r="D46" s="6"/>
      <c r="E46" s="6"/>
      <c r="F46" s="6"/>
      <c r="G46" s="6"/>
      <c r="H46" s="6"/>
      <c r="I46" s="6"/>
      <c r="J46" s="6"/>
    </row>
    <row r="47" spans="1:10" ht="14.5" x14ac:dyDescent="0.35">
      <c r="A47" s="6"/>
      <c r="B47" s="6"/>
      <c r="D47" s="6"/>
      <c r="E47" s="6"/>
      <c r="F47" s="6"/>
      <c r="G47" s="6"/>
      <c r="H47" s="6"/>
      <c r="I47" s="6"/>
      <c r="J47" s="6"/>
    </row>
    <row r="48" spans="1:10" ht="14.5" x14ac:dyDescent="0.35">
      <c r="A48" s="6"/>
      <c r="B48" s="6"/>
      <c r="D48" s="6"/>
      <c r="E48" s="6"/>
      <c r="F48" s="6"/>
      <c r="G48" s="6"/>
      <c r="H48" s="6"/>
      <c r="I48" s="6"/>
      <c r="J48" s="6"/>
    </row>
    <row r="49" spans="1:10" ht="14.5" x14ac:dyDescent="0.35">
      <c r="A49" s="6"/>
      <c r="B49" s="6"/>
      <c r="D49" s="6"/>
      <c r="E49" s="6"/>
      <c r="F49" s="6"/>
      <c r="G49" s="6"/>
      <c r="H49" s="6"/>
      <c r="I49" s="6"/>
      <c r="J49" s="6"/>
    </row>
    <row r="50" spans="1:10" ht="14.5" x14ac:dyDescent="0.35">
      <c r="A50" s="6"/>
      <c r="B50" s="6"/>
      <c r="D50" s="6"/>
      <c r="E50" s="6"/>
      <c r="F50" s="6"/>
      <c r="G50" s="6"/>
      <c r="H50" s="6"/>
      <c r="I50" s="6"/>
      <c r="J50" s="6"/>
    </row>
    <row r="51" spans="1:10" ht="14.5" x14ac:dyDescent="0.35">
      <c r="A51" s="6"/>
      <c r="B51" s="6"/>
      <c r="D51" s="6"/>
      <c r="E51" s="6"/>
      <c r="F51" s="6"/>
      <c r="G51" s="6"/>
      <c r="H51" s="6"/>
      <c r="I51" s="6"/>
      <c r="J51" s="6"/>
    </row>
    <row r="52" spans="1:10" ht="14.5" x14ac:dyDescent="0.35">
      <c r="A52" s="6"/>
      <c r="B52" s="6"/>
      <c r="D52" s="6"/>
      <c r="E52" s="6"/>
      <c r="F52" s="6"/>
      <c r="G52" s="6"/>
      <c r="H52" s="6"/>
      <c r="I52" s="6"/>
      <c r="J52" s="6"/>
    </row>
    <row r="53" spans="1:10" ht="14.5" x14ac:dyDescent="0.35">
      <c r="A53" s="6"/>
      <c r="B53" s="6"/>
      <c r="D53" s="6"/>
      <c r="E53" s="6"/>
      <c r="F53" s="6"/>
      <c r="G53" s="6"/>
      <c r="H53" s="6"/>
      <c r="I53" s="6"/>
      <c r="J53" s="6"/>
    </row>
    <row r="54" spans="1:10" ht="14.5" x14ac:dyDescent="0.35">
      <c r="A54" s="6"/>
      <c r="B54" s="6"/>
      <c r="D54" s="6"/>
      <c r="E54" s="6"/>
      <c r="F54" s="6"/>
      <c r="G54" s="6"/>
      <c r="H54" s="6"/>
      <c r="I54" s="6"/>
      <c r="J54" s="6"/>
    </row>
    <row r="55" spans="1:10" ht="14.5" x14ac:dyDescent="0.35">
      <c r="A55" s="6"/>
      <c r="B55" s="6"/>
      <c r="D55" s="6"/>
      <c r="E55" s="6"/>
      <c r="F55" s="6"/>
      <c r="G55" s="6"/>
      <c r="H55" s="6"/>
      <c r="I55" s="6"/>
      <c r="J55" s="6"/>
    </row>
    <row r="56" spans="1:10" ht="14.5" x14ac:dyDescent="0.35">
      <c r="A56" s="6"/>
      <c r="B56" s="6"/>
      <c r="D56" s="6"/>
      <c r="E56" s="6"/>
      <c r="F56" s="6"/>
      <c r="G56" s="6"/>
      <c r="H56" s="6"/>
      <c r="I56" s="6"/>
      <c r="J56" s="6"/>
    </row>
    <row r="57" spans="1:10" ht="14.5" x14ac:dyDescent="0.35">
      <c r="A57" s="6"/>
      <c r="B57" s="6"/>
      <c r="D57" s="6"/>
      <c r="E57" s="6"/>
      <c r="F57" s="6"/>
      <c r="G57" s="6"/>
      <c r="H57" s="6"/>
      <c r="I57" s="6"/>
      <c r="J57" s="6"/>
    </row>
    <row r="58" spans="1:10" ht="14.5" x14ac:dyDescent="0.35">
      <c r="A58" s="6"/>
      <c r="B58" s="6"/>
      <c r="D58" s="6"/>
      <c r="E58" s="6"/>
      <c r="F58" s="6"/>
      <c r="G58" s="6"/>
      <c r="H58" s="6"/>
      <c r="I58" s="6"/>
      <c r="J58" s="6"/>
    </row>
    <row r="59" spans="1:10" ht="14.5" x14ac:dyDescent="0.35">
      <c r="A59" s="6"/>
      <c r="B59" s="6"/>
      <c r="D59" s="6"/>
      <c r="E59" s="6"/>
      <c r="F59" s="6"/>
      <c r="G59" s="6"/>
      <c r="H59" s="6"/>
      <c r="I59" s="6"/>
      <c r="J59" s="6"/>
    </row>
    <row r="60" spans="1:10" ht="14.5" x14ac:dyDescent="0.35">
      <c r="A60" s="6"/>
      <c r="B60" s="6"/>
      <c r="D60" s="6"/>
      <c r="E60" s="6"/>
      <c r="F60" s="6"/>
      <c r="G60" s="6"/>
      <c r="H60" s="6"/>
      <c r="I60" s="6"/>
      <c r="J60" s="6"/>
    </row>
    <row r="61" spans="1:10" ht="14.5" x14ac:dyDescent="0.35">
      <c r="A61" s="6"/>
      <c r="B61" s="6"/>
      <c r="D61" s="6"/>
      <c r="E61" s="6"/>
      <c r="F61" s="6"/>
      <c r="G61" s="6"/>
      <c r="H61" s="6"/>
      <c r="I61" s="6"/>
      <c r="J61" s="6"/>
    </row>
    <row r="62" spans="1:10" ht="14.5" x14ac:dyDescent="0.35">
      <c r="A62" s="6"/>
      <c r="B62" s="6"/>
    </row>
    <row r="63" spans="1:10" ht="14.5" x14ac:dyDescent="0.35">
      <c r="A63" s="6"/>
      <c r="B63" s="6"/>
    </row>
    <row r="64" spans="1:10" ht="14.5" x14ac:dyDescent="0.35">
      <c r="A64" s="6"/>
      <c r="B64" s="6"/>
    </row>
    <row r="65" spans="1:2" ht="14.5" x14ac:dyDescent="0.35">
      <c r="A65" s="6"/>
      <c r="B65" s="6"/>
    </row>
    <row r="66" spans="1:2" ht="14.5" x14ac:dyDescent="0.35">
      <c r="A66" s="6"/>
      <c r="B66" s="6"/>
    </row>
    <row r="67" spans="1:2" ht="14.5" x14ac:dyDescent="0.35">
      <c r="A67" s="6"/>
      <c r="B67" s="6"/>
    </row>
    <row r="68" spans="1:2" ht="14.5" x14ac:dyDescent="0.35">
      <c r="A68" s="6"/>
      <c r="B68" s="6"/>
    </row>
    <row r="69" spans="1:2" ht="14.5" x14ac:dyDescent="0.35">
      <c r="A69" s="6"/>
      <c r="B69" s="6"/>
    </row>
    <row r="70" spans="1:2" ht="14.5" x14ac:dyDescent="0.35">
      <c r="A70" s="6"/>
      <c r="B70" s="6"/>
    </row>
    <row r="71" spans="1:2" ht="14.5" x14ac:dyDescent="0.35">
      <c r="A71" s="6"/>
      <c r="B71" s="6"/>
    </row>
    <row r="72" spans="1:2" ht="14.5" x14ac:dyDescent="0.35">
      <c r="A72" s="6"/>
      <c r="B72" s="6"/>
    </row>
    <row r="73" spans="1:2" ht="14.5" x14ac:dyDescent="0.35">
      <c r="A73" s="6"/>
      <c r="B73" s="6"/>
    </row>
    <row r="74" spans="1:2" ht="14.5" x14ac:dyDescent="0.35">
      <c r="A74" s="6"/>
      <c r="B74" s="6"/>
    </row>
    <row r="75" spans="1:2" ht="14.5" x14ac:dyDescent="0.35">
      <c r="A75" s="6"/>
      <c r="B75" s="6"/>
    </row>
    <row r="76" spans="1:2" ht="14.5" x14ac:dyDescent="0.35">
      <c r="A76" s="6"/>
      <c r="B76" s="6"/>
    </row>
    <row r="77" spans="1:2" ht="14.5" x14ac:dyDescent="0.35">
      <c r="A77" s="6"/>
      <c r="B77" s="6"/>
    </row>
    <row r="78" spans="1:2" ht="14.5" x14ac:dyDescent="0.35">
      <c r="A78" s="6"/>
      <c r="B78" s="6"/>
    </row>
    <row r="79" spans="1:2" ht="14.5" x14ac:dyDescent="0.35">
      <c r="A79" s="6"/>
      <c r="B79" s="6"/>
    </row>
    <row r="80" spans="1:2" ht="14.5" x14ac:dyDescent="0.35">
      <c r="A80" s="6"/>
      <c r="B80" s="6"/>
    </row>
    <row r="81" spans="1:2" ht="14.5" x14ac:dyDescent="0.35">
      <c r="A81" s="6"/>
      <c r="B81" s="6"/>
    </row>
    <row r="82" spans="1:2" ht="14.5" x14ac:dyDescent="0.35">
      <c r="A82" s="6"/>
      <c r="B82" s="6"/>
    </row>
    <row r="83" spans="1:2" ht="14.5" x14ac:dyDescent="0.35">
      <c r="A83" s="6"/>
      <c r="B83" s="6"/>
    </row>
    <row r="84" spans="1:2" ht="14.5" x14ac:dyDescent="0.35">
      <c r="A84" s="6"/>
      <c r="B84" s="6"/>
    </row>
    <row r="85" spans="1:2" ht="14.5" x14ac:dyDescent="0.35">
      <c r="A85" s="6"/>
      <c r="B85" s="6"/>
    </row>
    <row r="86" spans="1:2" ht="14.5" x14ac:dyDescent="0.35">
      <c r="A86" s="6"/>
      <c r="B86" s="6"/>
    </row>
    <row r="87" spans="1:2" ht="14.5" x14ac:dyDescent="0.35">
      <c r="A87" s="6"/>
      <c r="B87" s="6"/>
    </row>
    <row r="88" spans="1:2" ht="14.5" x14ac:dyDescent="0.35">
      <c r="A88" s="6"/>
      <c r="B88" s="6"/>
    </row>
    <row r="89" spans="1:2" ht="14.5" x14ac:dyDescent="0.35">
      <c r="A89" s="6"/>
      <c r="B89" s="6"/>
    </row>
    <row r="90" spans="1:2" ht="14.5" x14ac:dyDescent="0.35">
      <c r="A90" s="6"/>
      <c r="B90" s="6"/>
    </row>
    <row r="91" spans="1:2" ht="14.5" x14ac:dyDescent="0.35">
      <c r="A91" s="6"/>
      <c r="B91" s="6"/>
    </row>
    <row r="92" spans="1:2" ht="14.5" x14ac:dyDescent="0.35">
      <c r="A92" s="6"/>
      <c r="B92" s="6"/>
    </row>
    <row r="93" spans="1:2" ht="14.5" x14ac:dyDescent="0.35">
      <c r="A93" s="6"/>
      <c r="B93" s="6"/>
    </row>
    <row r="94" spans="1:2" ht="14.5" x14ac:dyDescent="0.35">
      <c r="A94" s="6"/>
      <c r="B94" s="6"/>
    </row>
    <row r="95" spans="1:2" ht="14.5" x14ac:dyDescent="0.35">
      <c r="A95" s="6"/>
      <c r="B95" s="6"/>
    </row>
    <row r="96" spans="1:2" ht="14.5" x14ac:dyDescent="0.35">
      <c r="A96" s="6"/>
      <c r="B96" s="6"/>
    </row>
    <row r="97" spans="1:2" ht="14.5" x14ac:dyDescent="0.35">
      <c r="A97" s="6"/>
      <c r="B97" s="6"/>
    </row>
    <row r="98" spans="1:2" ht="14.5" x14ac:dyDescent="0.35">
      <c r="A98" s="6"/>
      <c r="B98" s="6"/>
    </row>
    <row r="99" spans="1:2" ht="14.5" x14ac:dyDescent="0.35">
      <c r="A99" s="6"/>
      <c r="B99" s="6"/>
    </row>
    <row r="100" spans="1:2" ht="14.5" x14ac:dyDescent="0.35">
      <c r="A100" s="6"/>
      <c r="B100" s="6"/>
    </row>
    <row r="101" spans="1:2" ht="14.5" x14ac:dyDescent="0.35">
      <c r="A101" s="6"/>
      <c r="B101" s="6"/>
    </row>
    <row r="102" spans="1:2" ht="14.5" x14ac:dyDescent="0.35">
      <c r="A102" s="6"/>
      <c r="B102" s="6"/>
    </row>
    <row r="103" spans="1:2" ht="14.5" x14ac:dyDescent="0.35">
      <c r="A103" s="6"/>
      <c r="B103" s="6"/>
    </row>
    <row r="104" spans="1:2" ht="14.5" x14ac:dyDescent="0.35">
      <c r="A104" s="6"/>
      <c r="B104" s="6"/>
    </row>
    <row r="105" spans="1:2" ht="14.5" x14ac:dyDescent="0.35">
      <c r="A105" s="6"/>
      <c r="B105" s="6"/>
    </row>
    <row r="106" spans="1:2" ht="14.5" x14ac:dyDescent="0.35">
      <c r="A106" s="6"/>
      <c r="B106" s="6"/>
    </row>
    <row r="107" spans="1:2" ht="14.5" x14ac:dyDescent="0.35">
      <c r="A107" s="6"/>
      <c r="B107" s="6"/>
    </row>
    <row r="108" spans="1:2" ht="14.5" x14ac:dyDescent="0.35">
      <c r="A108" s="6"/>
      <c r="B108" s="6"/>
    </row>
    <row r="109" spans="1:2" ht="14.5" x14ac:dyDescent="0.35">
      <c r="A109" s="6"/>
      <c r="B109" s="6"/>
    </row>
    <row r="110" spans="1:2" ht="14.5" x14ac:dyDescent="0.35">
      <c r="A110" s="6"/>
      <c r="B110" s="6"/>
    </row>
    <row r="111" spans="1:2" ht="14.5" x14ac:dyDescent="0.35">
      <c r="A111" s="6"/>
      <c r="B111" s="6"/>
    </row>
    <row r="112" spans="1:2" ht="14.5" x14ac:dyDescent="0.35">
      <c r="A112" s="6"/>
      <c r="B112" s="6"/>
    </row>
    <row r="113" spans="1:2" ht="14.5" x14ac:dyDescent="0.35">
      <c r="A113" s="6"/>
      <c r="B113" s="6"/>
    </row>
    <row r="114" spans="1:2" ht="14.5" x14ac:dyDescent="0.35">
      <c r="A114" s="6"/>
      <c r="B114" s="6"/>
    </row>
    <row r="115" spans="1:2" ht="14.5" x14ac:dyDescent="0.35">
      <c r="A115" s="6"/>
      <c r="B115" s="6"/>
    </row>
    <row r="116" spans="1:2" ht="14.5" x14ac:dyDescent="0.35">
      <c r="A116" s="6"/>
      <c r="B116" s="6"/>
    </row>
    <row r="117" spans="1:2" ht="14.5" x14ac:dyDescent="0.35">
      <c r="A117" s="6"/>
      <c r="B117" s="6"/>
    </row>
    <row r="118" spans="1:2" ht="14.5" x14ac:dyDescent="0.35">
      <c r="A118" s="6"/>
      <c r="B118" s="6"/>
    </row>
    <row r="119" spans="1:2" ht="14.5" x14ac:dyDescent="0.35">
      <c r="A119" s="6"/>
      <c r="B119" s="6"/>
    </row>
    <row r="120" spans="1:2" ht="14.5" x14ac:dyDescent="0.35">
      <c r="A120" s="6"/>
      <c r="B120" s="6"/>
    </row>
    <row r="121" spans="1:2" ht="14.5" x14ac:dyDescent="0.35">
      <c r="A121" s="6"/>
      <c r="B121" s="6"/>
    </row>
    <row r="122" spans="1:2" ht="14.5" x14ac:dyDescent="0.35">
      <c r="A122" s="6"/>
      <c r="B122" s="6"/>
    </row>
    <row r="123" spans="1:2" ht="14.5" x14ac:dyDescent="0.35">
      <c r="A123" s="6"/>
      <c r="B123" s="6"/>
    </row>
    <row r="124" spans="1:2" ht="14.5" x14ac:dyDescent="0.35">
      <c r="A124" s="6"/>
      <c r="B124" s="6"/>
    </row>
    <row r="125" spans="1:2" ht="14.5" x14ac:dyDescent="0.35">
      <c r="A125" s="6"/>
      <c r="B125" s="6"/>
    </row>
    <row r="126" spans="1:2" ht="14.5" x14ac:dyDescent="0.35">
      <c r="A126" s="6"/>
      <c r="B126" s="6"/>
    </row>
    <row r="127" spans="1:2" ht="14.5" x14ac:dyDescent="0.35">
      <c r="A127" s="6"/>
      <c r="B127" s="6"/>
    </row>
    <row r="128" spans="1:2" ht="14.5" x14ac:dyDescent="0.35">
      <c r="A128" s="6"/>
      <c r="B128" s="6"/>
    </row>
    <row r="129" spans="1:2" ht="14.5" x14ac:dyDescent="0.35">
      <c r="A129" s="6"/>
      <c r="B129" s="6"/>
    </row>
    <row r="130" spans="1:2" ht="14.5" x14ac:dyDescent="0.35">
      <c r="A130" s="6"/>
      <c r="B130" s="6"/>
    </row>
    <row r="131" spans="1:2" ht="14.5" x14ac:dyDescent="0.35">
      <c r="A131" s="6"/>
      <c r="B131" s="6"/>
    </row>
    <row r="132" spans="1:2" ht="14.5" x14ac:dyDescent="0.35">
      <c r="A132" s="6"/>
      <c r="B132" s="6"/>
    </row>
    <row r="133" spans="1:2" ht="14.5" x14ac:dyDescent="0.35">
      <c r="A133" s="6"/>
      <c r="B133" s="6"/>
    </row>
    <row r="134" spans="1:2" ht="14.5" x14ac:dyDescent="0.35">
      <c r="A134" s="6"/>
      <c r="B134" s="6"/>
    </row>
    <row r="135" spans="1:2" ht="14.5" x14ac:dyDescent="0.35">
      <c r="A135" s="6"/>
      <c r="B135" s="6"/>
    </row>
    <row r="136" spans="1:2" ht="14.5" x14ac:dyDescent="0.35">
      <c r="A136" s="6"/>
      <c r="B136" s="6"/>
    </row>
    <row r="137" spans="1:2" ht="14.5" x14ac:dyDescent="0.35">
      <c r="A137" s="6"/>
      <c r="B137" s="6"/>
    </row>
    <row r="138" spans="1:2" ht="14.5" x14ac:dyDescent="0.35">
      <c r="A138" s="6"/>
      <c r="B138" s="6"/>
    </row>
    <row r="139" spans="1:2" ht="14.5" x14ac:dyDescent="0.35">
      <c r="A139" s="6"/>
      <c r="B139" s="6"/>
    </row>
    <row r="140" spans="1:2" ht="14.5" x14ac:dyDescent="0.35">
      <c r="A140" s="6"/>
      <c r="B140" s="6"/>
    </row>
    <row r="141" spans="1:2" ht="14.5" x14ac:dyDescent="0.35">
      <c r="A141" s="6"/>
      <c r="B141" s="6"/>
    </row>
    <row r="142" spans="1:2" ht="14.5" x14ac:dyDescent="0.35">
      <c r="A142" s="6"/>
      <c r="B142" s="6"/>
    </row>
    <row r="143" spans="1:2" ht="14.5" x14ac:dyDescent="0.35">
      <c r="A143" s="6"/>
      <c r="B143" s="6"/>
    </row>
    <row r="144" spans="1:2" ht="14.5" x14ac:dyDescent="0.35">
      <c r="A144" s="6"/>
      <c r="B144" s="6"/>
    </row>
    <row r="145" spans="1:2" ht="14.5" x14ac:dyDescent="0.35">
      <c r="A145" s="6"/>
      <c r="B145" s="6"/>
    </row>
    <row r="146" spans="1:2" ht="14.5" x14ac:dyDescent="0.35">
      <c r="A146" s="6"/>
      <c r="B146" s="6"/>
    </row>
    <row r="147" spans="1:2" ht="14.5" x14ac:dyDescent="0.35">
      <c r="A147" s="6"/>
      <c r="B147" s="6"/>
    </row>
    <row r="148" spans="1:2" ht="14.5" x14ac:dyDescent="0.35">
      <c r="A148" s="6"/>
      <c r="B148" s="6"/>
    </row>
    <row r="149" spans="1:2" ht="14.5" x14ac:dyDescent="0.35">
      <c r="A149" s="6"/>
      <c r="B149" s="6"/>
    </row>
    <row r="150" spans="1:2" ht="14.5" x14ac:dyDescent="0.35">
      <c r="A150" s="6"/>
      <c r="B150" s="6"/>
    </row>
    <row r="151" spans="1:2" ht="14.5" x14ac:dyDescent="0.35">
      <c r="A151" s="6"/>
      <c r="B151" s="6"/>
    </row>
    <row r="152" spans="1:2" ht="14.5" x14ac:dyDescent="0.35">
      <c r="A152" s="6"/>
      <c r="B152" s="6"/>
    </row>
    <row r="153" spans="1:2" ht="14.5" x14ac:dyDescent="0.35">
      <c r="A153" s="6"/>
      <c r="B153" s="6"/>
    </row>
    <row r="154" spans="1:2" ht="14.5" x14ac:dyDescent="0.35">
      <c r="A154" s="6"/>
      <c r="B154" s="6"/>
    </row>
    <row r="155" spans="1:2" ht="14.5" x14ac:dyDescent="0.35">
      <c r="A155" s="6"/>
      <c r="B155" s="6"/>
    </row>
    <row r="156" spans="1:2" ht="14.5" x14ac:dyDescent="0.35">
      <c r="A156" s="6"/>
      <c r="B156" s="6"/>
    </row>
    <row r="157" spans="1:2" ht="14.5" x14ac:dyDescent="0.35">
      <c r="A157" s="6"/>
      <c r="B157" s="6"/>
    </row>
    <row r="158" spans="1:2" ht="14.5" x14ac:dyDescent="0.35">
      <c r="A158" s="6"/>
      <c r="B158" s="6"/>
    </row>
    <row r="159" spans="1:2" ht="14.5" x14ac:dyDescent="0.35">
      <c r="A159" s="6"/>
      <c r="B159" s="6"/>
    </row>
    <row r="160" spans="1:2" ht="14.5" x14ac:dyDescent="0.35">
      <c r="A160" s="6"/>
      <c r="B160" s="6"/>
    </row>
    <row r="161" spans="1:2" ht="14.5" x14ac:dyDescent="0.35">
      <c r="A161" s="6"/>
      <c r="B161" s="6"/>
    </row>
    <row r="162" spans="1:2" ht="14.5" x14ac:dyDescent="0.35">
      <c r="A162" s="6"/>
      <c r="B162" s="6"/>
    </row>
    <row r="163" spans="1:2" ht="14.5" x14ac:dyDescent="0.35">
      <c r="A163" s="6"/>
      <c r="B163" s="6"/>
    </row>
    <row r="164" spans="1:2" ht="14.5" x14ac:dyDescent="0.35">
      <c r="A164" s="6"/>
      <c r="B164" s="6"/>
    </row>
    <row r="165" spans="1:2" ht="14.5" x14ac:dyDescent="0.35">
      <c r="A165" s="6"/>
      <c r="B165" s="6"/>
    </row>
    <row r="166" spans="1:2" ht="14.5" x14ac:dyDescent="0.35">
      <c r="A166" s="6"/>
      <c r="B166" s="6"/>
    </row>
    <row r="167" spans="1:2" ht="14.5" x14ac:dyDescent="0.35">
      <c r="A167" s="6"/>
      <c r="B167" s="6"/>
    </row>
    <row r="168" spans="1:2" ht="14.5" x14ac:dyDescent="0.35">
      <c r="A168" s="6"/>
      <c r="B168" s="6"/>
    </row>
    <row r="169" spans="1:2" ht="14.5" x14ac:dyDescent="0.35">
      <c r="A169" s="6"/>
      <c r="B169" s="6"/>
    </row>
    <row r="170" spans="1:2" ht="14.5" x14ac:dyDescent="0.35">
      <c r="A170" s="6"/>
      <c r="B170" s="6"/>
    </row>
    <row r="171" spans="1:2" ht="14.5" x14ac:dyDescent="0.35">
      <c r="A171" s="6"/>
      <c r="B171" s="6"/>
    </row>
    <row r="172" spans="1:2" ht="14.5" x14ac:dyDescent="0.35">
      <c r="A172" s="6"/>
      <c r="B172" s="6"/>
    </row>
    <row r="173" spans="1:2" ht="14.5" x14ac:dyDescent="0.35">
      <c r="A173" s="6"/>
      <c r="B173" s="6"/>
    </row>
    <row r="174" spans="1:2" ht="14.5" x14ac:dyDescent="0.35">
      <c r="A174" s="6"/>
      <c r="B174" s="6"/>
    </row>
    <row r="175" spans="1:2" ht="14.5" x14ac:dyDescent="0.35">
      <c r="A175" s="6"/>
      <c r="B175" s="6"/>
    </row>
    <row r="176" spans="1:2" ht="14.5" x14ac:dyDescent="0.35">
      <c r="A176" s="6"/>
      <c r="B176" s="6"/>
    </row>
    <row r="177" spans="1:2" ht="14.5" x14ac:dyDescent="0.35">
      <c r="A177" s="6"/>
      <c r="B177" s="6"/>
    </row>
    <row r="178" spans="1:2" ht="14.5" x14ac:dyDescent="0.35">
      <c r="A178" s="6"/>
      <c r="B178" s="6"/>
    </row>
    <row r="179" spans="1:2" ht="14.5" x14ac:dyDescent="0.35">
      <c r="A179" s="6"/>
      <c r="B179" s="6"/>
    </row>
    <row r="180" spans="1:2" ht="14.5" x14ac:dyDescent="0.35">
      <c r="A180" s="6"/>
      <c r="B180" s="6"/>
    </row>
    <row r="181" spans="1:2" ht="14.5" x14ac:dyDescent="0.35">
      <c r="A181" s="6"/>
      <c r="B181" s="6"/>
    </row>
    <row r="182" spans="1:2" ht="14.5" x14ac:dyDescent="0.35">
      <c r="A182" s="6"/>
      <c r="B182" s="6"/>
    </row>
    <row r="183" spans="1:2" ht="14.5" x14ac:dyDescent="0.35">
      <c r="A183" s="6"/>
      <c r="B183" s="6"/>
    </row>
    <row r="184" spans="1:2" ht="14.5" x14ac:dyDescent="0.35">
      <c r="A184" s="6"/>
      <c r="B184" s="6"/>
    </row>
    <row r="185" spans="1:2" ht="14.5" x14ac:dyDescent="0.35">
      <c r="A185" s="6"/>
      <c r="B185" s="6"/>
    </row>
    <row r="186" spans="1:2" ht="14.5" x14ac:dyDescent="0.35">
      <c r="A186" s="6"/>
      <c r="B186" s="6"/>
    </row>
    <row r="187" spans="1:2" ht="14.5" x14ac:dyDescent="0.35">
      <c r="A187" s="6"/>
      <c r="B187" s="6"/>
    </row>
    <row r="188" spans="1:2" ht="14.5" x14ac:dyDescent="0.35">
      <c r="A188" s="6"/>
      <c r="B188" s="6"/>
    </row>
    <row r="189" spans="1:2" ht="14.5" x14ac:dyDescent="0.35">
      <c r="A189" s="6"/>
      <c r="B189" s="6"/>
    </row>
    <row r="190" spans="1:2" ht="14.5" x14ac:dyDescent="0.35">
      <c r="A190" s="6"/>
      <c r="B190" s="6"/>
    </row>
    <row r="191" spans="1:2" ht="14.5" x14ac:dyDescent="0.35">
      <c r="A191" s="6"/>
      <c r="B191" s="6"/>
    </row>
    <row r="192" spans="1:2" ht="14.5" x14ac:dyDescent="0.35">
      <c r="A192" s="6"/>
      <c r="B192" s="6"/>
    </row>
    <row r="193" spans="1:2" ht="14.5" x14ac:dyDescent="0.35">
      <c r="A193" s="6"/>
      <c r="B193" s="6"/>
    </row>
    <row r="194" spans="1:2" ht="14.5" x14ac:dyDescent="0.35">
      <c r="A194" s="6"/>
      <c r="B194" s="6"/>
    </row>
    <row r="195" spans="1:2" ht="14.5" x14ac:dyDescent="0.35">
      <c r="A195" s="6"/>
      <c r="B195" s="6"/>
    </row>
    <row r="196" spans="1:2" ht="14.5" x14ac:dyDescent="0.35">
      <c r="A196" s="6"/>
      <c r="B196" s="6"/>
    </row>
    <row r="197" spans="1:2" ht="14.5" x14ac:dyDescent="0.35">
      <c r="A197" s="6"/>
      <c r="B197" s="6"/>
    </row>
    <row r="198" spans="1:2" ht="14.5" x14ac:dyDescent="0.35">
      <c r="A198" s="6"/>
      <c r="B198" s="6"/>
    </row>
    <row r="199" spans="1:2" ht="14.5" x14ac:dyDescent="0.35">
      <c r="A199" s="6"/>
      <c r="B199" s="6"/>
    </row>
    <row r="200" spans="1:2" ht="14.5" x14ac:dyDescent="0.35">
      <c r="A200" s="6"/>
      <c r="B200" s="6"/>
    </row>
    <row r="201" spans="1:2" ht="14.5" x14ac:dyDescent="0.35">
      <c r="A201" s="6"/>
      <c r="B201" s="6"/>
    </row>
    <row r="202" spans="1:2" ht="14.5" x14ac:dyDescent="0.35">
      <c r="A202" s="6"/>
      <c r="B202" s="6"/>
    </row>
    <row r="203" spans="1:2" ht="14.5" x14ac:dyDescent="0.35">
      <c r="A203" s="6"/>
      <c r="B203" s="6"/>
    </row>
    <row r="204" spans="1:2" ht="14.5" x14ac:dyDescent="0.35">
      <c r="A204" s="6"/>
      <c r="B204" s="6"/>
    </row>
    <row r="205" spans="1:2" ht="14.5" x14ac:dyDescent="0.35">
      <c r="A205" s="6"/>
      <c r="B205" s="6"/>
    </row>
    <row r="206" spans="1:2" ht="14.5" x14ac:dyDescent="0.35">
      <c r="A206" s="6"/>
      <c r="B206" s="6"/>
    </row>
    <row r="207" spans="1:2" ht="14.5" x14ac:dyDescent="0.35">
      <c r="A207" s="6"/>
      <c r="B207" s="6"/>
    </row>
    <row r="208" spans="1:2" ht="14.5" x14ac:dyDescent="0.35">
      <c r="A208" s="6"/>
      <c r="B208" s="6"/>
    </row>
    <row r="209" spans="1:2" ht="14.5" x14ac:dyDescent="0.35">
      <c r="A209" s="6"/>
      <c r="B209" s="6"/>
    </row>
    <row r="210" spans="1:2" ht="14.5" x14ac:dyDescent="0.35">
      <c r="A210" s="6"/>
      <c r="B210" s="6"/>
    </row>
    <row r="211" spans="1:2" ht="14.5" x14ac:dyDescent="0.35">
      <c r="A211" s="6"/>
      <c r="B211" s="6"/>
    </row>
    <row r="212" spans="1:2" ht="14.5" x14ac:dyDescent="0.35">
      <c r="A212" s="6"/>
      <c r="B212" s="6"/>
    </row>
    <row r="213" spans="1:2" ht="14.5" x14ac:dyDescent="0.35">
      <c r="A213" s="6"/>
      <c r="B213" s="6"/>
    </row>
    <row r="214" spans="1:2" ht="14.5" x14ac:dyDescent="0.35">
      <c r="A214" s="6"/>
      <c r="B214" s="6"/>
    </row>
    <row r="215" spans="1:2" ht="14.5" x14ac:dyDescent="0.35">
      <c r="A215" s="6"/>
      <c r="B215" s="6"/>
    </row>
    <row r="216" spans="1:2" ht="14.5" x14ac:dyDescent="0.35">
      <c r="A216" s="6"/>
      <c r="B216" s="6"/>
    </row>
    <row r="217" spans="1:2" ht="14.5" x14ac:dyDescent="0.35">
      <c r="A217" s="6"/>
      <c r="B217" s="6"/>
    </row>
    <row r="218" spans="1:2" ht="14.5" x14ac:dyDescent="0.35">
      <c r="A218" s="6"/>
      <c r="B218" s="6"/>
    </row>
    <row r="219" spans="1:2" ht="14.5" x14ac:dyDescent="0.35">
      <c r="A219" s="6"/>
      <c r="B219" s="6"/>
    </row>
    <row r="220" spans="1:2" ht="14.5" x14ac:dyDescent="0.35">
      <c r="A220" s="6"/>
      <c r="B220" s="6"/>
    </row>
    <row r="221" spans="1:2" ht="14.5" x14ac:dyDescent="0.35">
      <c r="A221" s="6"/>
      <c r="B221" s="6"/>
    </row>
    <row r="222" spans="1:2" ht="14.5" x14ac:dyDescent="0.35">
      <c r="A222" s="6"/>
      <c r="B222" s="6"/>
    </row>
    <row r="223" spans="1:2" ht="14.5" x14ac:dyDescent="0.35">
      <c r="A223" s="6"/>
      <c r="B223" s="6"/>
    </row>
    <row r="224" spans="1:2" ht="14.5" x14ac:dyDescent="0.35">
      <c r="A224" s="6"/>
      <c r="B224" s="6"/>
    </row>
    <row r="225" spans="1:2" ht="14.5" x14ac:dyDescent="0.35">
      <c r="A225" s="6"/>
      <c r="B225" s="6"/>
    </row>
    <row r="226" spans="1:2" ht="14.5" x14ac:dyDescent="0.35">
      <c r="A226" s="6"/>
      <c r="B226" s="6"/>
    </row>
    <row r="227" spans="1:2" ht="14.5" x14ac:dyDescent="0.35">
      <c r="A227" s="6"/>
      <c r="B227" s="6"/>
    </row>
    <row r="228" spans="1:2" ht="14.5" x14ac:dyDescent="0.35">
      <c r="A228" s="6"/>
      <c r="B228" s="6"/>
    </row>
    <row r="229" spans="1:2" ht="14.5" x14ac:dyDescent="0.35">
      <c r="A229" s="6"/>
      <c r="B229" s="6"/>
    </row>
    <row r="230" spans="1:2" ht="14.5" x14ac:dyDescent="0.35">
      <c r="A230" s="6"/>
      <c r="B230" s="6"/>
    </row>
    <row r="231" spans="1:2" ht="14.5" x14ac:dyDescent="0.35">
      <c r="A231" s="6"/>
      <c r="B231" s="6"/>
    </row>
    <row r="232" spans="1:2" ht="14.5" x14ac:dyDescent="0.35">
      <c r="A232" s="6"/>
      <c r="B232" s="6"/>
    </row>
    <row r="233" spans="1:2" ht="14.5" x14ac:dyDescent="0.35">
      <c r="A233" s="6"/>
      <c r="B233" s="6"/>
    </row>
    <row r="234" spans="1:2" ht="14.5" x14ac:dyDescent="0.35">
      <c r="A234" s="6"/>
      <c r="B234" s="6"/>
    </row>
    <row r="235" spans="1:2" ht="14.5" x14ac:dyDescent="0.35">
      <c r="A235" s="6"/>
      <c r="B235" s="6"/>
    </row>
    <row r="236" spans="1:2" ht="14.5" x14ac:dyDescent="0.35">
      <c r="A236" s="6"/>
      <c r="B236" s="6"/>
    </row>
    <row r="237" spans="1:2" ht="14.5" x14ac:dyDescent="0.35">
      <c r="A237" s="6"/>
      <c r="B237" s="6"/>
    </row>
    <row r="238" spans="1:2" ht="14.5" x14ac:dyDescent="0.35">
      <c r="A238" s="6"/>
      <c r="B238" s="6"/>
    </row>
    <row r="239" spans="1:2" ht="14.5" x14ac:dyDescent="0.35">
      <c r="A239" s="6"/>
      <c r="B239" s="6"/>
    </row>
    <row r="240" spans="1:2" ht="14.5" x14ac:dyDescent="0.35">
      <c r="A240" s="6"/>
      <c r="B240" s="6"/>
    </row>
    <row r="241" spans="1:2" ht="14.5" x14ac:dyDescent="0.35">
      <c r="A241" s="6"/>
      <c r="B241" s="6"/>
    </row>
    <row r="242" spans="1:2" ht="14.5" x14ac:dyDescent="0.35">
      <c r="A242" s="6"/>
      <c r="B242" s="6"/>
    </row>
    <row r="243" spans="1:2" ht="14.5" x14ac:dyDescent="0.35">
      <c r="A243" s="6"/>
      <c r="B243" s="6"/>
    </row>
    <row r="244" spans="1:2" ht="14.5" x14ac:dyDescent="0.35">
      <c r="A244" s="6"/>
      <c r="B244" s="6"/>
    </row>
    <row r="245" spans="1:2" ht="14.5" x14ac:dyDescent="0.35">
      <c r="A245" s="6"/>
      <c r="B245" s="6"/>
    </row>
    <row r="246" spans="1:2" ht="14.5" x14ac:dyDescent="0.35">
      <c r="A246" s="6"/>
      <c r="B246" s="6"/>
    </row>
    <row r="247" spans="1:2" ht="14.5" x14ac:dyDescent="0.35">
      <c r="A247" s="6"/>
      <c r="B247" s="6"/>
    </row>
    <row r="248" spans="1:2" ht="14.5" x14ac:dyDescent="0.35">
      <c r="A248" s="6"/>
      <c r="B248" s="6"/>
    </row>
    <row r="249" spans="1:2" ht="14.5" x14ac:dyDescent="0.35">
      <c r="A249" s="6"/>
      <c r="B249" s="6"/>
    </row>
    <row r="250" spans="1:2" ht="14.5" x14ac:dyDescent="0.35">
      <c r="A250" s="6"/>
      <c r="B250" s="6"/>
    </row>
    <row r="251" spans="1:2" ht="14.5" x14ac:dyDescent="0.35">
      <c r="A251" s="6"/>
      <c r="B251" s="6"/>
    </row>
    <row r="252" spans="1:2" ht="14.5" x14ac:dyDescent="0.35">
      <c r="A252" s="6"/>
      <c r="B252" s="6"/>
    </row>
    <row r="253" spans="1:2" ht="14.5" x14ac:dyDescent="0.35">
      <c r="A253" s="6"/>
      <c r="B253" s="6"/>
    </row>
    <row r="254" spans="1:2" ht="14.5" x14ac:dyDescent="0.35">
      <c r="A254" s="6"/>
      <c r="B254" s="6"/>
    </row>
    <row r="255" spans="1:2" ht="14.5" x14ac:dyDescent="0.35">
      <c r="A255" s="6"/>
      <c r="B255" s="6"/>
    </row>
    <row r="256" spans="1:2" ht="14.5" x14ac:dyDescent="0.35">
      <c r="A256" s="6"/>
      <c r="B256" s="6"/>
    </row>
    <row r="257" spans="1:2" ht="14.5" x14ac:dyDescent="0.35">
      <c r="A257" s="6"/>
      <c r="B257" s="6"/>
    </row>
    <row r="258" spans="1:2" ht="14.5" x14ac:dyDescent="0.35">
      <c r="A258" s="6"/>
      <c r="B258" s="6"/>
    </row>
    <row r="259" spans="1:2" ht="14.5" x14ac:dyDescent="0.35">
      <c r="A259" s="6"/>
      <c r="B259" s="6"/>
    </row>
    <row r="260" spans="1:2" ht="14.5" x14ac:dyDescent="0.35">
      <c r="A260" s="6"/>
      <c r="B260" s="6"/>
    </row>
    <row r="261" spans="1:2" ht="14.5" x14ac:dyDescent="0.35">
      <c r="A261" s="6"/>
      <c r="B261" s="6"/>
    </row>
    <row r="262" spans="1:2" ht="14.5" x14ac:dyDescent="0.35">
      <c r="A262" s="6"/>
      <c r="B262" s="6"/>
    </row>
    <row r="263" spans="1:2" ht="14.5" x14ac:dyDescent="0.35">
      <c r="A263" s="6"/>
      <c r="B263" s="6"/>
    </row>
    <row r="264" spans="1:2" ht="14.5" x14ac:dyDescent="0.35">
      <c r="A264" s="6"/>
      <c r="B264" s="6"/>
    </row>
    <row r="265" spans="1:2" ht="14.5" x14ac:dyDescent="0.35">
      <c r="A265" s="6"/>
      <c r="B265" s="6"/>
    </row>
    <row r="266" spans="1:2" ht="14.5" x14ac:dyDescent="0.35">
      <c r="A266" s="6"/>
      <c r="B266" s="6"/>
    </row>
    <row r="267" spans="1:2" ht="14.5" x14ac:dyDescent="0.35">
      <c r="A267" s="6"/>
      <c r="B267" s="6"/>
    </row>
    <row r="268" spans="1:2" ht="14.5" x14ac:dyDescent="0.35">
      <c r="A268" s="6"/>
      <c r="B268" s="6"/>
    </row>
    <row r="269" spans="1:2" ht="14.5" x14ac:dyDescent="0.35">
      <c r="A269" s="6"/>
      <c r="B269" s="6"/>
    </row>
    <row r="270" spans="1:2" ht="14.5" x14ac:dyDescent="0.35">
      <c r="A270" s="6"/>
      <c r="B270" s="6"/>
    </row>
    <row r="271" spans="1:2" ht="14.5" x14ac:dyDescent="0.35">
      <c r="A271" s="6"/>
      <c r="B271" s="6"/>
    </row>
    <row r="272" spans="1:2" ht="14.5" x14ac:dyDescent="0.35">
      <c r="A272" s="6"/>
      <c r="B272" s="6"/>
    </row>
    <row r="273" spans="1:2" ht="14.5" x14ac:dyDescent="0.35">
      <c r="A273" s="6"/>
      <c r="B273" s="6"/>
    </row>
    <row r="274" spans="1:2" ht="14.5" x14ac:dyDescent="0.35">
      <c r="A274" s="6"/>
      <c r="B274" s="6"/>
    </row>
    <row r="275" spans="1:2" ht="14.5" x14ac:dyDescent="0.35">
      <c r="A275" s="6"/>
      <c r="B275" s="6"/>
    </row>
    <row r="276" spans="1:2" ht="14.5" x14ac:dyDescent="0.35">
      <c r="A276" s="6"/>
      <c r="B276" s="6"/>
    </row>
    <row r="277" spans="1:2" ht="14.5" x14ac:dyDescent="0.35">
      <c r="A277" s="6"/>
      <c r="B277" s="6"/>
    </row>
    <row r="278" spans="1:2" ht="14.5" x14ac:dyDescent="0.35">
      <c r="A278" s="6"/>
      <c r="B278" s="6"/>
    </row>
    <row r="279" spans="1:2" ht="14.5" x14ac:dyDescent="0.35">
      <c r="A279" s="6"/>
      <c r="B279" s="6"/>
    </row>
    <row r="280" spans="1:2" ht="14.5" x14ac:dyDescent="0.35">
      <c r="A280" s="6"/>
      <c r="B280" s="6"/>
    </row>
    <row r="281" spans="1:2" ht="14.5" x14ac:dyDescent="0.35">
      <c r="A281" s="6"/>
      <c r="B281" s="6"/>
    </row>
    <row r="282" spans="1:2" ht="14.5" x14ac:dyDescent="0.35">
      <c r="A282" s="6"/>
      <c r="B282" s="6"/>
    </row>
    <row r="283" spans="1:2" ht="14.5" x14ac:dyDescent="0.35">
      <c r="A283" s="6"/>
      <c r="B283" s="6"/>
    </row>
    <row r="284" spans="1:2" ht="14.5" x14ac:dyDescent="0.35">
      <c r="A284" s="6"/>
      <c r="B284" s="6"/>
    </row>
    <row r="285" spans="1:2" ht="14.5" x14ac:dyDescent="0.35">
      <c r="A285" s="6"/>
      <c r="B285" s="6"/>
    </row>
    <row r="286" spans="1:2" ht="14.5" x14ac:dyDescent="0.35">
      <c r="A286" s="6"/>
      <c r="B286" s="6"/>
    </row>
    <row r="287" spans="1:2" ht="14.5" x14ac:dyDescent="0.35">
      <c r="A287" s="6"/>
      <c r="B287" s="6"/>
    </row>
    <row r="288" spans="1:2" ht="14.5" x14ac:dyDescent="0.35">
      <c r="A288" s="6"/>
      <c r="B288" s="6"/>
    </row>
    <row r="289" spans="1:2" ht="14.5" x14ac:dyDescent="0.35">
      <c r="A289" s="6"/>
      <c r="B289" s="6"/>
    </row>
    <row r="290" spans="1:2" ht="14.5" x14ac:dyDescent="0.35">
      <c r="A290" s="6"/>
      <c r="B290" s="6"/>
    </row>
    <row r="291" spans="1:2" ht="14.5" x14ac:dyDescent="0.35">
      <c r="A291" s="6"/>
      <c r="B291" s="6"/>
    </row>
    <row r="292" spans="1:2" ht="14.5" x14ac:dyDescent="0.35">
      <c r="A292" s="6"/>
      <c r="B292" s="6"/>
    </row>
    <row r="293" spans="1:2" ht="14.5" x14ac:dyDescent="0.35">
      <c r="A293" s="6"/>
      <c r="B293" s="6"/>
    </row>
    <row r="294" spans="1:2" ht="14.5" x14ac:dyDescent="0.35">
      <c r="A294" s="6"/>
      <c r="B294" s="6"/>
    </row>
    <row r="295" spans="1:2" ht="14.5" x14ac:dyDescent="0.35">
      <c r="A295" s="6"/>
      <c r="B295" s="6"/>
    </row>
    <row r="296" spans="1:2" ht="14.5" x14ac:dyDescent="0.35">
      <c r="A296" s="6"/>
      <c r="B296" s="6"/>
    </row>
    <row r="297" spans="1:2" ht="14.5" x14ac:dyDescent="0.35">
      <c r="A297" s="6"/>
      <c r="B297" s="6"/>
    </row>
    <row r="298" spans="1:2" ht="14.5" x14ac:dyDescent="0.35">
      <c r="A298" s="6"/>
      <c r="B298" s="6"/>
    </row>
    <row r="299" spans="1:2" ht="14.5" x14ac:dyDescent="0.35">
      <c r="A299" s="6"/>
      <c r="B299" s="6"/>
    </row>
    <row r="300" spans="1:2" ht="14.5" x14ac:dyDescent="0.35">
      <c r="A300" s="6"/>
      <c r="B300" s="6"/>
    </row>
    <row r="301" spans="1:2" ht="14.5" x14ac:dyDescent="0.35">
      <c r="A301" s="6"/>
      <c r="B301" s="6"/>
    </row>
    <row r="302" spans="1:2" ht="14.5" x14ac:dyDescent="0.35">
      <c r="A302" s="6"/>
      <c r="B302" s="6"/>
    </row>
    <row r="303" spans="1:2" ht="14.5" x14ac:dyDescent="0.35">
      <c r="A303" s="6"/>
      <c r="B303" s="6"/>
    </row>
    <row r="304" spans="1:2" ht="14.5" x14ac:dyDescent="0.35">
      <c r="A304" s="6"/>
      <c r="B304" s="6"/>
    </row>
    <row r="305" spans="1:2" ht="14.5" x14ac:dyDescent="0.35">
      <c r="A305" s="6"/>
      <c r="B305" s="6"/>
    </row>
    <row r="306" spans="1:2" ht="14.5" x14ac:dyDescent="0.35">
      <c r="A306" s="6"/>
      <c r="B306" s="6"/>
    </row>
    <row r="307" spans="1:2" ht="14.5" x14ac:dyDescent="0.35">
      <c r="A307" s="6"/>
      <c r="B307" s="6"/>
    </row>
    <row r="308" spans="1:2" ht="14.5" x14ac:dyDescent="0.35">
      <c r="A308" s="6"/>
      <c r="B308" s="6"/>
    </row>
    <row r="309" spans="1:2" ht="14.5" x14ac:dyDescent="0.35">
      <c r="A309" s="6"/>
      <c r="B309" s="6"/>
    </row>
    <row r="310" spans="1:2" ht="14.5" x14ac:dyDescent="0.35">
      <c r="A310" s="6"/>
      <c r="B310" s="6"/>
    </row>
    <row r="311" spans="1:2" ht="14.5" x14ac:dyDescent="0.35">
      <c r="A311" s="6"/>
      <c r="B311" s="6"/>
    </row>
    <row r="312" spans="1:2" ht="14.5" x14ac:dyDescent="0.35">
      <c r="A312" s="6"/>
      <c r="B312" s="6"/>
    </row>
    <row r="313" spans="1:2" ht="14.5" x14ac:dyDescent="0.35">
      <c r="A313" s="6"/>
      <c r="B313" s="6"/>
    </row>
    <row r="314" spans="1:2" ht="14.5" x14ac:dyDescent="0.35">
      <c r="A314" s="6"/>
      <c r="B314" s="6"/>
    </row>
    <row r="315" spans="1:2" ht="14.5" x14ac:dyDescent="0.35">
      <c r="A315" s="6"/>
      <c r="B315" s="6"/>
    </row>
    <row r="316" spans="1:2" ht="14.5" x14ac:dyDescent="0.35">
      <c r="A316" s="6"/>
      <c r="B316" s="6"/>
    </row>
    <row r="317" spans="1:2" ht="14.5" x14ac:dyDescent="0.35">
      <c r="A317" s="6"/>
      <c r="B317" s="6"/>
    </row>
    <row r="318" spans="1:2" ht="14.5" x14ac:dyDescent="0.35">
      <c r="A318" s="6"/>
      <c r="B318" s="6"/>
    </row>
    <row r="319" spans="1:2" ht="14.5" x14ac:dyDescent="0.35">
      <c r="A319" s="6"/>
      <c r="B319" s="6"/>
    </row>
    <row r="320" spans="1:2" ht="14.5" x14ac:dyDescent="0.35">
      <c r="A320" s="6"/>
      <c r="B320" s="6"/>
    </row>
    <row r="321" spans="1:2" ht="14.5" x14ac:dyDescent="0.35">
      <c r="A321" s="6"/>
      <c r="B321" s="6"/>
    </row>
    <row r="322" spans="1:2" ht="14.5" x14ac:dyDescent="0.35">
      <c r="A322" s="6"/>
      <c r="B322" s="6"/>
    </row>
    <row r="323" spans="1:2" ht="14.5" x14ac:dyDescent="0.35">
      <c r="A323" s="6"/>
      <c r="B323" s="6"/>
    </row>
    <row r="324" spans="1:2" ht="14.5" x14ac:dyDescent="0.35">
      <c r="A324" s="6"/>
      <c r="B324" s="6"/>
    </row>
    <row r="325" spans="1:2" ht="14.5" x14ac:dyDescent="0.35">
      <c r="A325" s="6"/>
      <c r="B325" s="6"/>
    </row>
    <row r="326" spans="1:2" ht="14.5" x14ac:dyDescent="0.35">
      <c r="A326" s="6"/>
      <c r="B326" s="6"/>
    </row>
    <row r="327" spans="1:2" ht="14.5" x14ac:dyDescent="0.35">
      <c r="A327" s="6"/>
      <c r="B327" s="6"/>
    </row>
    <row r="328" spans="1:2" ht="14.5" x14ac:dyDescent="0.35">
      <c r="A328" s="6"/>
      <c r="B328" s="6"/>
    </row>
    <row r="329" spans="1:2" ht="14.5" x14ac:dyDescent="0.35">
      <c r="A329" s="6"/>
      <c r="B329" s="6"/>
    </row>
    <row r="330" spans="1:2" ht="14.5" x14ac:dyDescent="0.35">
      <c r="A330" s="6"/>
      <c r="B330" s="6"/>
    </row>
    <row r="331" spans="1:2" ht="14.5" x14ac:dyDescent="0.35">
      <c r="A331" s="6"/>
      <c r="B331" s="6"/>
    </row>
    <row r="332" spans="1:2" ht="14.5" x14ac:dyDescent="0.35">
      <c r="A332" s="6"/>
      <c r="B332" s="6"/>
    </row>
    <row r="333" spans="1:2" ht="14.5" x14ac:dyDescent="0.35">
      <c r="A333" s="6"/>
      <c r="B333" s="6"/>
    </row>
    <row r="334" spans="1:2" ht="14.5" x14ac:dyDescent="0.35">
      <c r="A334" s="6"/>
      <c r="B334" s="6"/>
    </row>
    <row r="335" spans="1:2" ht="14.5" x14ac:dyDescent="0.35">
      <c r="A335" s="6"/>
      <c r="B335" s="6"/>
    </row>
    <row r="336" spans="1:2" ht="14.5" x14ac:dyDescent="0.35">
      <c r="A336" s="6"/>
      <c r="B336" s="6"/>
    </row>
    <row r="337" spans="1:2" ht="14.5" x14ac:dyDescent="0.35">
      <c r="A337" s="6"/>
      <c r="B337" s="6"/>
    </row>
    <row r="338" spans="1:2" ht="14.5" x14ac:dyDescent="0.35">
      <c r="A338" s="6"/>
      <c r="B338" s="6"/>
    </row>
    <row r="339" spans="1:2" ht="14.5" x14ac:dyDescent="0.35">
      <c r="A339" s="6"/>
      <c r="B339" s="6"/>
    </row>
    <row r="340" spans="1:2" ht="14.5" x14ac:dyDescent="0.35">
      <c r="A340" s="6"/>
      <c r="B340" s="6"/>
    </row>
    <row r="341" spans="1:2" ht="14.5" x14ac:dyDescent="0.35">
      <c r="A341" s="6"/>
      <c r="B341" s="6"/>
    </row>
    <row r="342" spans="1:2" ht="14.5" x14ac:dyDescent="0.35">
      <c r="A342" s="6"/>
      <c r="B342" s="6"/>
    </row>
    <row r="343" spans="1:2" ht="14.5" x14ac:dyDescent="0.35">
      <c r="A343" s="6"/>
      <c r="B343" s="6"/>
    </row>
    <row r="344" spans="1:2" ht="14.5" x14ac:dyDescent="0.35">
      <c r="A344" s="6"/>
      <c r="B344" s="6"/>
    </row>
    <row r="345" spans="1:2" ht="14.5" x14ac:dyDescent="0.35">
      <c r="A345" s="6"/>
      <c r="B345" s="6"/>
    </row>
    <row r="346" spans="1:2" ht="14.5" x14ac:dyDescent="0.35">
      <c r="A346" s="6"/>
      <c r="B346" s="6"/>
    </row>
    <row r="347" spans="1:2" ht="14.5" x14ac:dyDescent="0.35">
      <c r="A347" s="6"/>
      <c r="B347" s="6"/>
    </row>
    <row r="348" spans="1:2" ht="14.5" x14ac:dyDescent="0.35">
      <c r="A348" s="6"/>
      <c r="B348" s="6"/>
    </row>
    <row r="349" spans="1:2" ht="14.5" x14ac:dyDescent="0.35">
      <c r="A349" s="6"/>
      <c r="B349" s="6"/>
    </row>
    <row r="350" spans="1:2" ht="14.5" x14ac:dyDescent="0.35">
      <c r="A350" s="6"/>
      <c r="B350" s="6"/>
    </row>
    <row r="351" spans="1:2" ht="14.5" x14ac:dyDescent="0.35">
      <c r="A351" s="6"/>
      <c r="B351" s="6"/>
    </row>
    <row r="352" spans="1:2" ht="14.5" x14ac:dyDescent="0.35">
      <c r="A352" s="6"/>
      <c r="B352" s="6"/>
    </row>
    <row r="353" spans="1:2" ht="14.5" x14ac:dyDescent="0.35">
      <c r="A353" s="6"/>
      <c r="B353" s="6"/>
    </row>
    <row r="354" spans="1:2" ht="14.5" x14ac:dyDescent="0.35">
      <c r="A354" s="6"/>
      <c r="B354" s="6"/>
    </row>
    <row r="355" spans="1:2" ht="14.5" x14ac:dyDescent="0.35">
      <c r="A355" s="6"/>
      <c r="B355" s="6"/>
    </row>
    <row r="356" spans="1:2" ht="14.5" x14ac:dyDescent="0.35">
      <c r="A356" s="6"/>
      <c r="B356" s="6"/>
    </row>
    <row r="357" spans="1:2" ht="14.5" x14ac:dyDescent="0.35">
      <c r="A357" s="6"/>
      <c r="B357" s="6"/>
    </row>
    <row r="358" spans="1:2" ht="14.5" x14ac:dyDescent="0.35">
      <c r="A358" s="6"/>
      <c r="B358" s="6"/>
    </row>
    <row r="359" spans="1:2" ht="14.5" x14ac:dyDescent="0.35">
      <c r="A359" s="6"/>
      <c r="B359" s="6"/>
    </row>
    <row r="360" spans="1:2" ht="14.5" x14ac:dyDescent="0.35">
      <c r="A360" s="6"/>
      <c r="B360" s="6"/>
    </row>
    <row r="361" spans="1:2" ht="14.5" x14ac:dyDescent="0.35">
      <c r="A361" s="6"/>
      <c r="B361" s="6"/>
    </row>
    <row r="362" spans="1:2" ht="14.5" x14ac:dyDescent="0.35">
      <c r="A362" s="6"/>
      <c r="B362" s="6"/>
    </row>
    <row r="363" spans="1:2" ht="14.5" x14ac:dyDescent="0.35">
      <c r="A363" s="6"/>
      <c r="B363" s="6"/>
    </row>
    <row r="364" spans="1:2" ht="14.5" x14ac:dyDescent="0.35">
      <c r="A364" s="6"/>
      <c r="B364" s="6"/>
    </row>
    <row r="365" spans="1:2" ht="14.5" x14ac:dyDescent="0.35">
      <c r="A365" s="6"/>
      <c r="B365" s="6"/>
    </row>
    <row r="366" spans="1:2" ht="14.5" x14ac:dyDescent="0.35">
      <c r="A366" s="6"/>
      <c r="B366" s="6"/>
    </row>
    <row r="367" spans="1:2" ht="14.5" x14ac:dyDescent="0.35">
      <c r="A367" s="6"/>
      <c r="B367" s="6"/>
    </row>
    <row r="368" spans="1:2" ht="14.5" x14ac:dyDescent="0.35">
      <c r="A368" s="6"/>
      <c r="B368" s="6"/>
    </row>
    <row r="369" spans="1:2" ht="14.5" x14ac:dyDescent="0.35">
      <c r="A369" s="6"/>
      <c r="B369" s="6"/>
    </row>
    <row r="370" spans="1:2" ht="14.5" x14ac:dyDescent="0.35">
      <c r="A370" s="6"/>
      <c r="B370" s="6"/>
    </row>
    <row r="371" spans="1:2" ht="14.5" x14ac:dyDescent="0.35">
      <c r="A371" s="6"/>
      <c r="B371" s="6"/>
    </row>
    <row r="372" spans="1:2" ht="14.5" x14ac:dyDescent="0.35">
      <c r="A372" s="6"/>
      <c r="B372" s="6"/>
    </row>
    <row r="373" spans="1:2" ht="14.5" x14ac:dyDescent="0.35">
      <c r="A373" s="6"/>
      <c r="B373" s="6"/>
    </row>
    <row r="374" spans="1:2" ht="14.5" x14ac:dyDescent="0.35">
      <c r="A374" s="6"/>
      <c r="B374" s="6"/>
    </row>
    <row r="375" spans="1:2" ht="14.5" x14ac:dyDescent="0.35">
      <c r="A375" s="6"/>
      <c r="B375" s="6"/>
    </row>
    <row r="376" spans="1:2" ht="14.5" x14ac:dyDescent="0.35">
      <c r="A376" s="6"/>
      <c r="B376" s="6"/>
    </row>
    <row r="377" spans="1:2" ht="14.5" x14ac:dyDescent="0.35">
      <c r="A377" s="6"/>
      <c r="B377" s="6"/>
    </row>
    <row r="378" spans="1:2" ht="14.5" x14ac:dyDescent="0.35">
      <c r="A378" s="6"/>
      <c r="B378" s="6"/>
    </row>
    <row r="379" spans="1:2" ht="14.5" x14ac:dyDescent="0.35">
      <c r="A379" s="6"/>
      <c r="B379" s="6"/>
    </row>
    <row r="380" spans="1:2" ht="14.5" x14ac:dyDescent="0.35">
      <c r="A380" s="6"/>
      <c r="B380" s="6"/>
    </row>
    <row r="381" spans="1:2" ht="14.5" x14ac:dyDescent="0.35">
      <c r="A381" s="6"/>
      <c r="B381" s="6"/>
    </row>
    <row r="382" spans="1:2" ht="14.5" x14ac:dyDescent="0.35">
      <c r="A382" s="6"/>
      <c r="B382" s="6"/>
    </row>
    <row r="383" spans="1:2" ht="14.5" x14ac:dyDescent="0.35">
      <c r="A383" s="6"/>
      <c r="B383" s="6"/>
    </row>
    <row r="384" spans="1:2" ht="14.5" x14ac:dyDescent="0.35">
      <c r="A384" s="6"/>
      <c r="B384" s="6"/>
    </row>
    <row r="385" spans="1:2" ht="14.5" x14ac:dyDescent="0.35">
      <c r="A385" s="6"/>
      <c r="B385" s="6"/>
    </row>
    <row r="386" spans="1:2" ht="14.5" x14ac:dyDescent="0.35">
      <c r="A386" s="6"/>
      <c r="B386" s="6"/>
    </row>
    <row r="387" spans="1:2" ht="14.5" x14ac:dyDescent="0.35">
      <c r="A387" s="6"/>
      <c r="B387" s="6"/>
    </row>
    <row r="388" spans="1:2" ht="14.5" x14ac:dyDescent="0.35">
      <c r="A388" s="6"/>
      <c r="B388" s="6"/>
    </row>
    <row r="389" spans="1:2" ht="14.5" x14ac:dyDescent="0.35">
      <c r="A389" s="6"/>
      <c r="B389" s="6"/>
    </row>
    <row r="390" spans="1:2" ht="14.5" x14ac:dyDescent="0.35">
      <c r="A390" s="6"/>
      <c r="B390" s="6"/>
    </row>
    <row r="391" spans="1:2" ht="14.5" x14ac:dyDescent="0.35">
      <c r="A391" s="6"/>
      <c r="B391" s="6"/>
    </row>
    <row r="392" spans="1:2" ht="14.5" x14ac:dyDescent="0.35">
      <c r="A392" s="6"/>
      <c r="B392" s="6"/>
    </row>
    <row r="393" spans="1:2" ht="14.5" x14ac:dyDescent="0.35">
      <c r="A393" s="6"/>
      <c r="B393" s="6"/>
    </row>
    <row r="394" spans="1:2" ht="14.5" x14ac:dyDescent="0.35">
      <c r="A394" s="6"/>
      <c r="B394" s="6"/>
    </row>
    <row r="395" spans="1:2" ht="14.5" x14ac:dyDescent="0.35">
      <c r="A395" s="6"/>
      <c r="B395" s="6"/>
    </row>
    <row r="396" spans="1:2" ht="14.5" x14ac:dyDescent="0.35">
      <c r="A396" s="6"/>
      <c r="B396" s="6"/>
    </row>
    <row r="397" spans="1:2" ht="14.5" x14ac:dyDescent="0.35">
      <c r="A397" s="6"/>
      <c r="B397" s="6"/>
    </row>
    <row r="398" spans="1:2" ht="14.5" x14ac:dyDescent="0.35">
      <c r="A398" s="6"/>
      <c r="B398" s="6"/>
    </row>
    <row r="399" spans="1:2" ht="14.5" x14ac:dyDescent="0.35">
      <c r="A399" s="6"/>
      <c r="B399" s="6"/>
    </row>
    <row r="400" spans="1:2" ht="14.5" x14ac:dyDescent="0.35">
      <c r="A400" s="6"/>
      <c r="B400" s="6"/>
    </row>
    <row r="401" spans="1:2" ht="14.5" x14ac:dyDescent="0.35">
      <c r="A401" s="6"/>
      <c r="B401" s="6"/>
    </row>
  </sheetData>
  <conditionalFormatting sqref="A2:B401">
    <cfRule type="expression" dxfId="55" priority="6">
      <formula>MOD(ROW()-2,2)=0</formula>
    </cfRule>
  </conditionalFormatting>
  <conditionalFormatting sqref="B2:B401">
    <cfRule type="expression" dxfId="54" priority="1">
      <formula>$B2="Home Office"</formula>
    </cfRule>
    <cfRule type="expression" dxfId="53" priority="2">
      <formula>$B2="Office"</formula>
    </cfRule>
    <cfRule type="expression" dxfId="52" priority="3">
      <formula>$B2="Holiday"</formula>
    </cfRule>
    <cfRule type="expression" dxfId="51" priority="4">
      <formula>$B2="Sick"</formula>
    </cfRule>
    <cfRule type="expression" dxfId="50" priority="5">
      <formula>$B2="Out of Office"</formula>
    </cfRule>
  </conditionalFormatting>
  <conditionalFormatting sqref="D2:J61">
    <cfRule type="expression" dxfId="49" priority="14">
      <formula>MOD(ROW()-2,2)=0</formula>
    </cfRule>
  </conditionalFormatting>
  <conditionalFormatting sqref="G2:G61">
    <cfRule type="expression" dxfId="48" priority="7">
      <formula>$G2="Daily"</formula>
    </cfRule>
    <cfRule type="expression" dxfId="47" priority="8">
      <formula>$G2="Weekdays"</formula>
    </cfRule>
    <cfRule type="expression" dxfId="46" priority="9">
      <formula>$G2="Weekly"</formula>
    </cfRule>
    <cfRule type="expression" dxfId="45" priority="10">
      <formula>$G2="Monthly"</formula>
    </cfRule>
    <cfRule type="expression" dxfId="44" priority="11">
      <formula>$G2="One-time"</formula>
    </cfRule>
  </conditionalFormatting>
  <conditionalFormatting sqref="I2:I61">
    <cfRule type="expression" dxfId="43" priority="12">
      <formula>$I2="Active"</formula>
    </cfRule>
    <cfRule type="expression" dxfId="42" priority="13">
      <formula>$I2="Inactive"</formula>
    </cfRule>
  </conditionalFormatting>
  <dataValidations count="3">
    <dataValidation type="list" allowBlank="1" sqref="B2:B401" xr:uid="{00000000-0002-0000-0800-000000000000}">
      <formula1>"Home Office,Office,Holiday"</formula1>
    </dataValidation>
    <dataValidation type="list" allowBlank="1" sqref="G2:G61" xr:uid="{00000000-0002-0000-0800-000001000000}">
      <formula1>"One-time,Daily,Weekly,Monthly"</formula1>
    </dataValidation>
    <dataValidation type="list" allowBlank="1" sqref="I2:I61" xr:uid="{00000000-0002-0000-0800-000002000000}">
      <formula1>"Active,Inactive"</formula1>
    </dataValidation>
  </dataValidations>
  <pageMargins left="0.75" right="0.75" top="1" bottom="1" header="0.5" footer="0.5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tabColor rgb="FF1F4E79"/>
  </sheetPr>
  <dimension ref="A1:J15"/>
  <sheetViews>
    <sheetView showGridLines="0" zoomScale="115" workbookViewId="0"/>
  </sheetViews>
  <sheetFormatPr defaultRowHeight="19" customHeight="1" x14ac:dyDescent="0.35"/>
  <cols>
    <col min="1" max="7" width="10" customWidth="1"/>
    <col min="10" max="10" width="13" hidden="1" customWidth="1"/>
  </cols>
  <sheetData>
    <row r="1" spans="1:10" ht="26" customHeight="1" x14ac:dyDescent="0.35">
      <c r="A1" s="29" t="s">
        <v>54</v>
      </c>
      <c r="B1" s="61" t="str">
        <f>INDEX({"January","February","March","April","May","June","July","August","September","October","November","December"},MONTH(DATE(ScheduleYear,ScheduleMonth,1)))&amp;" "&amp;TEXT(DATE(ScheduleYear,ScheduleMonth,1),"YYYY")</f>
        <v>July 2026</v>
      </c>
      <c r="C1" s="54"/>
      <c r="D1" s="54"/>
      <c r="E1" s="54"/>
      <c r="F1" s="30" t="s">
        <v>55</v>
      </c>
      <c r="G1" s="29" t="s">
        <v>56</v>
      </c>
      <c r="J1">
        <v>2026</v>
      </c>
    </row>
    <row r="2" spans="1:10" ht="17" x14ac:dyDescent="0.35">
      <c r="A2" s="31" t="s">
        <v>57</v>
      </c>
      <c r="B2" s="31" t="s">
        <v>58</v>
      </c>
      <c r="C2" s="31" t="s">
        <v>59</v>
      </c>
      <c r="D2" s="31" t="s">
        <v>60</v>
      </c>
      <c r="E2" s="31" t="s">
        <v>61</v>
      </c>
      <c r="F2" s="31" t="s">
        <v>62</v>
      </c>
      <c r="G2" s="32" t="s">
        <v>63</v>
      </c>
      <c r="J2">
        <v>7</v>
      </c>
    </row>
    <row r="3" spans="1:10" ht="20" customHeight="1" x14ac:dyDescent="0.35">
      <c r="A3" s="33">
        <f>J8</f>
        <v>46202</v>
      </c>
      <c r="B3" s="33">
        <f>J8+1</f>
        <v>46203</v>
      </c>
      <c r="C3" s="33">
        <f>J8+2</f>
        <v>46204</v>
      </c>
      <c r="D3" s="33">
        <f>J8+3</f>
        <v>46205</v>
      </c>
      <c r="E3" s="33">
        <f>J8+4</f>
        <v>46206</v>
      </c>
      <c r="F3" s="34">
        <f>J8+5</f>
        <v>46207</v>
      </c>
      <c r="G3" s="34">
        <f>J8+6</f>
        <v>46208</v>
      </c>
      <c r="J3">
        <v>10</v>
      </c>
    </row>
    <row r="4" spans="1:10" ht="14" customHeight="1" x14ac:dyDescent="0.35">
      <c r="A4" s="42" t="str">
        <f>IF((COUNTIFS('Schedule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Data'!$H$2:$H$61)=DAY(A3)))))))=0,"",COUNTIFS('Schedule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</f>
        <v/>
      </c>
      <c r="B4" s="42" t="str">
        <f>IF((COUNTIFS('Schedule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Data'!$H$2:$H$61)=DAY(B3)))))))=0,"",COUNTIFS('Schedule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</f>
        <v/>
      </c>
      <c r="C4" s="42" t="str">
        <f>IF((COUNTIFS('Schedule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Data'!$H$2:$H$61)=DAY(C3)))))))=0,"",COUNTIFS('Schedule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</f>
        <v/>
      </c>
      <c r="D4" s="42" t="str">
        <f>IF((COUNTIFS('Schedule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Data'!$H$2:$H$61)=DAY(D3)))))))=0,"",COUNTIFS('Schedule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</f>
        <v/>
      </c>
      <c r="E4" s="42" t="str">
        <f>IF((COUNTIFS('Schedule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Data'!$H$2:$H$61)=DAY(E3)))))))=0,"",COUNTIFS('Schedule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</f>
        <v/>
      </c>
      <c r="F4" s="42" t="str">
        <f>IF((COUNTIFS('Schedule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Data'!$H$2:$H$61)=DAY(F3)))))))=0,"",COUNTIFS('Schedule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</f>
        <v/>
      </c>
      <c r="G4" s="42" t="str">
        <f>IF((COUNTIFS('Schedule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Data'!$H$2:$H$61)=DAY(G3)))))))=0,"",COUNTIFS('Schedule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</f>
        <v/>
      </c>
      <c r="J4">
        <v>1</v>
      </c>
    </row>
    <row r="5" spans="1:10" ht="20" customHeight="1" x14ac:dyDescent="0.35">
      <c r="A5" s="33">
        <f>J8+7</f>
        <v>46209</v>
      </c>
      <c r="B5" s="33">
        <f>J8+8</f>
        <v>46210</v>
      </c>
      <c r="C5" s="33">
        <f>J8+9</f>
        <v>46211</v>
      </c>
      <c r="D5" s="33">
        <f>J8+10</f>
        <v>46212</v>
      </c>
      <c r="E5" s="33">
        <f>J8+11</f>
        <v>46213</v>
      </c>
      <c r="F5" s="34">
        <f>J8+12</f>
        <v>46214</v>
      </c>
      <c r="G5" s="34">
        <f>J8+13</f>
        <v>46215</v>
      </c>
      <c r="J5">
        <v>5</v>
      </c>
    </row>
    <row r="6" spans="1:10" ht="14" customHeight="1" x14ac:dyDescent="0.35">
      <c r="A6" s="42" t="str">
        <f>IF((COUNTIFS('Schedule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Data'!$H$2:$H$61)=DAY(A5)))))))=0,"",COUNTIFS('Schedule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</f>
        <v/>
      </c>
      <c r="B6" s="42" t="str">
        <f>IF((COUNTIFS('Schedule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Data'!$H$2:$H$61)=DAY(B5)))))))=0,"",COUNTIFS('Schedule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</f>
        <v/>
      </c>
      <c r="C6" s="42" t="str">
        <f>IF((COUNTIFS('Schedule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Data'!$H$2:$H$61)=DAY(C5)))))))=0,"",COUNTIFS('Schedule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</f>
        <v/>
      </c>
      <c r="D6" s="42" t="str">
        <f>IF((COUNTIFS('Schedule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Data'!$H$2:$H$61)=DAY(D5)))))))=0,"",COUNTIFS('Schedule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</f>
        <v/>
      </c>
      <c r="E6" s="42" t="str">
        <f>IF((COUNTIFS('Schedule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Data'!$H$2:$H$61)=DAY(E5)))))))=0,"",COUNTIFS('Schedule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</f>
        <v/>
      </c>
      <c r="F6" s="42" t="str">
        <f>IF((COUNTIFS('Schedule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Data'!$H$2:$H$61)=DAY(F5)))))))=0,"",COUNTIFS('Schedule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</f>
        <v/>
      </c>
      <c r="G6" s="42" t="str">
        <f>IF((COUNTIFS('Schedule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Data'!$H$2:$H$61)=DAY(G5)))))))=0,"",COUNTIFS('Schedule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</f>
        <v/>
      </c>
    </row>
    <row r="7" spans="1:10" ht="20" customHeight="1" x14ac:dyDescent="0.35">
      <c r="A7" s="33">
        <f>J8+14</f>
        <v>46216</v>
      </c>
      <c r="B7" s="33">
        <f>J8+15</f>
        <v>46217</v>
      </c>
      <c r="C7" s="33">
        <f>J8+16</f>
        <v>46218</v>
      </c>
      <c r="D7" s="33">
        <f>J8+17</f>
        <v>46219</v>
      </c>
      <c r="E7" s="33">
        <f>J8+18</f>
        <v>46220</v>
      </c>
      <c r="F7" s="34">
        <f>J8+19</f>
        <v>46221</v>
      </c>
      <c r="G7" s="34">
        <f>J8+20</f>
        <v>46222</v>
      </c>
    </row>
    <row r="8" spans="1:10" ht="14" customHeight="1" x14ac:dyDescent="0.35">
      <c r="A8" s="42" t="str">
        <f>IF((COUNTIFS('Schedule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Data'!$H$2:$H$61)=DAY(A7)))))))=0,"",COUNTIFS('Schedule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</f>
        <v/>
      </c>
      <c r="B8" s="42" t="str">
        <f>IF((COUNTIFS('Schedule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Data'!$H$2:$H$61)=DAY(B7)))))))=0,"",COUNTIFS('Schedule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</f>
        <v/>
      </c>
      <c r="C8" s="42" t="str">
        <f>IF((COUNTIFS('Schedule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Data'!$H$2:$H$61)=DAY(C7)))))))=0,"",COUNTIFS('Schedule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</f>
        <v/>
      </c>
      <c r="D8" s="42" t="str">
        <f>IF((COUNTIFS('Schedule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Data'!$H$2:$H$61)=DAY(D7)))))))=0,"",COUNTIFS('Schedule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</f>
        <v/>
      </c>
      <c r="E8" s="42" t="str">
        <f>IF((COUNTIFS('Schedule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Data'!$H$2:$H$61)=DAY(E7)))))))=0,"",COUNTIFS('Schedule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</f>
        <v/>
      </c>
      <c r="F8" s="42" t="str">
        <f>IF((COUNTIFS('Schedule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Data'!$H$2:$H$61)=DAY(F7)))))))=0,"",COUNTIFS('Schedule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</f>
        <v/>
      </c>
      <c r="G8" s="42" t="str">
        <f>IF((COUNTIFS('Schedule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Data'!$H$2:$H$61)=DAY(G7)))))))=0,"",COUNTIFS('Schedule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</f>
        <v/>
      </c>
      <c r="J8">
        <f>DATE(ScheduleYear,ScheduleMonth,1)-WEEKDAY(DATE(ScheduleYear,ScheduleMonth,1),3)</f>
        <v>46202</v>
      </c>
    </row>
    <row r="9" spans="1:10" ht="20" customHeight="1" x14ac:dyDescent="0.35">
      <c r="A9" s="33">
        <f>J8+21</f>
        <v>46223</v>
      </c>
      <c r="B9" s="33">
        <f>J8+22</f>
        <v>46224</v>
      </c>
      <c r="C9" s="33">
        <f>J8+23</f>
        <v>46225</v>
      </c>
      <c r="D9" s="33">
        <f>J8+24</f>
        <v>46226</v>
      </c>
      <c r="E9" s="33">
        <f>J8+25</f>
        <v>46227</v>
      </c>
      <c r="F9" s="34">
        <f>J8+26</f>
        <v>46228</v>
      </c>
      <c r="G9" s="34">
        <f>J8+27</f>
        <v>46229</v>
      </c>
    </row>
    <row r="10" spans="1:10" ht="14" customHeight="1" x14ac:dyDescent="0.35">
      <c r="A10" s="42" t="str">
        <f>IF((COUNTIFS('Schedule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Data'!$H$2:$H$61)=DAY(A9)))))))=0,"",COUNTIFS('Schedule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</f>
        <v/>
      </c>
      <c r="B10" s="42" t="str">
        <f>IF((COUNTIFS('Schedule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Data'!$H$2:$H$61)=DAY(B9)))))))=0,"",COUNTIFS('Schedule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</f>
        <v/>
      </c>
      <c r="C10" s="42" t="str">
        <f>IF((COUNTIFS('Schedule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Data'!$H$2:$H$61)=DAY(C9)))))))=0,"",COUNTIFS('Schedule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</f>
        <v/>
      </c>
      <c r="D10" s="42" t="str">
        <f>IF((COUNTIFS('Schedule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Data'!$H$2:$H$61)=DAY(D9)))))))=0,"",COUNTIFS('Schedule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</f>
        <v/>
      </c>
      <c r="E10" s="42" t="str">
        <f>IF((COUNTIFS('Schedule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Data'!$H$2:$H$61)=DAY(E9)))))))=0,"",COUNTIFS('Schedule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</f>
        <v/>
      </c>
      <c r="F10" s="42" t="str">
        <f>IF((COUNTIFS('Schedule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Data'!$H$2:$H$61)=DAY(F9)))))))=0,"",COUNTIFS('Schedule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</f>
        <v/>
      </c>
      <c r="G10" s="42" t="str">
        <f>IF((COUNTIFS('Schedule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Data'!$H$2:$H$61)=DAY(G9)))))))=0,"",COUNTIFS('Schedule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</f>
        <v/>
      </c>
    </row>
    <row r="11" spans="1:10" ht="20" customHeight="1" x14ac:dyDescent="0.35">
      <c r="A11" s="33">
        <f>J8+28</f>
        <v>46230</v>
      </c>
      <c r="B11" s="33">
        <f>J8+29</f>
        <v>46231</v>
      </c>
      <c r="C11" s="33">
        <f>J8+30</f>
        <v>46232</v>
      </c>
      <c r="D11" s="33">
        <f>J8+31</f>
        <v>46233</v>
      </c>
      <c r="E11" s="33">
        <f>J8+32</f>
        <v>46234</v>
      </c>
      <c r="F11" s="34">
        <f>J8+33</f>
        <v>46235</v>
      </c>
      <c r="G11" s="34">
        <f>J8+34</f>
        <v>46236</v>
      </c>
    </row>
    <row r="12" spans="1:10" ht="14" customHeight="1" x14ac:dyDescent="0.35">
      <c r="A12" s="42" t="str">
        <f>IF((COUNTIFS('Schedule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Data'!$H$2:$H$61)=DAY(A11)))))))=0,"",COUNTIFS('Schedule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</f>
        <v/>
      </c>
      <c r="B12" s="42" t="str">
        <f>IF((COUNTIFS('Schedule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Data'!$H$2:$H$61)=DAY(B11)))))))=0,"",COUNTIFS('Schedule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</f>
        <v/>
      </c>
      <c r="C12" s="42" t="str">
        <f>IF((COUNTIFS('Schedule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Data'!$H$2:$H$61)=DAY(C11)))))))=0,"",COUNTIFS('Schedule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</f>
        <v/>
      </c>
      <c r="D12" s="42" t="str">
        <f>IF((COUNTIFS('Schedule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Data'!$H$2:$H$61)=DAY(D11)))))))=0,"",COUNTIFS('Schedule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</f>
        <v/>
      </c>
      <c r="E12" s="42" t="str">
        <f>IF((COUNTIFS('Schedule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Data'!$H$2:$H$61)=DAY(E11)))))))=0,"",COUNTIFS('Schedule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</f>
        <v/>
      </c>
      <c r="F12" s="42" t="str">
        <f>IF((COUNTIFS('Schedule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Data'!$H$2:$H$61)=DAY(F11)))))))=0,"",COUNTIFS('Schedule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</f>
        <v/>
      </c>
      <c r="G12" s="42" t="str">
        <f>IF((COUNTIFS('Schedule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Data'!$H$2:$H$61)=DAY(G11)))))))=0,"",COUNTIFS('Schedule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</f>
        <v/>
      </c>
    </row>
    <row r="13" spans="1:10" ht="20" customHeight="1" x14ac:dyDescent="0.35">
      <c r="A13" s="33">
        <f>J8+35</f>
        <v>46237</v>
      </c>
      <c r="B13" s="33">
        <f>J8+36</f>
        <v>46238</v>
      </c>
      <c r="C13" s="33">
        <f>J8+37</f>
        <v>46239</v>
      </c>
      <c r="D13" s="33">
        <f>J8+38</f>
        <v>46240</v>
      </c>
      <c r="E13" s="33">
        <f>J8+39</f>
        <v>46241</v>
      </c>
      <c r="F13" s="34">
        <f>J8+40</f>
        <v>46242</v>
      </c>
      <c r="G13" s="34">
        <f>J8+41</f>
        <v>46243</v>
      </c>
    </row>
    <row r="14" spans="1:10" ht="14" customHeight="1" x14ac:dyDescent="0.35">
      <c r="A14" s="42" t="str">
        <f>IF((COUNTIFS('Schedule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Data'!$H$2:$H$61)=DAY(A13)))))))=0,"",COUNTIFS('Schedule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</f>
        <v/>
      </c>
      <c r="B14" s="42" t="str">
        <f>IF((COUNTIFS('Schedule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Data'!$H$2:$H$61)=DAY(B13)))))))=0,"",COUNTIFS('Schedule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</f>
        <v/>
      </c>
      <c r="C14" s="42" t="str">
        <f>IF((COUNTIFS('Schedule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Data'!$H$2:$H$61)=DAY(C13)))))))=0,"",COUNTIFS('Schedule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</f>
        <v/>
      </c>
      <c r="D14" s="42" t="str">
        <f>IF((COUNTIFS('Schedule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Data'!$H$2:$H$61)=DAY(D13)))))))=0,"",COUNTIFS('Schedule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</f>
        <v/>
      </c>
      <c r="E14" s="42" t="str">
        <f>IF((COUNTIFS('Schedule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Data'!$H$2:$H$61)=DAY(E13)))))))=0,"",COUNTIFS('Schedule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</f>
        <v/>
      </c>
      <c r="F14" s="42" t="str">
        <f>IF((COUNTIFS('Schedule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Data'!$H$2:$H$61)=DAY(F13)))))))=0,"",COUNTIFS('Schedule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</f>
        <v/>
      </c>
      <c r="G14" s="42" t="str">
        <f>IF((COUNTIFS('Schedule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Data'!$H$2:$H$61)=DAY(G13)))))))=0,"",COUNTIFS('Schedule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</f>
        <v/>
      </c>
    </row>
    <row r="15" spans="1:10" ht="17" x14ac:dyDescent="0.35">
      <c r="A15" s="62" t="s">
        <v>86</v>
      </c>
      <c r="B15" s="56"/>
      <c r="C15" s="57"/>
    </row>
  </sheetData>
  <mergeCells count="2">
    <mergeCell ref="A15:C15"/>
    <mergeCell ref="B1:E1"/>
  </mergeCells>
  <conditionalFormatting sqref="A3:G3">
    <cfRule type="expression" dxfId="41" priority="1">
      <formula>MONTH(A3)&lt;&gt;ScheduleMonth</formula>
    </cfRule>
    <cfRule type="expression" dxfId="40" priority="2">
      <formula>A3=TODAY()</formula>
    </cfRule>
  </conditionalFormatting>
  <conditionalFormatting sqref="A5:G5">
    <cfRule type="expression" dxfId="36" priority="6">
      <formula>MONTH(A5)&lt;&gt;ScheduleMonth</formula>
    </cfRule>
    <cfRule type="expression" dxfId="35" priority="7">
      <formula>A5=TODAY()</formula>
    </cfRule>
  </conditionalFormatting>
  <conditionalFormatting sqref="A7:G7">
    <cfRule type="expression" dxfId="31" priority="11">
      <formula>MONTH(A7)&lt;&gt;ScheduleMonth</formula>
    </cfRule>
    <cfRule type="expression" dxfId="30" priority="12">
      <formula>A7=TODAY()</formula>
    </cfRule>
  </conditionalFormatting>
  <conditionalFormatting sqref="A9:G9">
    <cfRule type="expression" dxfId="26" priority="16">
      <formula>MONTH(A9)&lt;&gt;ScheduleMonth</formula>
    </cfRule>
    <cfRule type="expression" dxfId="25" priority="17">
      <formula>A9=TODAY()</formula>
    </cfRule>
  </conditionalFormatting>
  <conditionalFormatting sqref="A11:G11">
    <cfRule type="expression" dxfId="21" priority="21">
      <formula>MONTH(A11)&lt;&gt;ScheduleMonth</formula>
    </cfRule>
    <cfRule type="expression" dxfId="20" priority="22">
      <formula>A11=TODAY()</formula>
    </cfRule>
  </conditionalFormatting>
  <conditionalFormatting sqref="A13:G13">
    <cfRule type="expression" dxfId="16" priority="26">
      <formula>MONTH(A13)&lt;&gt;ScheduleMonth</formula>
    </cfRule>
    <cfRule type="expression" dxfId="15" priority="27">
      <formula>A13=TODAY()</formula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900-000003000000}">
            <xm:f>AND(COUNTIF('Schedule Data'!$A$2:$A$401,A3)&gt;0,INDEX('Schedule Data'!$B$2:$B$401,MATCH(A3,'Schedule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4" id="{00000000-000E-0000-0900-000004000000}">
            <xm:f>AND(COUNTIF('Schedule Data'!$A$2:$A$401,A3)&gt;0,INDEX('Schedule Data'!$B$2:$B$401,MATCH(A3,'Schedule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5" id="{00000000-000E-0000-0900-000005000000}">
            <xm:f>AND(COUNTIF('Schedule Data'!$A$2:$A$401,A3)&gt;0,INDEX('Schedule Data'!$B$2:$B$401,MATCH(A3,'Schedule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A3:G3</xm:sqref>
        </x14:conditionalFormatting>
        <x14:conditionalFormatting xmlns:xm="http://schemas.microsoft.com/office/excel/2006/main">
          <x14:cfRule type="expression" priority="8" id="{00000000-000E-0000-0900-000008000000}">
            <xm:f>AND(COUNTIF('Schedule Data'!$A$2:$A$401,A5)&gt;0,INDEX('Schedule Data'!$B$2:$B$401,MATCH(A5,'Schedule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9" id="{00000000-000E-0000-0900-000009000000}">
            <xm:f>AND(COUNTIF('Schedule Data'!$A$2:$A$401,A5)&gt;0,INDEX('Schedule Data'!$B$2:$B$401,MATCH(A5,'Schedule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0" id="{00000000-000E-0000-0900-00000A000000}">
            <xm:f>AND(COUNTIF('Schedule Data'!$A$2:$A$401,A5)&gt;0,INDEX('Schedule Data'!$B$2:$B$401,MATCH(A5,'Schedule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A5:G5</xm:sqref>
        </x14:conditionalFormatting>
        <x14:conditionalFormatting xmlns:xm="http://schemas.microsoft.com/office/excel/2006/main">
          <x14:cfRule type="expression" priority="13" id="{00000000-000E-0000-0900-00000D000000}">
            <xm:f>AND(COUNTIF('Schedule Data'!$A$2:$A$401,A7)&gt;0,INDEX('Schedule Data'!$B$2:$B$401,MATCH(A7,'Schedule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4" id="{00000000-000E-0000-0900-00000E000000}">
            <xm:f>AND(COUNTIF('Schedule Data'!$A$2:$A$401,A7)&gt;0,INDEX('Schedule Data'!$B$2:$B$401,MATCH(A7,'Schedule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5" id="{00000000-000E-0000-0900-00000F000000}">
            <xm:f>AND(COUNTIF('Schedule Data'!$A$2:$A$401,A7)&gt;0,INDEX('Schedule Data'!$B$2:$B$401,MATCH(A7,'Schedule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A7:G7</xm:sqref>
        </x14:conditionalFormatting>
        <x14:conditionalFormatting xmlns:xm="http://schemas.microsoft.com/office/excel/2006/main">
          <x14:cfRule type="expression" priority="18" id="{00000000-000E-0000-0900-000012000000}">
            <xm:f>AND(COUNTIF('Schedule Data'!$A$2:$A$401,A9)&gt;0,INDEX('Schedule Data'!$B$2:$B$401,MATCH(A9,'Schedule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9" id="{00000000-000E-0000-0900-000013000000}">
            <xm:f>AND(COUNTIF('Schedule Data'!$A$2:$A$401,A9)&gt;0,INDEX('Schedule Data'!$B$2:$B$401,MATCH(A9,'Schedule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0" id="{00000000-000E-0000-0900-000014000000}">
            <xm:f>AND(COUNTIF('Schedule Data'!$A$2:$A$401,A9)&gt;0,INDEX('Schedule Data'!$B$2:$B$401,MATCH(A9,'Schedule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A9:G9</xm:sqref>
        </x14:conditionalFormatting>
        <x14:conditionalFormatting xmlns:xm="http://schemas.microsoft.com/office/excel/2006/main">
          <x14:cfRule type="expression" priority="23" id="{00000000-000E-0000-0900-000017000000}">
            <xm:f>AND(COUNTIF('Schedule Data'!$A$2:$A$401,A11)&gt;0,INDEX('Schedule Data'!$B$2:$B$401,MATCH(A11,'Schedule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4" id="{00000000-000E-0000-0900-000018000000}">
            <xm:f>AND(COUNTIF('Schedule Data'!$A$2:$A$401,A11)&gt;0,INDEX('Schedule Data'!$B$2:$B$401,MATCH(A11,'Schedule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5" id="{00000000-000E-0000-0900-000019000000}">
            <xm:f>AND(COUNTIF('Schedule Data'!$A$2:$A$401,A11)&gt;0,INDEX('Schedule Data'!$B$2:$B$401,MATCH(A11,'Schedule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A11:G11</xm:sqref>
        </x14:conditionalFormatting>
        <x14:conditionalFormatting xmlns:xm="http://schemas.microsoft.com/office/excel/2006/main">
          <x14:cfRule type="expression" priority="28" id="{00000000-000E-0000-0900-00001C000000}">
            <xm:f>AND(COUNTIF('Schedule Data'!$A$2:$A$401,A13)&gt;0,INDEX('Schedule Data'!$B$2:$B$401,MATCH(A13,'Schedule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9" id="{00000000-000E-0000-0900-00001D000000}">
            <xm:f>AND(COUNTIF('Schedule Data'!$A$2:$A$401,A13)&gt;0,INDEX('Schedule Data'!$B$2:$B$401,MATCH(A13,'Schedule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30" id="{00000000-000E-0000-0900-00001E000000}">
            <xm:f>AND(COUNTIF('Schedule Data'!$A$2:$A$401,A13)&gt;0,INDEX('Schedule Data'!$B$2:$B$401,MATCH(A13,'Schedule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A13:G13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rgb="FF1BAF7A"/>
  </sheetPr>
  <dimension ref="A1:G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6" customWidth="1"/>
    <col min="2" max="2" width="26" customWidth="1"/>
    <col min="3" max="3" width="22" customWidth="1"/>
    <col min="4" max="4" width="18" customWidth="1"/>
    <col min="5" max="5" width="16" customWidth="1"/>
    <col min="6" max="6" width="10" customWidth="1"/>
    <col min="7" max="7" width="24" customWidth="1"/>
  </cols>
  <sheetData>
    <row r="1" spans="1:7" ht="32" customHeight="1" x14ac:dyDescent="0.35">
      <c r="A1" s="4" t="s">
        <v>75</v>
      </c>
      <c r="B1" s="4" t="s">
        <v>87</v>
      </c>
      <c r="C1" s="4" t="s">
        <v>88</v>
      </c>
      <c r="D1" s="4" t="s">
        <v>89</v>
      </c>
      <c r="E1" s="4" t="s">
        <v>90</v>
      </c>
      <c r="F1" s="4" t="s">
        <v>91</v>
      </c>
      <c r="G1" s="4" t="s">
        <v>18</v>
      </c>
    </row>
    <row r="2" spans="1:7" ht="14.5" x14ac:dyDescent="0.35">
      <c r="A2" s="6"/>
      <c r="B2" s="6"/>
      <c r="C2" s="6"/>
      <c r="D2" s="6"/>
      <c r="E2" s="18"/>
      <c r="F2" s="6"/>
      <c r="G2" s="10"/>
    </row>
    <row r="3" spans="1:7" ht="14.5" x14ac:dyDescent="0.35">
      <c r="A3" s="6"/>
      <c r="B3" s="6"/>
      <c r="C3" s="6"/>
      <c r="D3" s="6"/>
      <c r="E3" s="6"/>
      <c r="F3" s="6"/>
      <c r="G3" s="10"/>
    </row>
    <row r="4" spans="1:7" ht="14.5" x14ac:dyDescent="0.35">
      <c r="A4" s="6"/>
      <c r="B4" s="6"/>
      <c r="C4" s="6"/>
      <c r="D4" s="6"/>
      <c r="E4" s="6"/>
      <c r="F4" s="6"/>
      <c r="G4" s="10"/>
    </row>
    <row r="5" spans="1:7" ht="14.5" x14ac:dyDescent="0.35">
      <c r="A5" s="6"/>
      <c r="B5" s="6"/>
      <c r="C5" s="6"/>
      <c r="D5" s="6"/>
      <c r="E5" s="6"/>
      <c r="F5" s="6"/>
      <c r="G5" s="10"/>
    </row>
    <row r="6" spans="1:7" ht="14.5" x14ac:dyDescent="0.35">
      <c r="A6" s="6"/>
      <c r="B6" s="6"/>
      <c r="C6" s="6"/>
      <c r="D6" s="6"/>
      <c r="E6" s="6"/>
      <c r="F6" s="6"/>
      <c r="G6" s="10"/>
    </row>
    <row r="7" spans="1:7" ht="14.5" x14ac:dyDescent="0.35">
      <c r="A7" s="6"/>
      <c r="B7" s="6"/>
      <c r="C7" s="6"/>
      <c r="D7" s="6"/>
      <c r="E7" s="6"/>
      <c r="F7" s="6"/>
      <c r="G7" s="10"/>
    </row>
    <row r="8" spans="1:7" ht="14.5" x14ac:dyDescent="0.35">
      <c r="A8" s="6"/>
      <c r="B8" s="6"/>
      <c r="C8" s="6"/>
      <c r="D8" s="6"/>
      <c r="E8" s="6"/>
      <c r="F8" s="6"/>
      <c r="G8" s="10"/>
    </row>
    <row r="9" spans="1:7" ht="14.5" x14ac:dyDescent="0.35">
      <c r="A9" s="6"/>
      <c r="B9" s="6"/>
      <c r="C9" s="6"/>
      <c r="D9" s="6"/>
      <c r="E9" s="6"/>
      <c r="F9" s="6"/>
      <c r="G9" s="10"/>
    </row>
    <row r="10" spans="1:7" ht="14.5" x14ac:dyDescent="0.35">
      <c r="A10" s="6"/>
      <c r="B10" s="6"/>
      <c r="C10" s="6"/>
      <c r="D10" s="6"/>
      <c r="E10" s="6"/>
      <c r="F10" s="6"/>
      <c r="G10" s="10"/>
    </row>
    <row r="11" spans="1:7" ht="14.5" x14ac:dyDescent="0.35">
      <c r="A11" s="6"/>
      <c r="B11" s="6"/>
      <c r="C11" s="6"/>
      <c r="D11" s="6"/>
      <c r="E11" s="6"/>
      <c r="F11" s="6"/>
      <c r="G11" s="10"/>
    </row>
    <row r="12" spans="1:7" ht="14.5" x14ac:dyDescent="0.35">
      <c r="A12" s="6"/>
      <c r="B12" s="6"/>
      <c r="C12" s="6"/>
      <c r="D12" s="6"/>
      <c r="E12" s="6"/>
      <c r="F12" s="6"/>
      <c r="G12" s="10"/>
    </row>
    <row r="13" spans="1:7" ht="14.5" x14ac:dyDescent="0.35">
      <c r="A13" s="6"/>
      <c r="B13" s="6"/>
      <c r="C13" s="6"/>
      <c r="D13" s="6"/>
      <c r="E13" s="6"/>
      <c r="F13" s="6"/>
      <c r="G13" s="10"/>
    </row>
    <row r="14" spans="1:7" ht="14.5" x14ac:dyDescent="0.35">
      <c r="A14" s="6"/>
      <c r="B14" s="6"/>
      <c r="C14" s="6"/>
      <c r="D14" s="6"/>
      <c r="E14" s="6"/>
      <c r="F14" s="6"/>
      <c r="G14" s="10"/>
    </row>
    <row r="15" spans="1:7" ht="14.5" x14ac:dyDescent="0.35">
      <c r="A15" s="6"/>
      <c r="B15" s="6"/>
      <c r="C15" s="6"/>
      <c r="D15" s="6"/>
      <c r="E15" s="6"/>
      <c r="F15" s="6"/>
      <c r="G15" s="10"/>
    </row>
    <row r="16" spans="1:7" ht="14.5" x14ac:dyDescent="0.35">
      <c r="A16" s="6"/>
      <c r="B16" s="6"/>
      <c r="C16" s="6"/>
      <c r="D16" s="6"/>
      <c r="E16" s="6"/>
      <c r="F16" s="6"/>
      <c r="G16" s="10"/>
    </row>
    <row r="17" spans="1:7" ht="14.5" x14ac:dyDescent="0.35">
      <c r="A17" s="6"/>
      <c r="B17" s="6"/>
      <c r="C17" s="6"/>
      <c r="D17" s="6"/>
      <c r="E17" s="6"/>
      <c r="F17" s="6"/>
      <c r="G17" s="10"/>
    </row>
    <row r="18" spans="1:7" ht="14.5" x14ac:dyDescent="0.35">
      <c r="A18" s="6"/>
      <c r="B18" s="6"/>
      <c r="C18" s="6"/>
      <c r="D18" s="6"/>
      <c r="E18" s="6"/>
      <c r="F18" s="6"/>
      <c r="G18" s="10"/>
    </row>
    <row r="19" spans="1:7" ht="14.5" x14ac:dyDescent="0.35">
      <c r="A19" s="6"/>
      <c r="B19" s="6"/>
      <c r="C19" s="6"/>
      <c r="D19" s="6"/>
      <c r="E19" s="6"/>
      <c r="F19" s="6"/>
      <c r="G19" s="10"/>
    </row>
    <row r="20" spans="1:7" ht="14.5" x14ac:dyDescent="0.35">
      <c r="A20" s="6"/>
      <c r="B20" s="6"/>
      <c r="C20" s="6"/>
      <c r="D20" s="6"/>
      <c r="E20" s="6"/>
      <c r="F20" s="6"/>
      <c r="G20" s="10"/>
    </row>
    <row r="21" spans="1:7" ht="14.5" x14ac:dyDescent="0.35">
      <c r="A21" s="6"/>
      <c r="B21" s="6"/>
      <c r="C21" s="6"/>
      <c r="D21" s="6"/>
      <c r="E21" s="6"/>
      <c r="F21" s="6"/>
      <c r="G21" s="10"/>
    </row>
    <row r="22" spans="1:7" ht="14.5" x14ac:dyDescent="0.35">
      <c r="A22" s="6"/>
      <c r="B22" s="6"/>
      <c r="C22" s="6"/>
      <c r="D22" s="6"/>
      <c r="E22" s="6"/>
      <c r="F22" s="6"/>
      <c r="G22" s="10"/>
    </row>
    <row r="23" spans="1:7" ht="14.5" x14ac:dyDescent="0.35">
      <c r="A23" s="6"/>
      <c r="B23" s="6"/>
      <c r="C23" s="6"/>
      <c r="D23" s="6"/>
      <c r="E23" s="6"/>
      <c r="F23" s="6"/>
      <c r="G23" s="10"/>
    </row>
    <row r="24" spans="1:7" ht="14.5" x14ac:dyDescent="0.35">
      <c r="A24" s="6"/>
      <c r="B24" s="6"/>
      <c r="C24" s="6"/>
      <c r="D24" s="6"/>
      <c r="E24" s="6"/>
      <c r="F24" s="6"/>
      <c r="G24" s="10"/>
    </row>
    <row r="25" spans="1:7" ht="14.5" x14ac:dyDescent="0.35">
      <c r="A25" s="6"/>
      <c r="B25" s="6"/>
      <c r="C25" s="6"/>
      <c r="D25" s="6"/>
      <c r="E25" s="6"/>
      <c r="F25" s="6"/>
      <c r="G25" s="10"/>
    </row>
    <row r="26" spans="1:7" ht="14.5" x14ac:dyDescent="0.35">
      <c r="A26" s="6"/>
      <c r="B26" s="6"/>
      <c r="C26" s="6"/>
      <c r="D26" s="6"/>
      <c r="E26" s="6"/>
      <c r="F26" s="6"/>
      <c r="G26" s="10"/>
    </row>
    <row r="27" spans="1:7" ht="14.5" x14ac:dyDescent="0.35">
      <c r="A27" s="6"/>
      <c r="B27" s="6"/>
      <c r="C27" s="6"/>
      <c r="D27" s="6"/>
      <c r="E27" s="6"/>
      <c r="F27" s="6"/>
      <c r="G27" s="10"/>
    </row>
    <row r="28" spans="1:7" ht="14.5" x14ac:dyDescent="0.35">
      <c r="A28" s="6"/>
      <c r="B28" s="6"/>
      <c r="C28" s="6"/>
      <c r="D28" s="6"/>
      <c r="E28" s="6"/>
      <c r="F28" s="6"/>
      <c r="G28" s="10"/>
    </row>
    <row r="29" spans="1:7" ht="14.5" x14ac:dyDescent="0.35">
      <c r="A29" s="6"/>
      <c r="B29" s="6"/>
      <c r="C29" s="6"/>
      <c r="D29" s="6"/>
      <c r="E29" s="6"/>
      <c r="F29" s="6"/>
      <c r="G29" s="10"/>
    </row>
    <row r="30" spans="1:7" ht="14.5" x14ac:dyDescent="0.35">
      <c r="A30" s="6"/>
      <c r="B30" s="6"/>
      <c r="C30" s="6"/>
      <c r="D30" s="6"/>
      <c r="E30" s="6"/>
      <c r="F30" s="6"/>
      <c r="G30" s="10"/>
    </row>
    <row r="31" spans="1:7" ht="14.5" x14ac:dyDescent="0.35">
      <c r="A31" s="6"/>
      <c r="B31" s="6"/>
      <c r="C31" s="6"/>
      <c r="D31" s="6"/>
      <c r="E31" s="6"/>
      <c r="F31" s="6"/>
      <c r="G31" s="10"/>
    </row>
    <row r="32" spans="1:7" ht="14.5" x14ac:dyDescent="0.35">
      <c r="A32" s="6"/>
      <c r="B32" s="6"/>
      <c r="C32" s="6"/>
      <c r="D32" s="6"/>
      <c r="E32" s="6"/>
      <c r="F32" s="6"/>
      <c r="G32" s="10"/>
    </row>
    <row r="33" spans="1:7" ht="14.5" x14ac:dyDescent="0.35">
      <c r="A33" s="6"/>
      <c r="B33" s="6"/>
      <c r="C33" s="6"/>
      <c r="D33" s="6"/>
      <c r="E33" s="6"/>
      <c r="F33" s="6"/>
      <c r="G33" s="10"/>
    </row>
    <row r="34" spans="1:7" ht="14.5" x14ac:dyDescent="0.35">
      <c r="A34" s="6"/>
      <c r="B34" s="6"/>
      <c r="C34" s="6"/>
      <c r="D34" s="6"/>
      <c r="E34" s="6"/>
      <c r="F34" s="6"/>
      <c r="G34" s="10"/>
    </row>
    <row r="35" spans="1:7" ht="14.5" x14ac:dyDescent="0.35">
      <c r="A35" s="6"/>
      <c r="B35" s="6"/>
      <c r="C35" s="6"/>
      <c r="D35" s="6"/>
      <c r="E35" s="6"/>
      <c r="F35" s="6"/>
      <c r="G35" s="10"/>
    </row>
    <row r="36" spans="1:7" ht="14.5" x14ac:dyDescent="0.35">
      <c r="A36" s="6"/>
      <c r="B36" s="6"/>
      <c r="C36" s="6"/>
      <c r="D36" s="6"/>
      <c r="E36" s="6"/>
      <c r="F36" s="6"/>
      <c r="G36" s="10"/>
    </row>
    <row r="37" spans="1:7" ht="14.5" x14ac:dyDescent="0.35">
      <c r="A37" s="6"/>
      <c r="B37" s="6"/>
      <c r="C37" s="6"/>
      <c r="D37" s="6"/>
      <c r="E37" s="6"/>
      <c r="F37" s="6"/>
      <c r="G37" s="10"/>
    </row>
    <row r="38" spans="1:7" ht="14.5" x14ac:dyDescent="0.35">
      <c r="A38" s="6"/>
      <c r="B38" s="6"/>
      <c r="C38" s="6"/>
      <c r="D38" s="6"/>
      <c r="E38" s="6"/>
      <c r="F38" s="6"/>
      <c r="G38" s="10"/>
    </row>
    <row r="39" spans="1:7" ht="14.5" x14ac:dyDescent="0.35">
      <c r="A39" s="6"/>
      <c r="B39" s="6"/>
      <c r="C39" s="6"/>
      <c r="D39" s="6"/>
      <c r="E39" s="6"/>
      <c r="F39" s="6"/>
      <c r="G39" s="10"/>
    </row>
    <row r="40" spans="1:7" ht="14.5" x14ac:dyDescent="0.35">
      <c r="A40" s="6"/>
      <c r="B40" s="6"/>
      <c r="C40" s="6"/>
      <c r="D40" s="6"/>
      <c r="E40" s="6"/>
      <c r="F40" s="6"/>
      <c r="G40" s="10"/>
    </row>
    <row r="41" spans="1:7" ht="14.5" x14ac:dyDescent="0.35">
      <c r="A41" s="6"/>
      <c r="B41" s="6"/>
      <c r="C41" s="6"/>
      <c r="D41" s="6"/>
      <c r="E41" s="6"/>
      <c r="F41" s="6"/>
      <c r="G41" s="10"/>
    </row>
    <row r="42" spans="1:7" ht="14.5" x14ac:dyDescent="0.35">
      <c r="A42" s="6"/>
      <c r="B42" s="6"/>
      <c r="C42" s="6"/>
      <c r="D42" s="6"/>
      <c r="E42" s="6"/>
      <c r="F42" s="6"/>
      <c r="G42" s="10"/>
    </row>
    <row r="43" spans="1:7" ht="14.5" x14ac:dyDescent="0.35">
      <c r="A43" s="6"/>
      <c r="B43" s="6"/>
      <c r="C43" s="6"/>
      <c r="D43" s="6"/>
      <c r="E43" s="6"/>
      <c r="F43" s="6"/>
      <c r="G43" s="10"/>
    </row>
    <row r="44" spans="1:7" ht="14.5" x14ac:dyDescent="0.35">
      <c r="A44" s="6"/>
      <c r="B44" s="6"/>
      <c r="C44" s="6"/>
      <c r="D44" s="6"/>
      <c r="E44" s="6"/>
      <c r="F44" s="6"/>
      <c r="G44" s="10"/>
    </row>
    <row r="45" spans="1:7" ht="14.5" x14ac:dyDescent="0.35">
      <c r="A45" s="6"/>
      <c r="B45" s="6"/>
      <c r="C45" s="6"/>
      <c r="D45" s="6"/>
      <c r="E45" s="6"/>
      <c r="F45" s="6"/>
      <c r="G45" s="10"/>
    </row>
    <row r="46" spans="1:7" ht="14.5" x14ac:dyDescent="0.35">
      <c r="A46" s="6"/>
      <c r="B46" s="6"/>
      <c r="C46" s="6"/>
      <c r="D46" s="6"/>
      <c r="E46" s="6"/>
      <c r="F46" s="6"/>
      <c r="G46" s="10"/>
    </row>
    <row r="47" spans="1:7" ht="14.5" x14ac:dyDescent="0.35">
      <c r="A47" s="6"/>
      <c r="B47" s="6"/>
      <c r="C47" s="6"/>
      <c r="D47" s="6"/>
      <c r="E47" s="6"/>
      <c r="F47" s="6"/>
      <c r="G47" s="10"/>
    </row>
    <row r="48" spans="1:7" ht="14.5" x14ac:dyDescent="0.35">
      <c r="A48" s="6"/>
      <c r="B48" s="6"/>
      <c r="C48" s="6"/>
      <c r="D48" s="6"/>
      <c r="E48" s="6"/>
      <c r="F48" s="6"/>
      <c r="G48" s="10"/>
    </row>
    <row r="49" spans="1:7" ht="14.5" x14ac:dyDescent="0.35">
      <c r="A49" s="6"/>
      <c r="B49" s="6"/>
      <c r="C49" s="6"/>
      <c r="D49" s="6"/>
      <c r="E49" s="6"/>
      <c r="F49" s="6"/>
      <c r="G49" s="10"/>
    </row>
    <row r="50" spans="1:7" ht="14.5" x14ac:dyDescent="0.35">
      <c r="A50" s="6"/>
      <c r="B50" s="6"/>
      <c r="C50" s="6"/>
      <c r="D50" s="6"/>
      <c r="E50" s="6"/>
      <c r="F50" s="6"/>
      <c r="G50" s="10"/>
    </row>
    <row r="51" spans="1:7" ht="14.5" x14ac:dyDescent="0.35">
      <c r="A51" s="6"/>
      <c r="B51" s="6"/>
      <c r="C51" s="6"/>
      <c r="D51" s="6"/>
      <c r="E51" s="6"/>
      <c r="F51" s="6"/>
      <c r="G51" s="10"/>
    </row>
  </sheetData>
  <conditionalFormatting sqref="A2:G51">
    <cfRule type="expression" dxfId="11" priority="3">
      <formula>MOD(ROW()-2,2)=0</formula>
    </cfRule>
  </conditionalFormatting>
  <conditionalFormatting sqref="F2:F51">
    <cfRule type="expression" dxfId="10" priority="1">
      <formula>$F2="Yes"</formula>
    </cfRule>
    <cfRule type="expression" dxfId="9" priority="2">
      <formula>$F2="No"</formula>
    </cfRule>
  </conditionalFormatting>
  <dataValidations count="1">
    <dataValidation type="list" allowBlank="1" sqref="F2:F51" xr:uid="{00000000-0002-0000-0A00-000000000000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>
    <tabColor rgb="FF1BAF7A"/>
  </sheetPr>
  <dimension ref="A1:D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8" customWidth="1"/>
    <col min="2" max="2" width="32" customWidth="1"/>
    <col min="3" max="3" width="28" customWidth="1"/>
    <col min="4" max="4" width="24" customWidth="1"/>
  </cols>
  <sheetData>
    <row r="1" spans="1:4" ht="32" customHeight="1" x14ac:dyDescent="0.35">
      <c r="A1" s="4" t="s">
        <v>92</v>
      </c>
      <c r="B1" s="4" t="s">
        <v>93</v>
      </c>
      <c r="C1" s="4" t="s">
        <v>94</v>
      </c>
      <c r="D1" s="4" t="s">
        <v>18</v>
      </c>
    </row>
    <row r="2" spans="1:4" ht="14.5" x14ac:dyDescent="0.35">
      <c r="A2" s="6"/>
      <c r="B2" s="6"/>
      <c r="C2" s="6"/>
      <c r="D2" s="6"/>
    </row>
    <row r="3" spans="1:4" ht="14.5" x14ac:dyDescent="0.35">
      <c r="A3" s="6"/>
      <c r="B3" s="6"/>
      <c r="C3" s="6"/>
      <c r="D3" s="6"/>
    </row>
    <row r="4" spans="1:4" ht="14.5" x14ac:dyDescent="0.35">
      <c r="A4" s="6"/>
      <c r="B4" s="6"/>
      <c r="C4" s="6"/>
      <c r="D4" s="6"/>
    </row>
    <row r="5" spans="1:4" ht="14.5" x14ac:dyDescent="0.35">
      <c r="A5" s="6"/>
      <c r="B5" s="6"/>
      <c r="C5" s="6"/>
      <c r="D5" s="6"/>
    </row>
    <row r="6" spans="1:4" ht="14.5" x14ac:dyDescent="0.35">
      <c r="A6" s="6"/>
      <c r="B6" s="6"/>
      <c r="C6" s="6"/>
      <c r="D6" s="6"/>
    </row>
    <row r="7" spans="1:4" ht="14.5" x14ac:dyDescent="0.35">
      <c r="A7" s="6"/>
      <c r="B7" s="6"/>
      <c r="C7" s="6"/>
      <c r="D7" s="6"/>
    </row>
    <row r="8" spans="1:4" ht="14.5" x14ac:dyDescent="0.35">
      <c r="A8" s="6"/>
      <c r="B8" s="6"/>
      <c r="C8" s="6"/>
      <c r="D8" s="6"/>
    </row>
    <row r="9" spans="1:4" ht="14.5" x14ac:dyDescent="0.35">
      <c r="A9" s="6"/>
      <c r="B9" s="6"/>
      <c r="C9" s="6"/>
      <c r="D9" s="6"/>
    </row>
    <row r="10" spans="1:4" ht="14.5" x14ac:dyDescent="0.35">
      <c r="A10" s="6"/>
      <c r="B10" s="6"/>
      <c r="C10" s="6"/>
      <c r="D10" s="6"/>
    </row>
    <row r="11" spans="1:4" ht="14.5" x14ac:dyDescent="0.35">
      <c r="A11" s="6"/>
      <c r="B11" s="6"/>
      <c r="C11" s="6"/>
      <c r="D11" s="6"/>
    </row>
    <row r="12" spans="1:4" ht="14.5" x14ac:dyDescent="0.35">
      <c r="A12" s="6"/>
      <c r="B12" s="6"/>
      <c r="C12" s="6"/>
      <c r="D12" s="6"/>
    </row>
    <row r="13" spans="1:4" ht="14.5" x14ac:dyDescent="0.35">
      <c r="A13" s="6"/>
      <c r="B13" s="6"/>
      <c r="C13" s="6"/>
      <c r="D13" s="6"/>
    </row>
    <row r="14" spans="1:4" ht="14.5" x14ac:dyDescent="0.35">
      <c r="A14" s="6"/>
      <c r="B14" s="6"/>
      <c r="C14" s="6"/>
      <c r="D14" s="6"/>
    </row>
    <row r="15" spans="1:4" ht="14.5" x14ac:dyDescent="0.35">
      <c r="A15" s="6"/>
      <c r="B15" s="6"/>
      <c r="C15" s="6"/>
      <c r="D15" s="6"/>
    </row>
    <row r="16" spans="1:4" ht="14.5" x14ac:dyDescent="0.35">
      <c r="A16" s="6"/>
      <c r="B16" s="6"/>
      <c r="C16" s="6"/>
      <c r="D16" s="6"/>
    </row>
    <row r="17" spans="1:4" ht="14.5" x14ac:dyDescent="0.35">
      <c r="A17" s="6"/>
      <c r="B17" s="6"/>
      <c r="C17" s="6"/>
      <c r="D17" s="6"/>
    </row>
    <row r="18" spans="1:4" ht="14.5" x14ac:dyDescent="0.35">
      <c r="A18" s="6"/>
      <c r="B18" s="6"/>
      <c r="C18" s="6"/>
      <c r="D18" s="6"/>
    </row>
    <row r="19" spans="1:4" ht="14.5" x14ac:dyDescent="0.35">
      <c r="A19" s="6"/>
      <c r="B19" s="6"/>
      <c r="C19" s="6"/>
      <c r="D19" s="6"/>
    </row>
    <row r="20" spans="1:4" ht="14.5" x14ac:dyDescent="0.35">
      <c r="A20" s="6"/>
      <c r="B20" s="6"/>
      <c r="C20" s="6"/>
      <c r="D20" s="6"/>
    </row>
    <row r="21" spans="1:4" ht="14.5" x14ac:dyDescent="0.35">
      <c r="A21" s="6"/>
      <c r="B21" s="6"/>
      <c r="C21" s="6"/>
      <c r="D21" s="6"/>
    </row>
    <row r="22" spans="1:4" ht="14.5" x14ac:dyDescent="0.35">
      <c r="A22" s="6"/>
      <c r="B22" s="6"/>
      <c r="C22" s="6"/>
      <c r="D22" s="6"/>
    </row>
    <row r="23" spans="1:4" ht="14.5" x14ac:dyDescent="0.35">
      <c r="A23" s="6"/>
      <c r="B23" s="6"/>
      <c r="C23" s="6"/>
      <c r="D23" s="6"/>
    </row>
    <row r="24" spans="1:4" ht="14.5" x14ac:dyDescent="0.35">
      <c r="A24" s="6"/>
      <c r="B24" s="6"/>
      <c r="C24" s="6"/>
      <c r="D24" s="6"/>
    </row>
    <row r="25" spans="1:4" ht="14.5" x14ac:dyDescent="0.35">
      <c r="A25" s="6"/>
      <c r="B25" s="6"/>
      <c r="C25" s="6"/>
      <c r="D25" s="6"/>
    </row>
    <row r="26" spans="1:4" ht="14.5" x14ac:dyDescent="0.35">
      <c r="A26" s="6"/>
      <c r="B26" s="6"/>
      <c r="C26" s="6"/>
      <c r="D26" s="6"/>
    </row>
    <row r="27" spans="1:4" ht="14.5" x14ac:dyDescent="0.35">
      <c r="A27" s="6"/>
      <c r="B27" s="6"/>
      <c r="C27" s="6"/>
      <c r="D27" s="6"/>
    </row>
    <row r="28" spans="1:4" ht="14.5" x14ac:dyDescent="0.35">
      <c r="A28" s="6"/>
      <c r="B28" s="6"/>
      <c r="C28" s="6"/>
      <c r="D28" s="6"/>
    </row>
    <row r="29" spans="1:4" ht="14.5" x14ac:dyDescent="0.35">
      <c r="A29" s="6"/>
      <c r="B29" s="6"/>
      <c r="C29" s="6"/>
      <c r="D29" s="6"/>
    </row>
    <row r="30" spans="1:4" ht="14.5" x14ac:dyDescent="0.35">
      <c r="A30" s="6"/>
      <c r="B30" s="6"/>
      <c r="C30" s="6"/>
      <c r="D30" s="6"/>
    </row>
    <row r="31" spans="1:4" ht="14.5" x14ac:dyDescent="0.35">
      <c r="A31" s="6"/>
      <c r="B31" s="6"/>
      <c r="C31" s="6"/>
      <c r="D31" s="6"/>
    </row>
    <row r="32" spans="1:4" ht="14.5" x14ac:dyDescent="0.35">
      <c r="A32" s="6"/>
      <c r="B32" s="6"/>
      <c r="C32" s="6"/>
      <c r="D32" s="6"/>
    </row>
    <row r="33" spans="1:4" ht="14.5" x14ac:dyDescent="0.35">
      <c r="A33" s="6"/>
      <c r="B33" s="6"/>
      <c r="C33" s="6"/>
      <c r="D33" s="6"/>
    </row>
    <row r="34" spans="1:4" ht="14.5" x14ac:dyDescent="0.35">
      <c r="A34" s="6"/>
      <c r="B34" s="6"/>
      <c r="C34" s="6"/>
      <c r="D34" s="6"/>
    </row>
    <row r="35" spans="1:4" ht="14.5" x14ac:dyDescent="0.35">
      <c r="A35" s="6"/>
      <c r="B35" s="6"/>
      <c r="C35" s="6"/>
      <c r="D35" s="6"/>
    </row>
    <row r="36" spans="1:4" ht="14.5" x14ac:dyDescent="0.35">
      <c r="A36" s="6"/>
      <c r="B36" s="6"/>
      <c r="C36" s="6"/>
      <c r="D36" s="6"/>
    </row>
    <row r="37" spans="1:4" ht="14.5" x14ac:dyDescent="0.35">
      <c r="A37" s="6"/>
      <c r="B37" s="6"/>
      <c r="C37" s="6"/>
      <c r="D37" s="6"/>
    </row>
    <row r="38" spans="1:4" ht="14.5" x14ac:dyDescent="0.35">
      <c r="A38" s="6"/>
      <c r="B38" s="6"/>
      <c r="C38" s="6"/>
      <c r="D38" s="6"/>
    </row>
    <row r="39" spans="1:4" ht="14.5" x14ac:dyDescent="0.35">
      <c r="A39" s="6"/>
      <c r="B39" s="6"/>
      <c r="C39" s="6"/>
      <c r="D39" s="6"/>
    </row>
    <row r="40" spans="1:4" ht="14.5" x14ac:dyDescent="0.35">
      <c r="A40" s="6"/>
      <c r="B40" s="6"/>
      <c r="C40" s="6"/>
      <c r="D40" s="6"/>
    </row>
    <row r="41" spans="1:4" ht="14.5" x14ac:dyDescent="0.35">
      <c r="A41" s="6"/>
      <c r="B41" s="6"/>
      <c r="C41" s="6"/>
      <c r="D41" s="6"/>
    </row>
    <row r="42" spans="1:4" ht="14.5" x14ac:dyDescent="0.35">
      <c r="A42" s="6"/>
      <c r="B42" s="6"/>
      <c r="C42" s="6"/>
      <c r="D42" s="6"/>
    </row>
    <row r="43" spans="1:4" ht="14.5" x14ac:dyDescent="0.35">
      <c r="A43" s="6"/>
      <c r="B43" s="6"/>
      <c r="C43" s="6"/>
      <c r="D43" s="6"/>
    </row>
    <row r="44" spans="1:4" ht="14.5" x14ac:dyDescent="0.35">
      <c r="A44" s="6"/>
      <c r="B44" s="6"/>
      <c r="C44" s="6"/>
      <c r="D44" s="6"/>
    </row>
    <row r="45" spans="1:4" ht="14.5" x14ac:dyDescent="0.35">
      <c r="A45" s="6"/>
      <c r="B45" s="6"/>
      <c r="C45" s="6"/>
      <c r="D45" s="6"/>
    </row>
    <row r="46" spans="1:4" ht="14.5" x14ac:dyDescent="0.35">
      <c r="A46" s="6"/>
      <c r="B46" s="6"/>
      <c r="C46" s="6"/>
      <c r="D46" s="6"/>
    </row>
    <row r="47" spans="1:4" ht="14.5" x14ac:dyDescent="0.35">
      <c r="A47" s="6"/>
      <c r="B47" s="6"/>
      <c r="C47" s="6"/>
      <c r="D47" s="6"/>
    </row>
    <row r="48" spans="1:4" ht="14.5" x14ac:dyDescent="0.35">
      <c r="A48" s="6"/>
      <c r="B48" s="6"/>
      <c r="C48" s="6"/>
      <c r="D48" s="6"/>
    </row>
    <row r="49" spans="1:4" ht="14.5" x14ac:dyDescent="0.35">
      <c r="A49" s="6"/>
      <c r="B49" s="6"/>
      <c r="C49" s="6"/>
      <c r="D49" s="6"/>
    </row>
    <row r="50" spans="1:4" ht="14.5" x14ac:dyDescent="0.35">
      <c r="A50" s="6"/>
      <c r="B50" s="6"/>
      <c r="C50" s="6"/>
      <c r="D50" s="6"/>
    </row>
    <row r="51" spans="1:4" ht="14.5" x14ac:dyDescent="0.35">
      <c r="A51" s="6"/>
      <c r="B51" s="6"/>
      <c r="C51" s="6"/>
      <c r="D51" s="6"/>
    </row>
  </sheetData>
  <conditionalFormatting sqref="A2:D51">
    <cfRule type="expression" dxfId="8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1BAF7A"/>
  </sheetPr>
  <dimension ref="A1:H91"/>
  <sheetViews>
    <sheetView showGridLines="0" zoomScale="115" workbookViewId="0"/>
  </sheetViews>
  <sheetFormatPr defaultRowHeight="19" customHeight="1" x14ac:dyDescent="0.35"/>
  <cols>
    <col min="1" max="1" width="110" customWidth="1"/>
  </cols>
  <sheetData>
    <row r="1" spans="1:8" ht="29" x14ac:dyDescent="0.75">
      <c r="A1" s="43" t="s">
        <v>95</v>
      </c>
    </row>
    <row r="3" spans="1:8" ht="25" x14ac:dyDescent="0.7">
      <c r="A3" s="74" t="s">
        <v>96</v>
      </c>
      <c r="B3" s="54"/>
      <c r="C3" s="54"/>
      <c r="D3" s="54"/>
      <c r="E3" s="54"/>
      <c r="F3" s="54"/>
      <c r="G3" s="54"/>
      <c r="H3" s="54"/>
    </row>
    <row r="4" spans="1:8" ht="45" customHeight="1" x14ac:dyDescent="0.35">
      <c r="A4" s="75" t="s">
        <v>97</v>
      </c>
      <c r="B4" s="54"/>
      <c r="C4" s="54"/>
      <c r="D4" s="54"/>
      <c r="E4" s="54"/>
      <c r="F4" s="54"/>
      <c r="G4" s="54"/>
      <c r="H4" s="54"/>
    </row>
    <row r="6" spans="1:8" ht="25" x14ac:dyDescent="0.7">
      <c r="A6" s="44" t="s">
        <v>98</v>
      </c>
    </row>
    <row r="7" spans="1:8" ht="17" x14ac:dyDescent="0.5">
      <c r="A7" s="45" t="s">
        <v>99</v>
      </c>
    </row>
    <row r="8" spans="1:8" ht="17" x14ac:dyDescent="0.5">
      <c r="A8" s="45" t="s">
        <v>100</v>
      </c>
    </row>
    <row r="9" spans="1:8" ht="17" x14ac:dyDescent="0.5">
      <c r="A9" s="45" t="s">
        <v>101</v>
      </c>
    </row>
    <row r="10" spans="1:8" ht="17" x14ac:dyDescent="0.5">
      <c r="A10" s="45" t="s">
        <v>102</v>
      </c>
    </row>
    <row r="11" spans="1:8" ht="17" x14ac:dyDescent="0.5">
      <c r="A11" s="45" t="s">
        <v>103</v>
      </c>
    </row>
    <row r="12" spans="1:8" ht="17" x14ac:dyDescent="0.5">
      <c r="A12" s="45" t="s">
        <v>104</v>
      </c>
    </row>
    <row r="13" spans="1:8" ht="17" x14ac:dyDescent="0.5">
      <c r="A13" s="45" t="s">
        <v>105</v>
      </c>
    </row>
    <row r="14" spans="1:8" ht="17" x14ac:dyDescent="0.5">
      <c r="A14" s="45" t="s">
        <v>106</v>
      </c>
    </row>
    <row r="15" spans="1:8" ht="17" x14ac:dyDescent="0.5">
      <c r="A15" s="45" t="s">
        <v>107</v>
      </c>
    </row>
    <row r="16" spans="1:8" ht="17" x14ac:dyDescent="0.5">
      <c r="A16" s="45" t="s">
        <v>108</v>
      </c>
    </row>
    <row r="17" spans="1:8" ht="17" x14ac:dyDescent="0.5">
      <c r="A17" s="45" t="s">
        <v>109</v>
      </c>
    </row>
    <row r="20" spans="1:8" ht="25" x14ac:dyDescent="0.7">
      <c r="A20" s="74" t="s">
        <v>99</v>
      </c>
      <c r="B20" s="54"/>
      <c r="C20" s="54"/>
      <c r="D20" s="54"/>
      <c r="E20" s="54"/>
      <c r="F20" s="54"/>
      <c r="G20" s="54"/>
      <c r="H20" s="54"/>
    </row>
    <row r="21" spans="1:8" ht="17" x14ac:dyDescent="0.5">
      <c r="A21" s="73" t="s">
        <v>110</v>
      </c>
      <c r="B21" s="54"/>
      <c r="C21" s="54"/>
      <c r="D21" s="54"/>
      <c r="E21" s="54"/>
      <c r="F21" s="54"/>
      <c r="G21" s="54"/>
      <c r="H21" s="54"/>
    </row>
    <row r="22" spans="1:8" ht="17" x14ac:dyDescent="0.5">
      <c r="A22" s="72" t="s">
        <v>111</v>
      </c>
      <c r="B22" s="54"/>
      <c r="C22" s="54"/>
      <c r="D22" s="54"/>
      <c r="E22" s="54"/>
      <c r="F22" s="54"/>
      <c r="G22" s="54"/>
      <c r="H22" s="54"/>
    </row>
    <row r="23" spans="1:8" ht="17" x14ac:dyDescent="0.5">
      <c r="A23" s="72" t="s">
        <v>112</v>
      </c>
      <c r="B23" s="54"/>
      <c r="C23" s="54"/>
      <c r="D23" s="54"/>
      <c r="E23" s="54"/>
      <c r="F23" s="54"/>
      <c r="G23" s="54"/>
      <c r="H23" s="54"/>
    </row>
    <row r="24" spans="1:8" ht="17" x14ac:dyDescent="0.5">
      <c r="A24" s="72" t="s">
        <v>113</v>
      </c>
      <c r="B24" s="54"/>
      <c r="C24" s="54"/>
      <c r="D24" s="54"/>
      <c r="E24" s="54"/>
      <c r="F24" s="54"/>
      <c r="G24" s="54"/>
      <c r="H24" s="54"/>
    </row>
    <row r="26" spans="1:8" ht="25" x14ac:dyDescent="0.7">
      <c r="A26" s="74" t="s">
        <v>100</v>
      </c>
      <c r="B26" s="54"/>
      <c r="C26" s="54"/>
      <c r="D26" s="54"/>
      <c r="E26" s="54"/>
      <c r="F26" s="54"/>
      <c r="G26" s="54"/>
      <c r="H26" s="54"/>
    </row>
    <row r="27" spans="1:8" ht="17" x14ac:dyDescent="0.5">
      <c r="A27" s="73" t="s">
        <v>114</v>
      </c>
      <c r="B27" s="54"/>
      <c r="C27" s="54"/>
      <c r="D27" s="54"/>
      <c r="E27" s="54"/>
      <c r="F27" s="54"/>
      <c r="G27" s="54"/>
      <c r="H27" s="54"/>
    </row>
    <row r="28" spans="1:8" ht="17" x14ac:dyDescent="0.5">
      <c r="A28" s="72" t="s">
        <v>115</v>
      </c>
      <c r="B28" s="54"/>
      <c r="C28" s="54"/>
      <c r="D28" s="54"/>
      <c r="E28" s="54"/>
      <c r="F28" s="54"/>
      <c r="G28" s="54"/>
      <c r="H28" s="54"/>
    </row>
    <row r="29" spans="1:8" ht="17" x14ac:dyDescent="0.5">
      <c r="A29" s="72" t="s">
        <v>116</v>
      </c>
      <c r="B29" s="54"/>
      <c r="C29" s="54"/>
      <c r="D29" s="54"/>
      <c r="E29" s="54"/>
      <c r="F29" s="54"/>
      <c r="G29" s="54"/>
      <c r="H29" s="54"/>
    </row>
    <row r="30" spans="1:8" ht="17" x14ac:dyDescent="0.5">
      <c r="A30" s="72" t="s">
        <v>117</v>
      </c>
      <c r="B30" s="54"/>
      <c r="C30" s="54"/>
      <c r="D30" s="54"/>
      <c r="E30" s="54"/>
      <c r="F30" s="54"/>
      <c r="G30" s="54"/>
      <c r="H30" s="54"/>
    </row>
    <row r="31" spans="1:8" ht="17" x14ac:dyDescent="0.5">
      <c r="A31" s="72" t="s">
        <v>118</v>
      </c>
      <c r="B31" s="54"/>
      <c r="C31" s="54"/>
      <c r="D31" s="54"/>
      <c r="E31" s="54"/>
      <c r="F31" s="54"/>
      <c r="G31" s="54"/>
      <c r="H31" s="54"/>
    </row>
    <row r="32" spans="1:8" ht="17" x14ac:dyDescent="0.5">
      <c r="A32" s="72" t="s">
        <v>119</v>
      </c>
      <c r="B32" s="54"/>
      <c r="C32" s="54"/>
      <c r="D32" s="54"/>
      <c r="E32" s="54"/>
      <c r="F32" s="54"/>
      <c r="G32" s="54"/>
      <c r="H32" s="54"/>
    </row>
    <row r="33" spans="1:8" ht="17" x14ac:dyDescent="0.5">
      <c r="A33" s="72" t="s">
        <v>120</v>
      </c>
      <c r="B33" s="54"/>
      <c r="C33" s="54"/>
      <c r="D33" s="54"/>
      <c r="E33" s="54"/>
      <c r="F33" s="54"/>
      <c r="G33" s="54"/>
      <c r="H33" s="54"/>
    </row>
    <row r="34" spans="1:8" ht="17" x14ac:dyDescent="0.5">
      <c r="A34" s="72" t="s">
        <v>121</v>
      </c>
      <c r="B34" s="54"/>
      <c r="C34" s="54"/>
      <c r="D34" s="54"/>
      <c r="E34" s="54"/>
      <c r="F34" s="54"/>
      <c r="G34" s="54"/>
      <c r="H34" s="54"/>
    </row>
    <row r="35" spans="1:8" ht="17" x14ac:dyDescent="0.5">
      <c r="A35" s="72" t="s">
        <v>122</v>
      </c>
      <c r="B35" s="54"/>
      <c r="C35" s="54"/>
      <c r="D35" s="54"/>
      <c r="E35" s="54"/>
      <c r="F35" s="54"/>
      <c r="G35" s="54"/>
      <c r="H35" s="54"/>
    </row>
    <row r="37" spans="1:8" ht="25" x14ac:dyDescent="0.7">
      <c r="A37" s="74" t="s">
        <v>101</v>
      </c>
      <c r="B37" s="54"/>
      <c r="C37" s="54"/>
      <c r="D37" s="54"/>
      <c r="E37" s="54"/>
      <c r="F37" s="54"/>
      <c r="G37" s="54"/>
      <c r="H37" s="54"/>
    </row>
    <row r="38" spans="1:8" ht="17" x14ac:dyDescent="0.5">
      <c r="A38" s="73" t="s">
        <v>123</v>
      </c>
      <c r="B38" s="54"/>
      <c r="C38" s="54"/>
      <c r="D38" s="54"/>
      <c r="E38" s="54"/>
      <c r="F38" s="54"/>
      <c r="G38" s="54"/>
      <c r="H38" s="54"/>
    </row>
    <row r="39" spans="1:8" ht="17" x14ac:dyDescent="0.5">
      <c r="A39" s="72" t="s">
        <v>124</v>
      </c>
      <c r="B39" s="54"/>
      <c r="C39" s="54"/>
      <c r="D39" s="54"/>
      <c r="E39" s="54"/>
      <c r="F39" s="54"/>
      <c r="G39" s="54"/>
      <c r="H39" s="54"/>
    </row>
    <row r="40" spans="1:8" ht="17" x14ac:dyDescent="0.5">
      <c r="A40" s="72" t="s">
        <v>125</v>
      </c>
      <c r="B40" s="54"/>
      <c r="C40" s="54"/>
      <c r="D40" s="54"/>
      <c r="E40" s="54"/>
      <c r="F40" s="54"/>
      <c r="G40" s="54"/>
      <c r="H40" s="54"/>
    </row>
    <row r="41" spans="1:8" ht="17" x14ac:dyDescent="0.5">
      <c r="A41" s="72" t="s">
        <v>126</v>
      </c>
      <c r="B41" s="54"/>
      <c r="C41" s="54"/>
      <c r="D41" s="54"/>
      <c r="E41" s="54"/>
      <c r="F41" s="54"/>
      <c r="G41" s="54"/>
      <c r="H41" s="54"/>
    </row>
    <row r="43" spans="1:8" ht="25" x14ac:dyDescent="0.7">
      <c r="A43" s="74" t="s">
        <v>102</v>
      </c>
      <c r="B43" s="54"/>
      <c r="C43" s="54"/>
      <c r="D43" s="54"/>
      <c r="E43" s="54"/>
      <c r="F43" s="54"/>
      <c r="G43" s="54"/>
      <c r="H43" s="54"/>
    </row>
    <row r="44" spans="1:8" ht="17" x14ac:dyDescent="0.5">
      <c r="A44" s="73" t="s">
        <v>127</v>
      </c>
      <c r="B44" s="54"/>
      <c r="C44" s="54"/>
      <c r="D44" s="54"/>
      <c r="E44" s="54"/>
      <c r="F44" s="54"/>
      <c r="G44" s="54"/>
      <c r="H44" s="54"/>
    </row>
    <row r="45" spans="1:8" ht="17" x14ac:dyDescent="0.5">
      <c r="A45" s="72" t="s">
        <v>128</v>
      </c>
      <c r="B45" s="54"/>
      <c r="C45" s="54"/>
      <c r="D45" s="54"/>
      <c r="E45" s="54"/>
      <c r="F45" s="54"/>
      <c r="G45" s="54"/>
      <c r="H45" s="54"/>
    </row>
    <row r="46" spans="1:8" ht="17" x14ac:dyDescent="0.5">
      <c r="A46" s="72" t="s">
        <v>129</v>
      </c>
      <c r="B46" s="54"/>
      <c r="C46" s="54"/>
      <c r="D46" s="54"/>
      <c r="E46" s="54"/>
      <c r="F46" s="54"/>
      <c r="G46" s="54"/>
      <c r="H46" s="54"/>
    </row>
    <row r="47" spans="1:8" ht="17" x14ac:dyDescent="0.5">
      <c r="A47" s="72" t="s">
        <v>130</v>
      </c>
      <c r="B47" s="54"/>
      <c r="C47" s="54"/>
      <c r="D47" s="54"/>
      <c r="E47" s="54"/>
      <c r="F47" s="54"/>
      <c r="G47" s="54"/>
      <c r="H47" s="54"/>
    </row>
    <row r="49" spans="1:8" ht="25" x14ac:dyDescent="0.7">
      <c r="A49" s="74" t="s">
        <v>103</v>
      </c>
      <c r="B49" s="54"/>
      <c r="C49" s="54"/>
      <c r="D49" s="54"/>
      <c r="E49" s="54"/>
      <c r="F49" s="54"/>
      <c r="G49" s="54"/>
      <c r="H49" s="54"/>
    </row>
    <row r="50" spans="1:8" ht="17" x14ac:dyDescent="0.5">
      <c r="A50" s="73" t="s">
        <v>131</v>
      </c>
      <c r="B50" s="54"/>
      <c r="C50" s="54"/>
      <c r="D50" s="54"/>
      <c r="E50" s="54"/>
      <c r="F50" s="54"/>
      <c r="G50" s="54"/>
      <c r="H50" s="54"/>
    </row>
    <row r="51" spans="1:8" ht="17" x14ac:dyDescent="0.5">
      <c r="A51" s="72" t="s">
        <v>132</v>
      </c>
      <c r="B51" s="54"/>
      <c r="C51" s="54"/>
      <c r="D51" s="54"/>
      <c r="E51" s="54"/>
      <c r="F51" s="54"/>
      <c r="G51" s="54"/>
      <c r="H51" s="54"/>
    </row>
    <row r="52" spans="1:8" ht="17" x14ac:dyDescent="0.5">
      <c r="A52" s="72" t="s">
        <v>133</v>
      </c>
      <c r="B52" s="54"/>
      <c r="C52" s="54"/>
      <c r="D52" s="54"/>
      <c r="E52" s="54"/>
      <c r="F52" s="54"/>
      <c r="G52" s="54"/>
      <c r="H52" s="54"/>
    </row>
    <row r="53" spans="1:8" ht="17" x14ac:dyDescent="0.5">
      <c r="A53" s="72" t="s">
        <v>134</v>
      </c>
      <c r="B53" s="54"/>
      <c r="C53" s="54"/>
      <c r="D53" s="54"/>
      <c r="E53" s="54"/>
      <c r="F53" s="54"/>
      <c r="G53" s="54"/>
      <c r="H53" s="54"/>
    </row>
    <row r="54" spans="1:8" ht="17" x14ac:dyDescent="0.5">
      <c r="A54" s="72" t="s">
        <v>135</v>
      </c>
      <c r="B54" s="54"/>
      <c r="C54" s="54"/>
      <c r="D54" s="54"/>
      <c r="E54" s="54"/>
      <c r="F54" s="54"/>
      <c r="G54" s="54"/>
      <c r="H54" s="54"/>
    </row>
    <row r="55" spans="1:8" ht="17" x14ac:dyDescent="0.5">
      <c r="A55" s="72" t="s">
        <v>136</v>
      </c>
      <c r="B55" s="54"/>
      <c r="C55" s="54"/>
      <c r="D55" s="54"/>
      <c r="E55" s="54"/>
      <c r="F55" s="54"/>
      <c r="G55" s="54"/>
      <c r="H55" s="54"/>
    </row>
    <row r="56" spans="1:8" ht="17" x14ac:dyDescent="0.5">
      <c r="A56" s="72" t="s">
        <v>137</v>
      </c>
      <c r="B56" s="54"/>
      <c r="C56" s="54"/>
      <c r="D56" s="54"/>
      <c r="E56" s="54"/>
      <c r="F56" s="54"/>
      <c r="G56" s="54"/>
      <c r="H56" s="54"/>
    </row>
    <row r="58" spans="1:8" ht="25" x14ac:dyDescent="0.7">
      <c r="A58" s="74" t="s">
        <v>104</v>
      </c>
      <c r="B58" s="54"/>
      <c r="C58" s="54"/>
      <c r="D58" s="54"/>
      <c r="E58" s="54"/>
      <c r="F58" s="54"/>
      <c r="G58" s="54"/>
      <c r="H58" s="54"/>
    </row>
    <row r="59" spans="1:8" ht="17" x14ac:dyDescent="0.5">
      <c r="A59" s="73" t="s">
        <v>138</v>
      </c>
      <c r="B59" s="54"/>
      <c r="C59" s="54"/>
      <c r="D59" s="54"/>
      <c r="E59" s="54"/>
      <c r="F59" s="54"/>
      <c r="G59" s="54"/>
      <c r="H59" s="54"/>
    </row>
    <row r="60" spans="1:8" ht="17" x14ac:dyDescent="0.5">
      <c r="A60" s="72" t="s">
        <v>139</v>
      </c>
      <c r="B60" s="54"/>
      <c r="C60" s="54"/>
      <c r="D60" s="54"/>
      <c r="E60" s="54"/>
      <c r="F60" s="54"/>
      <c r="G60" s="54"/>
      <c r="H60" s="54"/>
    </row>
    <row r="61" spans="1:8" ht="17" x14ac:dyDescent="0.5">
      <c r="A61" s="72" t="s">
        <v>140</v>
      </c>
      <c r="B61" s="54"/>
      <c r="C61" s="54"/>
      <c r="D61" s="54"/>
      <c r="E61" s="54"/>
      <c r="F61" s="54"/>
      <c r="G61" s="54"/>
      <c r="H61" s="54"/>
    </row>
    <row r="63" spans="1:8" ht="25" x14ac:dyDescent="0.7">
      <c r="A63" s="74" t="s">
        <v>105</v>
      </c>
      <c r="B63" s="54"/>
      <c r="C63" s="54"/>
      <c r="D63" s="54"/>
      <c r="E63" s="54"/>
      <c r="F63" s="54"/>
      <c r="G63" s="54"/>
      <c r="H63" s="54"/>
    </row>
    <row r="64" spans="1:8" ht="17" x14ac:dyDescent="0.5">
      <c r="A64" s="73" t="s">
        <v>141</v>
      </c>
      <c r="B64" s="54"/>
      <c r="C64" s="54"/>
      <c r="D64" s="54"/>
      <c r="E64" s="54"/>
      <c r="F64" s="54"/>
      <c r="G64" s="54"/>
      <c r="H64" s="54"/>
    </row>
    <row r="65" spans="1:8" ht="17" x14ac:dyDescent="0.5">
      <c r="A65" s="72" t="s">
        <v>142</v>
      </c>
      <c r="B65" s="54"/>
      <c r="C65" s="54"/>
      <c r="D65" s="54"/>
      <c r="E65" s="54"/>
      <c r="F65" s="54"/>
      <c r="G65" s="54"/>
      <c r="H65" s="54"/>
    </row>
    <row r="66" spans="1:8" ht="17" x14ac:dyDescent="0.5">
      <c r="A66" s="72" t="s">
        <v>143</v>
      </c>
      <c r="B66" s="54"/>
      <c r="C66" s="54"/>
      <c r="D66" s="54"/>
      <c r="E66" s="54"/>
      <c r="F66" s="54"/>
      <c r="G66" s="54"/>
      <c r="H66" s="54"/>
    </row>
    <row r="67" spans="1:8" ht="17" x14ac:dyDescent="0.5">
      <c r="A67" s="72" t="s">
        <v>144</v>
      </c>
      <c r="B67" s="54"/>
      <c r="C67" s="54"/>
      <c r="D67" s="54"/>
      <c r="E67" s="54"/>
      <c r="F67" s="54"/>
      <c r="G67" s="54"/>
      <c r="H67" s="54"/>
    </row>
    <row r="69" spans="1:8" ht="25" x14ac:dyDescent="0.7">
      <c r="A69" s="74" t="s">
        <v>106</v>
      </c>
      <c r="B69" s="54"/>
      <c r="C69" s="54"/>
      <c r="D69" s="54"/>
      <c r="E69" s="54"/>
      <c r="F69" s="54"/>
      <c r="G69" s="54"/>
      <c r="H69" s="54"/>
    </row>
    <row r="70" spans="1:8" ht="17" x14ac:dyDescent="0.5">
      <c r="A70" s="73" t="s">
        <v>145</v>
      </c>
      <c r="B70" s="54"/>
      <c r="C70" s="54"/>
      <c r="D70" s="54"/>
      <c r="E70" s="54"/>
      <c r="F70" s="54"/>
      <c r="G70" s="54"/>
      <c r="H70" s="54"/>
    </row>
    <row r="71" spans="1:8" ht="17" x14ac:dyDescent="0.5">
      <c r="A71" s="72" t="s">
        <v>146</v>
      </c>
      <c r="B71" s="54"/>
      <c r="C71" s="54"/>
      <c r="D71" s="54"/>
      <c r="E71" s="54"/>
      <c r="F71" s="54"/>
      <c r="G71" s="54"/>
      <c r="H71" s="54"/>
    </row>
    <row r="72" spans="1:8" ht="17" x14ac:dyDescent="0.5">
      <c r="A72" s="72" t="s">
        <v>147</v>
      </c>
      <c r="B72" s="54"/>
      <c r="C72" s="54"/>
      <c r="D72" s="54"/>
      <c r="E72" s="54"/>
      <c r="F72" s="54"/>
      <c r="G72" s="54"/>
      <c r="H72" s="54"/>
    </row>
    <row r="73" spans="1:8" ht="17" x14ac:dyDescent="0.5">
      <c r="A73" s="72" t="s">
        <v>148</v>
      </c>
      <c r="B73" s="54"/>
      <c r="C73" s="54"/>
      <c r="D73" s="54"/>
      <c r="E73" s="54"/>
      <c r="F73" s="54"/>
      <c r="G73" s="54"/>
      <c r="H73" s="54"/>
    </row>
    <row r="74" spans="1:8" ht="17" x14ac:dyDescent="0.5">
      <c r="A74" s="72" t="s">
        <v>149</v>
      </c>
      <c r="B74" s="54"/>
      <c r="C74" s="54"/>
      <c r="D74" s="54"/>
      <c r="E74" s="54"/>
      <c r="F74" s="54"/>
      <c r="G74" s="54"/>
      <c r="H74" s="54"/>
    </row>
    <row r="76" spans="1:8" ht="25" x14ac:dyDescent="0.7">
      <c r="A76" s="74" t="s">
        <v>107</v>
      </c>
      <c r="B76" s="54"/>
      <c r="C76" s="54"/>
      <c r="D76" s="54"/>
      <c r="E76" s="54"/>
      <c r="F76" s="54"/>
      <c r="G76" s="54"/>
      <c r="H76" s="54"/>
    </row>
    <row r="77" spans="1:8" ht="17" x14ac:dyDescent="0.5">
      <c r="A77" s="73" t="s">
        <v>150</v>
      </c>
      <c r="B77" s="54"/>
      <c r="C77" s="54"/>
      <c r="D77" s="54"/>
      <c r="E77" s="54"/>
      <c r="F77" s="54"/>
      <c r="G77" s="54"/>
      <c r="H77" s="54"/>
    </row>
    <row r="78" spans="1:8" ht="17" x14ac:dyDescent="0.5">
      <c r="A78" s="72" t="s">
        <v>128</v>
      </c>
      <c r="B78" s="54"/>
      <c r="C78" s="54"/>
      <c r="D78" s="54"/>
      <c r="E78" s="54"/>
      <c r="F78" s="54"/>
      <c r="G78" s="54"/>
      <c r="H78" s="54"/>
    </row>
    <row r="79" spans="1:8" ht="17" x14ac:dyDescent="0.5">
      <c r="A79" s="72" t="s">
        <v>151</v>
      </c>
      <c r="B79" s="54"/>
      <c r="C79" s="54"/>
      <c r="D79" s="54"/>
      <c r="E79" s="54"/>
      <c r="F79" s="54"/>
      <c r="G79" s="54"/>
      <c r="H79" s="54"/>
    </row>
    <row r="80" spans="1:8" ht="17" x14ac:dyDescent="0.5">
      <c r="A80" s="72" t="s">
        <v>152</v>
      </c>
      <c r="B80" s="54"/>
      <c r="C80" s="54"/>
      <c r="D80" s="54"/>
      <c r="E80" s="54"/>
      <c r="F80" s="54"/>
      <c r="G80" s="54"/>
      <c r="H80" s="54"/>
    </row>
    <row r="81" spans="1:8" ht="17" x14ac:dyDescent="0.5">
      <c r="A81" s="72" t="s">
        <v>153</v>
      </c>
      <c r="B81" s="54"/>
      <c r="C81" s="54"/>
      <c r="D81" s="54"/>
      <c r="E81" s="54"/>
      <c r="F81" s="54"/>
      <c r="G81" s="54"/>
      <c r="H81" s="54"/>
    </row>
    <row r="83" spans="1:8" ht="25" x14ac:dyDescent="0.7">
      <c r="A83" s="74" t="s">
        <v>108</v>
      </c>
      <c r="B83" s="54"/>
      <c r="C83" s="54"/>
      <c r="D83" s="54"/>
      <c r="E83" s="54"/>
      <c r="F83" s="54"/>
      <c r="G83" s="54"/>
      <c r="H83" s="54"/>
    </row>
    <row r="84" spans="1:8" ht="17" x14ac:dyDescent="0.5">
      <c r="A84" s="73" t="s">
        <v>154</v>
      </c>
      <c r="B84" s="54"/>
      <c r="C84" s="54"/>
      <c r="D84" s="54"/>
      <c r="E84" s="54"/>
      <c r="F84" s="54"/>
      <c r="G84" s="54"/>
      <c r="H84" s="54"/>
    </row>
    <row r="85" spans="1:8" ht="17" x14ac:dyDescent="0.5">
      <c r="A85" s="72" t="s">
        <v>155</v>
      </c>
      <c r="B85" s="54"/>
      <c r="C85" s="54"/>
      <c r="D85" s="54"/>
      <c r="E85" s="54"/>
      <c r="F85" s="54"/>
      <c r="G85" s="54"/>
      <c r="H85" s="54"/>
    </row>
    <row r="86" spans="1:8" ht="17" x14ac:dyDescent="0.5">
      <c r="A86" s="72" t="s">
        <v>156</v>
      </c>
      <c r="B86" s="54"/>
      <c r="C86" s="54"/>
      <c r="D86" s="54"/>
      <c r="E86" s="54"/>
      <c r="F86" s="54"/>
      <c r="G86" s="54"/>
      <c r="H86" s="54"/>
    </row>
    <row r="87" spans="1:8" ht="17" x14ac:dyDescent="0.5">
      <c r="A87" s="72" t="s">
        <v>157</v>
      </c>
      <c r="B87" s="54"/>
      <c r="C87" s="54"/>
      <c r="D87" s="54"/>
      <c r="E87" s="54"/>
      <c r="F87" s="54"/>
      <c r="G87" s="54"/>
      <c r="H87" s="54"/>
    </row>
    <row r="89" spans="1:8" ht="25" x14ac:dyDescent="0.7">
      <c r="A89" s="74" t="s">
        <v>109</v>
      </c>
      <c r="B89" s="54"/>
      <c r="C89" s="54"/>
      <c r="D89" s="54"/>
      <c r="E89" s="54"/>
      <c r="F89" s="54"/>
      <c r="G89" s="54"/>
      <c r="H89" s="54"/>
    </row>
    <row r="90" spans="1:8" ht="17" x14ac:dyDescent="0.5">
      <c r="A90" s="73" t="s">
        <v>158</v>
      </c>
      <c r="B90" s="54"/>
      <c r="C90" s="54"/>
      <c r="D90" s="54"/>
      <c r="E90" s="54"/>
      <c r="F90" s="54"/>
      <c r="G90" s="54"/>
      <c r="H90" s="54"/>
    </row>
    <row r="91" spans="1:8" ht="17" x14ac:dyDescent="0.5">
      <c r="A91" s="72" t="s">
        <v>159</v>
      </c>
      <c r="B91" s="54"/>
      <c r="C91" s="54"/>
      <c r="D91" s="54"/>
      <c r="E91" s="54"/>
      <c r="F91" s="54"/>
      <c r="G91" s="54"/>
      <c r="H91" s="54"/>
    </row>
  </sheetData>
  <mergeCells count="64">
    <mergeCell ref="A91:H91"/>
    <mergeCell ref="A29:H29"/>
    <mergeCell ref="A35:H35"/>
    <mergeCell ref="A20:H20"/>
    <mergeCell ref="A38:H38"/>
    <mergeCell ref="A43:H43"/>
    <mergeCell ref="A63:H63"/>
    <mergeCell ref="A52:H52"/>
    <mergeCell ref="A72:H72"/>
    <mergeCell ref="A28:H28"/>
    <mergeCell ref="A81:H81"/>
    <mergeCell ref="A44:H44"/>
    <mergeCell ref="A31:H31"/>
    <mergeCell ref="A58:H58"/>
    <mergeCell ref="A34:H34"/>
    <mergeCell ref="A3:H3"/>
    <mergeCell ref="A21:H21"/>
    <mergeCell ref="A26:H26"/>
    <mergeCell ref="A55:H55"/>
    <mergeCell ref="A86:H86"/>
    <mergeCell ref="A71:H71"/>
    <mergeCell ref="A85:H85"/>
    <mergeCell ref="A76:H76"/>
    <mergeCell ref="A33:H33"/>
    <mergeCell ref="A47:H47"/>
    <mergeCell ref="A23:H23"/>
    <mergeCell ref="A32:H32"/>
    <mergeCell ref="A22:H22"/>
    <mergeCell ref="A40:H40"/>
    <mergeCell ref="A4:H4"/>
    <mergeCell ref="A53:H53"/>
    <mergeCell ref="A87:H87"/>
    <mergeCell ref="A65:H65"/>
    <mergeCell ref="A54:H54"/>
    <mergeCell ref="A41:H41"/>
    <mergeCell ref="A90:H90"/>
    <mergeCell ref="A66:H66"/>
    <mergeCell ref="A80:H80"/>
    <mergeCell ref="A46:H46"/>
    <mergeCell ref="A84:H84"/>
    <mergeCell ref="A89:H89"/>
    <mergeCell ref="A74:H74"/>
    <mergeCell ref="A50:H50"/>
    <mergeCell ref="A56:H56"/>
    <mergeCell ref="A24:H24"/>
    <mergeCell ref="A73:H73"/>
    <mergeCell ref="A51:H51"/>
    <mergeCell ref="A64:H64"/>
    <mergeCell ref="A60:H60"/>
    <mergeCell ref="A49:H49"/>
    <mergeCell ref="A45:H45"/>
    <mergeCell ref="A61:H61"/>
    <mergeCell ref="A70:H70"/>
    <mergeCell ref="A69:H69"/>
    <mergeCell ref="A37:H37"/>
    <mergeCell ref="A27:H27"/>
    <mergeCell ref="A67:H67"/>
    <mergeCell ref="A30:H30"/>
    <mergeCell ref="A39:H39"/>
    <mergeCell ref="A77:H77"/>
    <mergeCell ref="A83:H83"/>
    <mergeCell ref="A59:H59"/>
    <mergeCell ref="A79:H79"/>
    <mergeCell ref="A78:H78"/>
  </mergeCells>
  <hyperlinks>
    <hyperlink ref="A7" location="'Instructions'!A20" display="Dashboard" xr:uid="{00000000-0004-0000-0C00-000000000000}"/>
    <hyperlink ref="A8" location="'Instructions'!A26" display="Tasks" xr:uid="{00000000-0004-0000-0C00-000001000000}"/>
    <hyperlink ref="A9" location="'Instructions'!A37" display="Archive" xr:uid="{00000000-0004-0000-0C00-000002000000}"/>
    <hyperlink ref="A10" location="'Instructions'!A43" display="Calendar" xr:uid="{00000000-0004-0000-0C00-000003000000}"/>
    <hyperlink ref="A11" location="'Instructions'!A49" display="Campaigns" xr:uid="{00000000-0004-0000-0C00-000004000000}"/>
    <hyperlink ref="A12" location="'Instructions'!A58" display="Campaigns Archive" xr:uid="{00000000-0004-0000-0C00-000005000000}"/>
    <hyperlink ref="A13" location="'Instructions'!A63" display="Monthly Media Plan" xr:uid="{00000000-0004-0000-0C00-000006000000}"/>
    <hyperlink ref="A14" location="'Instructions'!A69" display="Recurring Tasks" xr:uid="{00000000-0004-0000-0C00-000007000000}"/>
    <hyperlink ref="A15" location="'Instructions'!A76" display="Schedule" xr:uid="{00000000-0004-0000-0C00-000008000000}"/>
    <hyperlink ref="A16" location="'Instructions'!A83" display="Login Information" xr:uid="{00000000-0004-0000-0C00-000009000000}"/>
    <hyperlink ref="A17" location="'Instructions'!A89" display="Quick Links" xr:uid="{00000000-0004-0000-0C00-00000A000000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1F4E79"/>
  </sheetPr>
  <dimension ref="A1:Q32"/>
  <sheetViews>
    <sheetView showGridLines="0" zoomScale="115" workbookViewId="0">
      <pane ySplit="5" topLeftCell="A6" activePane="bottomLeft" state="frozen"/>
      <selection pane="bottomLeft"/>
    </sheetView>
  </sheetViews>
  <sheetFormatPr defaultRowHeight="19" customHeight="1" x14ac:dyDescent="0.35"/>
  <cols>
    <col min="1" max="1" width="12" customWidth="1"/>
    <col min="2" max="2" width="26" customWidth="1"/>
    <col min="3" max="3" width="12" customWidth="1"/>
    <col min="4" max="4" width="12" hidden="1" customWidth="1"/>
    <col min="5" max="6" width="12" customWidth="1"/>
    <col min="7" max="7" width="13" customWidth="1"/>
    <col min="8" max="8" width="28" customWidth="1"/>
    <col min="9" max="9" width="14" customWidth="1"/>
    <col min="10" max="11" width="13" customWidth="1"/>
    <col min="12" max="12" width="11" customWidth="1"/>
    <col min="13" max="14" width="13" customWidth="1"/>
    <col min="16" max="17" width="13" customWidth="1"/>
  </cols>
  <sheetData>
    <row r="1" spans="1:17" ht="28" customHeight="1" x14ac:dyDescent="0.35">
      <c r="A1" s="77" t="s">
        <v>160</v>
      </c>
      <c r="B1" s="68"/>
      <c r="D1" s="77" t="s">
        <v>161</v>
      </c>
      <c r="E1" s="68"/>
      <c r="G1" s="77" t="s">
        <v>162</v>
      </c>
      <c r="H1" s="68"/>
      <c r="J1" s="77" t="s">
        <v>163</v>
      </c>
      <c r="K1" s="68"/>
      <c r="M1" s="77" t="s">
        <v>164</v>
      </c>
      <c r="N1" s="68"/>
      <c r="P1" s="77" t="s">
        <v>165</v>
      </c>
      <c r="Q1" s="68"/>
    </row>
    <row r="2" spans="1:17" ht="14.5" x14ac:dyDescent="0.35">
      <c r="A2" s="63">
        <f>COUNTA(Tasks!$A$2:$A$501)</f>
        <v>0</v>
      </c>
      <c r="B2" s="64"/>
      <c r="D2" s="63">
        <f>COUNTA(ArchiveTable[ID])</f>
        <v>0</v>
      </c>
      <c r="E2" s="64"/>
      <c r="G2" s="63" t="str">
        <f>TEXT(INT(ROUND((SUM(Tasks!$O$2:$O$501)+SUM(ArchiveTable[Time Spent (hrs)]))*60,0)/60),"0")&amp;"h "&amp;TEXT(MOD(ROUND((SUM(Tasks!$O$2:$O$501)+SUM(ArchiveTable[Time Spent (hrs)]))*60,0),60),"00")&amp;"m"</f>
        <v>0h 00m</v>
      </c>
      <c r="H2" s="64"/>
      <c r="J2" s="63">
        <f ca="1">COUNTIFS(Tasks!$M$2:$M$501,"&lt;0")</f>
        <v>0</v>
      </c>
      <c r="K2" s="64"/>
      <c r="M2" s="76" t="str">
        <f ca="1">IF(SUMPRODUCT(MIN(Campaigns!$AA$3:$AA$202+(Campaigns!$G$3:$G$202&lt;&gt;"Active")*9999999))&gt;=9000000,"—",SUMPRODUCT(MIN(Campaigns!$AA$3:$AA$202+(Campaigns!$G$3:$G$202&lt;&gt;"Active")*9999999)))</f>
        <v>—</v>
      </c>
      <c r="N2" s="64"/>
      <c r="P2" s="76" t="str">
        <f ca="1">IF(SUMPRODUCT(MIN(Campaigns!$AA$3:$AA$202+(Campaigns!$G$3:$G$202&lt;&gt;"Planned")*9999999))&gt;=9000000,"—",SUMPRODUCT(MIN(Campaigns!$AA$3:$AA$202+(Campaigns!$G$3:$G$202&lt;&gt;"Planned")*9999999)))</f>
        <v>—</v>
      </c>
      <c r="Q2" s="64"/>
    </row>
    <row r="3" spans="1:17" ht="14.5" x14ac:dyDescent="0.35">
      <c r="A3" s="65"/>
      <c r="B3" s="66"/>
      <c r="D3" s="65"/>
      <c r="E3" s="66"/>
      <c r="G3" s="65"/>
      <c r="H3" s="66"/>
      <c r="J3" s="65"/>
      <c r="K3" s="66"/>
      <c r="M3" s="65"/>
      <c r="N3" s="66"/>
      <c r="P3" s="65"/>
      <c r="Q3" s="66"/>
    </row>
    <row r="4" spans="1:17" ht="17" x14ac:dyDescent="0.35">
      <c r="A4" s="62" t="s">
        <v>166</v>
      </c>
      <c r="B4" s="56"/>
      <c r="C4" s="57"/>
    </row>
    <row r="5" spans="1:17" ht="10" customHeight="1" x14ac:dyDescent="0.35"/>
    <row r="6" spans="1:17" ht="25" x14ac:dyDescent="0.7">
      <c r="A6" s="46" t="s">
        <v>167</v>
      </c>
      <c r="B6" s="36"/>
      <c r="C6" s="36"/>
      <c r="D6" s="36"/>
      <c r="E6" s="36"/>
      <c r="F6" s="38"/>
      <c r="H6" s="46" t="s">
        <v>168</v>
      </c>
      <c r="I6" s="38"/>
    </row>
    <row r="7" spans="1:17" ht="32" customHeight="1" x14ac:dyDescent="0.35">
      <c r="A7" s="4" t="s">
        <v>3</v>
      </c>
      <c r="B7" s="4" t="s">
        <v>7</v>
      </c>
      <c r="C7" s="4" t="s">
        <v>169</v>
      </c>
      <c r="D7" s="4" t="s">
        <v>12</v>
      </c>
      <c r="E7" s="4" t="s">
        <v>13</v>
      </c>
      <c r="F7" s="4" t="s">
        <v>15</v>
      </c>
      <c r="H7" s="4" t="s">
        <v>170</v>
      </c>
      <c r="I7" s="4" t="s">
        <v>171</v>
      </c>
    </row>
    <row r="8" spans="1:17" ht="14.5" x14ac:dyDescent="0.35">
      <c r="A8" s="47" t="str">
        <f>IFERROR(INDEX(Tasks!$A$2:$A$501,MATCH(SMALL(Tasks!$W$2:$W$501,1),Tasks!$W$2:$W$501,0)),"")</f>
        <v/>
      </c>
      <c r="B8" s="48" t="str">
        <f>IFERROR(INDEX(Tasks!$E$2:$E$501,MATCH(SMALL(Tasks!$W$2:$W$501,1),Tasks!$W$2:$W$501,0)),"")</f>
        <v/>
      </c>
      <c r="C8" s="48" t="str">
        <f>IFERROR(INDEX(Tasks!$H$2:$H$501,MATCH(SMALL(Tasks!$W$2:$W$501,1),Tasks!$W$2:$W$501,0)),"")</f>
        <v/>
      </c>
      <c r="D8" s="48" t="str">
        <f>IFERROR(INDEX(Tasks!$J$2:$J$501,MATCH(SMALL(Tasks!$W$2:$W$501,1),Tasks!$W$2:$W$501,0)),"")</f>
        <v/>
      </c>
      <c r="E8" s="49" t="str">
        <f>IFERROR(INDEX(Tasks!$K$2:$K$501,MATCH(SMALL(Tasks!$W$2:$W$501,1),Tasks!$W$2:$W$501,0)),"")</f>
        <v/>
      </c>
      <c r="F8" s="50" t="str">
        <f>IFERROR(INDEX(Tasks!$M$2:$M$501,MATCH(SMALL(Tasks!$W$2:$W$501,1),Tasks!$W$2:$W$501,0)),"")</f>
        <v/>
      </c>
      <c r="H8" s="48" t="s">
        <v>172</v>
      </c>
      <c r="I8" s="47">
        <f ca="1">COUNTIFS(ArchiveTable[Completed At],"&gt;="&amp;TODAY(),ArchiveTable[Completed At],"&lt;"&amp;TODAY()+1)</f>
        <v>0</v>
      </c>
    </row>
    <row r="9" spans="1:17" ht="14.5" x14ac:dyDescent="0.35">
      <c r="A9" s="47" t="str">
        <f>IFERROR(INDEX(Tasks!$A$2:$A$501,MATCH(SMALL(Tasks!$W$2:$W$501,2),Tasks!$W$2:$W$501,0)),"")</f>
        <v/>
      </c>
      <c r="B9" s="48" t="str">
        <f>IFERROR(INDEX(Tasks!$E$2:$E$501,MATCH(SMALL(Tasks!$W$2:$W$501,2),Tasks!$W$2:$W$501,0)),"")</f>
        <v/>
      </c>
      <c r="C9" s="48" t="str">
        <f>IFERROR(INDEX(Tasks!$H$2:$H$501,MATCH(SMALL(Tasks!$W$2:$W$501,2),Tasks!$W$2:$W$501,0)),"")</f>
        <v/>
      </c>
      <c r="D9" s="48" t="str">
        <f>IFERROR(INDEX(Tasks!$J$2:$J$501,MATCH(SMALL(Tasks!$W$2:$W$501,2),Tasks!$W$2:$W$501,0)),"")</f>
        <v/>
      </c>
      <c r="E9" s="49" t="str">
        <f>IFERROR(INDEX(Tasks!$K$2:$K$501,MATCH(SMALL(Tasks!$W$2:$W$501,2),Tasks!$W$2:$W$501,0)),"")</f>
        <v/>
      </c>
      <c r="F9" s="50" t="str">
        <f>IFERROR(INDEX(Tasks!$M$2:$M$501,MATCH(SMALL(Tasks!$W$2:$W$501,2),Tasks!$W$2:$W$501,0)),"")</f>
        <v/>
      </c>
      <c r="H9" s="48" t="s">
        <v>173</v>
      </c>
      <c r="I9" s="47" t="str">
        <f ca="1">TEXT(INT(ROUND((SUMIFS('Time Log'!$C:$C,'Time Log'!$B:$B,TODAY()))*60,0)/60),"0")&amp;"h "&amp;TEXT(MOD(ROUND((SUMIFS('Time Log'!$C:$C,'Time Log'!$B:$B,TODAY()))*60,0),60),"00")&amp;"m"</f>
        <v>0h 00m</v>
      </c>
    </row>
    <row r="10" spans="1:17" ht="14.5" x14ac:dyDescent="0.35">
      <c r="A10" s="47" t="str">
        <f>IFERROR(INDEX(Tasks!$A$2:$A$501,MATCH(SMALL(Tasks!$W$2:$W$501,3),Tasks!$W$2:$W$501,0)),"")</f>
        <v/>
      </c>
      <c r="B10" s="48" t="str">
        <f>IFERROR(INDEX(Tasks!$E$2:$E$501,MATCH(SMALL(Tasks!$W$2:$W$501,3),Tasks!$W$2:$W$501,0)),"")</f>
        <v/>
      </c>
      <c r="C10" s="48" t="str">
        <f>IFERROR(INDEX(Tasks!$H$2:$H$501,MATCH(SMALL(Tasks!$W$2:$W$501,3),Tasks!$W$2:$W$501,0)),"")</f>
        <v/>
      </c>
      <c r="D10" s="48" t="str">
        <f>IFERROR(INDEX(Tasks!$J$2:$J$501,MATCH(SMALL(Tasks!$W$2:$W$501,3),Tasks!$W$2:$W$501,0)),"")</f>
        <v/>
      </c>
      <c r="E10" s="49" t="str">
        <f>IFERROR(INDEX(Tasks!$K$2:$K$501,MATCH(SMALL(Tasks!$W$2:$W$501,3),Tasks!$W$2:$W$501,0)),"")</f>
        <v/>
      </c>
      <c r="F10" s="50" t="str">
        <f>IFERROR(INDEX(Tasks!$M$2:$M$501,MATCH(SMALL(Tasks!$W$2:$W$501,3),Tasks!$W$2:$W$501,0)),"")</f>
        <v/>
      </c>
      <c r="H10" s="48" t="s">
        <v>174</v>
      </c>
      <c r="I10" s="47">
        <f ca="1">COUNTIFS(ArchiveTable[Completed At],"&gt;="&amp;(TODAY()-WEEKDAY(TODAY(),3)),ArchiveTable[Completed At],"&lt;"&amp;((TODAY()-WEEKDAY(TODAY(),3))+7))</f>
        <v>0</v>
      </c>
    </row>
    <row r="11" spans="1:17" ht="14.5" x14ac:dyDescent="0.35">
      <c r="A11" s="47" t="str">
        <f>IFERROR(INDEX(Tasks!$A$2:$A$501,MATCH(SMALL(Tasks!$W$2:$W$501,4),Tasks!$W$2:$W$501,0)),"")</f>
        <v/>
      </c>
      <c r="B11" s="48" t="str">
        <f>IFERROR(INDEX(Tasks!$E$2:$E$501,MATCH(SMALL(Tasks!$W$2:$W$501,4),Tasks!$W$2:$W$501,0)),"")</f>
        <v/>
      </c>
      <c r="C11" s="48" t="str">
        <f>IFERROR(INDEX(Tasks!$H$2:$H$501,MATCH(SMALL(Tasks!$W$2:$W$501,4),Tasks!$W$2:$W$501,0)),"")</f>
        <v/>
      </c>
      <c r="D11" s="48" t="str">
        <f>IFERROR(INDEX(Tasks!$J$2:$J$501,MATCH(SMALL(Tasks!$W$2:$W$501,4),Tasks!$W$2:$W$501,0)),"")</f>
        <v/>
      </c>
      <c r="E11" s="49" t="str">
        <f>IFERROR(INDEX(Tasks!$K$2:$K$501,MATCH(SMALL(Tasks!$W$2:$W$501,4),Tasks!$W$2:$W$501,0)),"")</f>
        <v/>
      </c>
      <c r="F11" s="50" t="str">
        <f>IFERROR(INDEX(Tasks!$M$2:$M$501,MATCH(SMALL(Tasks!$W$2:$W$501,4),Tasks!$W$2:$W$501,0)),"")</f>
        <v/>
      </c>
      <c r="H11" s="48" t="s">
        <v>175</v>
      </c>
      <c r="I11" s="47" t="str">
        <f ca="1">TEXT(INT(ROUND((SUMIFS('Time Log'!$C:$C,'Time Log'!$B:$B,"&gt;="&amp;(TODAY()-WEEKDAY(TODAY(),3)),'Time Log'!$B:$B,"&lt;"&amp;((TODAY()-WEEKDAY(TODAY(),3))+7)))*60,0)/60),"0")&amp;"h "&amp;TEXT(MOD(ROUND((SUMIFS('Time Log'!$C:$C,'Time Log'!$B:$B,"&gt;="&amp;(TODAY()-WEEKDAY(TODAY(),3)),'Time Log'!$B:$B,"&lt;"&amp;((TODAY()-WEEKDAY(TODAY(),3))+7)))*60,0),60),"00")&amp;"m"</f>
        <v>0h 00m</v>
      </c>
    </row>
    <row r="12" spans="1:17" ht="14.5" x14ac:dyDescent="0.35">
      <c r="A12" s="47" t="str">
        <f>IFERROR(INDEX(Tasks!$A$2:$A$501,MATCH(SMALL(Tasks!$W$2:$W$501,5),Tasks!$W$2:$W$501,0)),"")</f>
        <v/>
      </c>
      <c r="B12" s="48" t="str">
        <f>IFERROR(INDEX(Tasks!$E$2:$E$501,MATCH(SMALL(Tasks!$W$2:$W$501,5),Tasks!$W$2:$W$501,0)),"")</f>
        <v/>
      </c>
      <c r="C12" s="48" t="str">
        <f>IFERROR(INDEX(Tasks!$H$2:$H$501,MATCH(SMALL(Tasks!$W$2:$W$501,5),Tasks!$W$2:$W$501,0)),"")</f>
        <v/>
      </c>
      <c r="D12" s="48" t="str">
        <f>IFERROR(INDEX(Tasks!$J$2:$J$501,MATCH(SMALL(Tasks!$W$2:$W$501,5),Tasks!$W$2:$W$501,0)),"")</f>
        <v/>
      </c>
      <c r="E12" s="49" t="str">
        <f>IFERROR(INDEX(Tasks!$K$2:$K$501,MATCH(SMALL(Tasks!$W$2:$W$501,5),Tasks!$W$2:$W$501,0)),"")</f>
        <v/>
      </c>
      <c r="F12" s="50" t="str">
        <f>IFERROR(INDEX(Tasks!$M$2:$M$501,MATCH(SMALL(Tasks!$W$2:$W$501,5),Tasks!$W$2:$W$501,0)),"")</f>
        <v/>
      </c>
    </row>
    <row r="13" spans="1:17" ht="25" x14ac:dyDescent="0.7">
      <c r="H13" s="46" t="s">
        <v>176</v>
      </c>
      <c r="I13" s="36"/>
      <c r="J13" s="36"/>
      <c r="K13" s="36"/>
      <c r="L13" s="38"/>
    </row>
    <row r="14" spans="1:17" ht="32" customHeight="1" x14ac:dyDescent="0.7">
      <c r="A14" s="46" t="s">
        <v>177</v>
      </c>
      <c r="B14" s="36"/>
      <c r="C14" s="38"/>
      <c r="H14" s="4" t="s">
        <v>30</v>
      </c>
      <c r="I14" s="4" t="s">
        <v>6</v>
      </c>
      <c r="J14" s="4" t="s">
        <v>32</v>
      </c>
      <c r="K14" s="4" t="s">
        <v>15</v>
      </c>
      <c r="L14" s="4" t="s">
        <v>14</v>
      </c>
    </row>
    <row r="15" spans="1:17" ht="32" customHeight="1" x14ac:dyDescent="0.35">
      <c r="A15" s="4" t="s">
        <v>178</v>
      </c>
      <c r="B15" s="4" t="s">
        <v>179</v>
      </c>
      <c r="C15" s="4" t="s">
        <v>180</v>
      </c>
      <c r="D15" t="s">
        <v>181</v>
      </c>
      <c r="H15" s="48" t="str">
        <f ca="1">IFERROR(INDEX(Campaigns!$C$3:$C$202,MATCH(SMALL(Campaigns!$AB$3:$AB$202,1),Campaigns!$AB$3:$AB$202,0)),"")</f>
        <v/>
      </c>
      <c r="I15" s="49" t="str">
        <f ca="1">IFERROR(INDEX(Campaigns!$E$3:$E$202,MATCH(SMALL(Campaigns!$AB$3:$AB$202,1),Campaigns!$AB$3:$AB$202,0)),"")</f>
        <v/>
      </c>
      <c r="J15" s="49" t="str">
        <f ca="1">IFERROR(INDEX(Campaigns!$F$3:$F$202,MATCH(SMALL(Campaigns!$AB$3:$AB$202,1),Campaigns!$AB$3:$AB$202,0)),"")</f>
        <v/>
      </c>
      <c r="K15" s="50" t="str">
        <f ca="1">IFERROR(INDEX(Campaigns!$AA$3:$AA$202,MATCH(SMALL(Campaigns!$AB$3:$AB$202,1),Campaigns!$AB$3:$AB$202,0)),"")</f>
        <v/>
      </c>
      <c r="L15" s="48" t="str">
        <f ca="1">IFERROR(INDEX(Campaigns!$G$3:$G$202,MATCH(SMALL(Campaigns!$AB$3:$AB$202,1),Campaigns!$AB$3:$AB$202,0)),"")</f>
        <v/>
      </c>
    </row>
    <row r="16" spans="1:17" ht="14.5" x14ac:dyDescent="0.35">
      <c r="A16" s="48" t="s">
        <v>182</v>
      </c>
      <c r="B16" s="47">
        <f ca="1">COUNTIFS(ArchiveTable[Completed At],"&gt;="&amp;DATE(YEAR(TODAY()),1,1),ArchiveTable[Completed At],"&lt;"&amp;DATE(YEAR(TODAY()),2,1))</f>
        <v>0</v>
      </c>
      <c r="C16" s="47" t="str">
        <f ca="1">TEXT(INT(ROUND((SUMIFS(ArchiveTable[Time Spent (hrs)],ArchiveTable[Completed At],"&gt;="&amp;DATE(YEAR(TODAY()),1,1),ArchiveTable[Completed At],"&lt;"&amp;DATE(YEAR(TODAY()),2,1)))*60,0)/60),"0")&amp;"h "&amp;TEXT(MOD(ROUND((SUMIFS(ArchiveTable[Time Spent (hrs)],ArchiveTable[Completed At],"&gt;="&amp;DATE(YEAR(TODAY()),1,1),ArchiveTable[Completed At],"&lt;"&amp;DATE(YEAR(TODAY()),2,1)))*60,0),60),"00")&amp;"m"</f>
        <v>0h 00m</v>
      </c>
      <c r="D16" s="3">
        <f ca="1">SUMIFS(ArchiveTable[Time Spent (hrs)],ArchiveTable[Completed At],"&gt;="&amp;DATE(YEAR(TODAY()),1,1),ArchiveTable[Completed At],"&lt;"&amp;DATE(YEAR(TODAY()),2,1))</f>
        <v>0</v>
      </c>
      <c r="H16" s="48" t="str">
        <f ca="1">IFERROR(INDEX(Campaigns!$C$3:$C$202,MATCH(SMALL(Campaigns!$AB$3:$AB$202,2),Campaigns!$AB$3:$AB$202,0)),"")</f>
        <v/>
      </c>
      <c r="I16" s="49" t="str">
        <f ca="1">IFERROR(INDEX(Campaigns!$E$3:$E$202,MATCH(SMALL(Campaigns!$AB$3:$AB$202,2),Campaigns!$AB$3:$AB$202,0)),"")</f>
        <v/>
      </c>
      <c r="J16" s="49" t="str">
        <f ca="1">IFERROR(INDEX(Campaigns!$F$3:$F$202,MATCH(SMALL(Campaigns!$AB$3:$AB$202,2),Campaigns!$AB$3:$AB$202,0)),"")</f>
        <v/>
      </c>
      <c r="K16" s="50" t="str">
        <f ca="1">IFERROR(INDEX(Campaigns!$AA$3:$AA$202,MATCH(SMALL(Campaigns!$AB$3:$AB$202,2),Campaigns!$AB$3:$AB$202,0)),"")</f>
        <v/>
      </c>
      <c r="L16" s="48" t="str">
        <f ca="1">IFERROR(INDEX(Campaigns!$G$3:$G$202,MATCH(SMALL(Campaigns!$AB$3:$AB$202,2),Campaigns!$AB$3:$AB$202,0)),"")</f>
        <v/>
      </c>
    </row>
    <row r="17" spans="1:12" ht="14.5" x14ac:dyDescent="0.35">
      <c r="A17" s="48" t="s">
        <v>183</v>
      </c>
      <c r="B17" s="47">
        <f ca="1">COUNTIFS(ArchiveTable[Completed At],"&gt;="&amp;DATE(YEAR(TODAY()),2,1),ArchiveTable[Completed At],"&lt;"&amp;DATE(YEAR(TODAY()),3,1))</f>
        <v>0</v>
      </c>
      <c r="C17" s="47" t="str">
        <f ca="1">TEXT(INT(ROUND((SUMIFS(ArchiveTable[Time Spent (hrs)],ArchiveTable[Completed At],"&gt;="&amp;DATE(YEAR(TODAY()),2,1),ArchiveTable[Completed At],"&lt;"&amp;DATE(YEAR(TODAY()),3,1)))*60,0)/60),"0")&amp;"h "&amp;TEXT(MOD(ROUND((SUMIFS(ArchiveTable[Time Spent (hrs)],ArchiveTable[Completed At],"&gt;="&amp;DATE(YEAR(TODAY()),2,1),ArchiveTable[Completed At],"&lt;"&amp;DATE(YEAR(TODAY()),3,1)))*60,0),60),"00")&amp;"m"</f>
        <v>0h 00m</v>
      </c>
      <c r="D17" s="3">
        <f ca="1">SUMIFS(ArchiveTable[Time Spent (hrs)],ArchiveTable[Completed At],"&gt;="&amp;DATE(YEAR(TODAY()),2,1),ArchiveTable[Completed At],"&lt;"&amp;DATE(YEAR(TODAY()),3,1))</f>
        <v>0</v>
      </c>
      <c r="H17" s="48" t="str">
        <f ca="1">IFERROR(INDEX(Campaigns!$C$3:$C$202,MATCH(SMALL(Campaigns!$AB$3:$AB$202,3),Campaigns!$AB$3:$AB$202,0)),"")</f>
        <v/>
      </c>
      <c r="I17" s="49" t="str">
        <f ca="1">IFERROR(INDEX(Campaigns!$E$3:$E$202,MATCH(SMALL(Campaigns!$AB$3:$AB$202,3),Campaigns!$AB$3:$AB$202,0)),"")</f>
        <v/>
      </c>
      <c r="J17" s="49" t="str">
        <f ca="1">IFERROR(INDEX(Campaigns!$F$3:$F$202,MATCH(SMALL(Campaigns!$AB$3:$AB$202,3),Campaigns!$AB$3:$AB$202,0)),"")</f>
        <v/>
      </c>
      <c r="K17" s="50" t="str">
        <f ca="1">IFERROR(INDEX(Campaigns!$AA$3:$AA$202,MATCH(SMALL(Campaigns!$AB$3:$AB$202,3),Campaigns!$AB$3:$AB$202,0)),"")</f>
        <v/>
      </c>
      <c r="L17" s="48" t="str">
        <f ca="1">IFERROR(INDEX(Campaigns!$G$3:$G$202,MATCH(SMALL(Campaigns!$AB$3:$AB$202,3),Campaigns!$AB$3:$AB$202,0)),"")</f>
        <v/>
      </c>
    </row>
    <row r="18" spans="1:12" ht="14.5" x14ac:dyDescent="0.35">
      <c r="A18" s="48" t="s">
        <v>184</v>
      </c>
      <c r="B18" s="47">
        <f ca="1">COUNTIFS(ArchiveTable[Completed At],"&gt;="&amp;DATE(YEAR(TODAY()),3,1),ArchiveTable[Completed At],"&lt;"&amp;DATE(YEAR(TODAY()),4,1))</f>
        <v>0</v>
      </c>
      <c r="C18" s="47" t="str">
        <f ca="1">TEXT(INT(ROUND((SUMIFS(ArchiveTable[Time Spent (hrs)],ArchiveTable[Completed At],"&gt;="&amp;DATE(YEAR(TODAY()),3,1),ArchiveTable[Completed At],"&lt;"&amp;DATE(YEAR(TODAY()),4,1)))*60,0)/60),"0")&amp;"h "&amp;TEXT(MOD(ROUND((SUMIFS(ArchiveTable[Time Spent (hrs)],ArchiveTable[Completed At],"&gt;="&amp;DATE(YEAR(TODAY()),3,1),ArchiveTable[Completed At],"&lt;"&amp;DATE(YEAR(TODAY()),4,1)))*60,0),60),"00")&amp;"m"</f>
        <v>0h 00m</v>
      </c>
      <c r="D18" s="3">
        <f ca="1">SUMIFS(ArchiveTable[Time Spent (hrs)],ArchiveTable[Completed At],"&gt;="&amp;DATE(YEAR(TODAY()),3,1),ArchiveTable[Completed At],"&lt;"&amp;DATE(YEAR(TODAY()),4,1))</f>
        <v>0</v>
      </c>
      <c r="H18" s="48" t="str">
        <f ca="1">IFERROR(INDEX(Campaigns!$C$3:$C$202,MATCH(SMALL(Campaigns!$AB$3:$AB$202,4),Campaigns!$AB$3:$AB$202,0)),"")</f>
        <v/>
      </c>
      <c r="I18" s="49" t="str">
        <f ca="1">IFERROR(INDEX(Campaigns!$E$3:$E$202,MATCH(SMALL(Campaigns!$AB$3:$AB$202,4),Campaigns!$AB$3:$AB$202,0)),"")</f>
        <v/>
      </c>
      <c r="J18" s="49" t="str">
        <f ca="1">IFERROR(INDEX(Campaigns!$F$3:$F$202,MATCH(SMALL(Campaigns!$AB$3:$AB$202,4),Campaigns!$AB$3:$AB$202,0)),"")</f>
        <v/>
      </c>
      <c r="K18" s="50" t="str">
        <f ca="1">IFERROR(INDEX(Campaigns!$AA$3:$AA$202,MATCH(SMALL(Campaigns!$AB$3:$AB$202,4),Campaigns!$AB$3:$AB$202,0)),"")</f>
        <v/>
      </c>
      <c r="L18" s="48" t="str">
        <f ca="1">IFERROR(INDEX(Campaigns!$G$3:$G$202,MATCH(SMALL(Campaigns!$AB$3:$AB$202,4),Campaigns!$AB$3:$AB$202,0)),"")</f>
        <v/>
      </c>
    </row>
    <row r="19" spans="1:12" ht="14.5" x14ac:dyDescent="0.35">
      <c r="A19" s="48" t="s">
        <v>185</v>
      </c>
      <c r="B19" s="47">
        <f ca="1">COUNTIFS(ArchiveTable[Completed At],"&gt;="&amp;DATE(YEAR(TODAY()),4,1),ArchiveTable[Completed At],"&lt;"&amp;DATE(YEAR(TODAY()),5,1))</f>
        <v>0</v>
      </c>
      <c r="C19" s="47" t="str">
        <f ca="1">TEXT(INT(ROUND((SUMIFS(ArchiveTable[Time Spent (hrs)],ArchiveTable[Completed At],"&gt;="&amp;DATE(YEAR(TODAY()),4,1),ArchiveTable[Completed At],"&lt;"&amp;DATE(YEAR(TODAY()),5,1)))*60,0)/60),"0")&amp;"h "&amp;TEXT(MOD(ROUND((SUMIFS(ArchiveTable[Time Spent (hrs)],ArchiveTable[Completed At],"&gt;="&amp;DATE(YEAR(TODAY()),4,1),ArchiveTable[Completed At],"&lt;"&amp;DATE(YEAR(TODAY()),5,1)))*60,0),60),"00")&amp;"m"</f>
        <v>0h 00m</v>
      </c>
      <c r="D19" s="3">
        <f ca="1">SUMIFS(ArchiveTable[Time Spent (hrs)],ArchiveTable[Completed At],"&gt;="&amp;DATE(YEAR(TODAY()),4,1),ArchiveTable[Completed At],"&lt;"&amp;DATE(YEAR(TODAY()),5,1))</f>
        <v>0</v>
      </c>
      <c r="H19" s="48" t="str">
        <f ca="1">IFERROR(INDEX(Campaigns!$C$3:$C$202,MATCH(SMALL(Campaigns!$AB$3:$AB$202,5),Campaigns!$AB$3:$AB$202,0)),"")</f>
        <v/>
      </c>
      <c r="I19" s="49" t="str">
        <f ca="1">IFERROR(INDEX(Campaigns!$E$3:$E$202,MATCH(SMALL(Campaigns!$AB$3:$AB$202,5),Campaigns!$AB$3:$AB$202,0)),"")</f>
        <v/>
      </c>
      <c r="J19" s="49" t="str">
        <f ca="1">IFERROR(INDEX(Campaigns!$F$3:$F$202,MATCH(SMALL(Campaigns!$AB$3:$AB$202,5),Campaigns!$AB$3:$AB$202,0)),"")</f>
        <v/>
      </c>
      <c r="K19" s="50" t="str">
        <f ca="1">IFERROR(INDEX(Campaigns!$AA$3:$AA$202,MATCH(SMALL(Campaigns!$AB$3:$AB$202,5),Campaigns!$AB$3:$AB$202,0)),"")</f>
        <v/>
      </c>
      <c r="L19" s="48" t="str">
        <f ca="1">IFERROR(INDEX(Campaigns!$G$3:$G$202,MATCH(SMALL(Campaigns!$AB$3:$AB$202,5),Campaigns!$AB$3:$AB$202,0)),"")</f>
        <v/>
      </c>
    </row>
    <row r="20" spans="1:12" ht="14.5" x14ac:dyDescent="0.35">
      <c r="A20" s="48" t="s">
        <v>186</v>
      </c>
      <c r="B20" s="47">
        <f ca="1">COUNTIFS(ArchiveTable[Completed At],"&gt;="&amp;DATE(YEAR(TODAY()),5,1),ArchiveTable[Completed At],"&lt;"&amp;DATE(YEAR(TODAY()),6,1))</f>
        <v>0</v>
      </c>
      <c r="C20" s="47" t="str">
        <f ca="1">TEXT(INT(ROUND((SUMIFS(ArchiveTable[Time Spent (hrs)],ArchiveTable[Completed At],"&gt;="&amp;DATE(YEAR(TODAY()),5,1),ArchiveTable[Completed At],"&lt;"&amp;DATE(YEAR(TODAY()),6,1)))*60,0)/60),"0")&amp;"h "&amp;TEXT(MOD(ROUND((SUMIFS(ArchiveTable[Time Spent (hrs)],ArchiveTable[Completed At],"&gt;="&amp;DATE(YEAR(TODAY()),5,1),ArchiveTable[Completed At],"&lt;"&amp;DATE(YEAR(TODAY()),6,1)))*60,0),60),"00")&amp;"m"</f>
        <v>0h 00m</v>
      </c>
      <c r="D20" s="3">
        <f ca="1">SUMIFS(ArchiveTable[Time Spent (hrs)],ArchiveTable[Completed At],"&gt;="&amp;DATE(YEAR(TODAY()),5,1),ArchiveTable[Completed At],"&lt;"&amp;DATE(YEAR(TODAY()),6,1))</f>
        <v>0</v>
      </c>
      <c r="H20" s="48" t="str">
        <f ca="1">IFERROR(INDEX(Campaigns!$C$3:$C$202,MATCH(SMALL(Campaigns!$AB$3:$AB$202,6),Campaigns!$AB$3:$AB$202,0)),"")</f>
        <v/>
      </c>
      <c r="I20" s="49" t="str">
        <f ca="1">IFERROR(INDEX(Campaigns!$E$3:$E$202,MATCH(SMALL(Campaigns!$AB$3:$AB$202,6),Campaigns!$AB$3:$AB$202,0)),"")</f>
        <v/>
      </c>
      <c r="J20" s="49" t="str">
        <f ca="1">IFERROR(INDEX(Campaigns!$F$3:$F$202,MATCH(SMALL(Campaigns!$AB$3:$AB$202,6),Campaigns!$AB$3:$AB$202,0)),"")</f>
        <v/>
      </c>
      <c r="K20" s="50" t="str">
        <f ca="1">IFERROR(INDEX(Campaigns!$AA$3:$AA$202,MATCH(SMALL(Campaigns!$AB$3:$AB$202,6),Campaigns!$AB$3:$AB$202,0)),"")</f>
        <v/>
      </c>
      <c r="L20" s="48" t="str">
        <f ca="1">IFERROR(INDEX(Campaigns!$G$3:$G$202,MATCH(SMALL(Campaigns!$AB$3:$AB$202,6),Campaigns!$AB$3:$AB$202,0)),"")</f>
        <v/>
      </c>
    </row>
    <row r="21" spans="1:12" ht="14.5" x14ac:dyDescent="0.35">
      <c r="A21" s="48" t="s">
        <v>187</v>
      </c>
      <c r="B21" s="47">
        <f ca="1">COUNTIFS(ArchiveTable[Completed At],"&gt;="&amp;DATE(YEAR(TODAY()),6,1),ArchiveTable[Completed At],"&lt;"&amp;DATE(YEAR(TODAY()),7,1))</f>
        <v>0</v>
      </c>
      <c r="C21" s="47" t="str">
        <f ca="1">TEXT(INT(ROUND((SUMIFS(ArchiveTable[Time Spent (hrs)],ArchiveTable[Completed At],"&gt;="&amp;DATE(YEAR(TODAY()),6,1),ArchiveTable[Completed At],"&lt;"&amp;DATE(YEAR(TODAY()),7,1)))*60,0)/60),"0")&amp;"h "&amp;TEXT(MOD(ROUND((SUMIFS(ArchiveTable[Time Spent (hrs)],ArchiveTable[Completed At],"&gt;="&amp;DATE(YEAR(TODAY()),6,1),ArchiveTable[Completed At],"&lt;"&amp;DATE(YEAR(TODAY()),7,1)))*60,0),60),"00")&amp;"m"</f>
        <v>0h 00m</v>
      </c>
      <c r="D21" s="3">
        <f ca="1">SUMIFS(ArchiveTable[Time Spent (hrs)],ArchiveTable[Completed At],"&gt;="&amp;DATE(YEAR(TODAY()),6,1),ArchiveTable[Completed At],"&lt;"&amp;DATE(YEAR(TODAY()),7,1))</f>
        <v>0</v>
      </c>
      <c r="H21" s="48" t="str">
        <f ca="1">IFERROR(INDEX(Campaigns!$C$3:$C$202,MATCH(SMALL(Campaigns!$AB$3:$AB$202,7),Campaigns!$AB$3:$AB$202,0)),"")</f>
        <v/>
      </c>
      <c r="I21" s="49" t="str">
        <f ca="1">IFERROR(INDEX(Campaigns!$E$3:$E$202,MATCH(SMALL(Campaigns!$AB$3:$AB$202,7),Campaigns!$AB$3:$AB$202,0)),"")</f>
        <v/>
      </c>
      <c r="J21" s="49" t="str">
        <f ca="1">IFERROR(INDEX(Campaigns!$F$3:$F$202,MATCH(SMALL(Campaigns!$AB$3:$AB$202,7),Campaigns!$AB$3:$AB$202,0)),"")</f>
        <v/>
      </c>
      <c r="K21" s="50" t="str">
        <f ca="1">IFERROR(INDEX(Campaigns!$AA$3:$AA$202,MATCH(SMALL(Campaigns!$AB$3:$AB$202,7),Campaigns!$AB$3:$AB$202,0)),"")</f>
        <v/>
      </c>
      <c r="L21" s="48" t="str">
        <f ca="1">IFERROR(INDEX(Campaigns!$G$3:$G$202,MATCH(SMALL(Campaigns!$AB$3:$AB$202,7),Campaigns!$AB$3:$AB$202,0)),"")</f>
        <v/>
      </c>
    </row>
    <row r="22" spans="1:12" ht="14.5" x14ac:dyDescent="0.35">
      <c r="A22" s="48" t="s">
        <v>188</v>
      </c>
      <c r="B22" s="47">
        <f ca="1">COUNTIFS(ArchiveTable[Completed At],"&gt;="&amp;DATE(YEAR(TODAY()),7,1),ArchiveTable[Completed At],"&lt;"&amp;DATE(YEAR(TODAY()),8,1))</f>
        <v>0</v>
      </c>
      <c r="C22" s="47" t="str">
        <f ca="1">TEXT(INT(ROUND((SUMIFS(ArchiveTable[Time Spent (hrs)],ArchiveTable[Completed At],"&gt;="&amp;DATE(YEAR(TODAY()),7,1),ArchiveTable[Completed At],"&lt;"&amp;DATE(YEAR(TODAY()),8,1)))*60,0)/60),"0")&amp;"h "&amp;TEXT(MOD(ROUND((SUMIFS(ArchiveTable[Time Spent (hrs)],ArchiveTable[Completed At],"&gt;="&amp;DATE(YEAR(TODAY()),7,1),ArchiveTable[Completed At],"&lt;"&amp;DATE(YEAR(TODAY()),8,1)))*60,0),60),"00")&amp;"m"</f>
        <v>0h 00m</v>
      </c>
      <c r="D22" s="3">
        <f ca="1">SUMIFS(ArchiveTable[Time Spent (hrs)],ArchiveTable[Completed At],"&gt;="&amp;DATE(YEAR(TODAY()),7,1),ArchiveTable[Completed At],"&lt;"&amp;DATE(YEAR(TODAY()),8,1))</f>
        <v>0</v>
      </c>
      <c r="H22" s="48" t="str">
        <f ca="1">IFERROR(INDEX(Campaigns!$C$3:$C$202,MATCH(SMALL(Campaigns!$AB$3:$AB$202,8),Campaigns!$AB$3:$AB$202,0)),"")</f>
        <v/>
      </c>
      <c r="I22" s="49" t="str">
        <f ca="1">IFERROR(INDEX(Campaigns!$E$3:$E$202,MATCH(SMALL(Campaigns!$AB$3:$AB$202,8),Campaigns!$AB$3:$AB$202,0)),"")</f>
        <v/>
      </c>
      <c r="J22" s="49" t="str">
        <f ca="1">IFERROR(INDEX(Campaigns!$F$3:$F$202,MATCH(SMALL(Campaigns!$AB$3:$AB$202,8),Campaigns!$AB$3:$AB$202,0)),"")</f>
        <v/>
      </c>
      <c r="K22" s="50" t="str">
        <f ca="1">IFERROR(INDEX(Campaigns!$AA$3:$AA$202,MATCH(SMALL(Campaigns!$AB$3:$AB$202,8),Campaigns!$AB$3:$AB$202,0)),"")</f>
        <v/>
      </c>
      <c r="L22" s="48" t="str">
        <f ca="1">IFERROR(INDEX(Campaigns!$G$3:$G$202,MATCH(SMALL(Campaigns!$AB$3:$AB$202,8),Campaigns!$AB$3:$AB$202,0)),"")</f>
        <v/>
      </c>
    </row>
    <row r="23" spans="1:12" ht="14.5" x14ac:dyDescent="0.35">
      <c r="A23" s="48" t="s">
        <v>189</v>
      </c>
      <c r="B23" s="47">
        <f ca="1">COUNTIFS(ArchiveTable[Completed At],"&gt;="&amp;DATE(YEAR(TODAY()),8,1),ArchiveTable[Completed At],"&lt;"&amp;DATE(YEAR(TODAY()),9,1))</f>
        <v>0</v>
      </c>
      <c r="C23" s="47" t="str">
        <f ca="1">TEXT(INT(ROUND((SUMIFS(ArchiveTable[Time Spent (hrs)],ArchiveTable[Completed At],"&gt;="&amp;DATE(YEAR(TODAY()),8,1),ArchiveTable[Completed At],"&lt;"&amp;DATE(YEAR(TODAY()),9,1)))*60,0)/60),"0")&amp;"h "&amp;TEXT(MOD(ROUND((SUMIFS(ArchiveTable[Time Spent (hrs)],ArchiveTable[Completed At],"&gt;="&amp;DATE(YEAR(TODAY()),8,1),ArchiveTable[Completed At],"&lt;"&amp;DATE(YEAR(TODAY()),9,1)))*60,0),60),"00")&amp;"m"</f>
        <v>0h 00m</v>
      </c>
      <c r="D23" s="3">
        <f ca="1">SUMIFS(ArchiveTable[Time Spent (hrs)],ArchiveTable[Completed At],"&gt;="&amp;DATE(YEAR(TODAY()),8,1),ArchiveTable[Completed At],"&lt;"&amp;DATE(YEAR(TODAY()),9,1))</f>
        <v>0</v>
      </c>
      <c r="H23" s="48" t="str">
        <f ca="1">IFERROR(INDEX(Campaigns!$C$3:$C$202,MATCH(SMALL(Campaigns!$AB$3:$AB$202,9),Campaigns!$AB$3:$AB$202,0)),"")</f>
        <v/>
      </c>
      <c r="I23" s="49" t="str">
        <f ca="1">IFERROR(INDEX(Campaigns!$E$3:$E$202,MATCH(SMALL(Campaigns!$AB$3:$AB$202,9),Campaigns!$AB$3:$AB$202,0)),"")</f>
        <v/>
      </c>
      <c r="J23" s="49" t="str">
        <f ca="1">IFERROR(INDEX(Campaigns!$F$3:$F$202,MATCH(SMALL(Campaigns!$AB$3:$AB$202,9),Campaigns!$AB$3:$AB$202,0)),"")</f>
        <v/>
      </c>
      <c r="K23" s="50" t="str">
        <f ca="1">IFERROR(INDEX(Campaigns!$AA$3:$AA$202,MATCH(SMALL(Campaigns!$AB$3:$AB$202,9),Campaigns!$AB$3:$AB$202,0)),"")</f>
        <v/>
      </c>
      <c r="L23" s="48" t="str">
        <f ca="1">IFERROR(INDEX(Campaigns!$G$3:$G$202,MATCH(SMALL(Campaigns!$AB$3:$AB$202,9),Campaigns!$AB$3:$AB$202,0)),"")</f>
        <v/>
      </c>
    </row>
    <row r="24" spans="1:12" ht="14.5" x14ac:dyDescent="0.35">
      <c r="A24" s="48" t="s">
        <v>190</v>
      </c>
      <c r="B24" s="47">
        <f ca="1">COUNTIFS(ArchiveTable[Completed At],"&gt;="&amp;DATE(YEAR(TODAY()),9,1),ArchiveTable[Completed At],"&lt;"&amp;DATE(YEAR(TODAY()),10,1))</f>
        <v>0</v>
      </c>
      <c r="C24" s="47" t="str">
        <f ca="1">TEXT(INT(ROUND((SUMIFS(ArchiveTable[Time Spent (hrs)],ArchiveTable[Completed At],"&gt;="&amp;DATE(YEAR(TODAY()),9,1),ArchiveTable[Completed At],"&lt;"&amp;DATE(YEAR(TODAY()),10,1)))*60,0)/60),"0")&amp;"h "&amp;TEXT(MOD(ROUND((SUMIFS(ArchiveTable[Time Spent (hrs)],ArchiveTable[Completed At],"&gt;="&amp;DATE(YEAR(TODAY()),9,1),ArchiveTable[Completed At],"&lt;"&amp;DATE(YEAR(TODAY()),10,1)))*60,0),60),"00")&amp;"m"</f>
        <v>0h 00m</v>
      </c>
      <c r="D24" s="3">
        <f ca="1">SUMIFS(ArchiveTable[Time Spent (hrs)],ArchiveTable[Completed At],"&gt;="&amp;DATE(YEAR(TODAY()),9,1),ArchiveTable[Completed At],"&lt;"&amp;DATE(YEAR(TODAY()),10,1))</f>
        <v>0</v>
      </c>
      <c r="H24" s="48" t="str">
        <f ca="1">IFERROR(INDEX(Campaigns!$C$3:$C$202,MATCH(SMALL(Campaigns!$AB$3:$AB$202,10),Campaigns!$AB$3:$AB$202,0)),"")</f>
        <v/>
      </c>
      <c r="I24" s="49" t="str">
        <f ca="1">IFERROR(INDEX(Campaigns!$E$3:$E$202,MATCH(SMALL(Campaigns!$AB$3:$AB$202,10),Campaigns!$AB$3:$AB$202,0)),"")</f>
        <v/>
      </c>
      <c r="J24" s="49" t="str">
        <f ca="1">IFERROR(INDEX(Campaigns!$F$3:$F$202,MATCH(SMALL(Campaigns!$AB$3:$AB$202,10),Campaigns!$AB$3:$AB$202,0)),"")</f>
        <v/>
      </c>
      <c r="K24" s="50" t="str">
        <f ca="1">IFERROR(INDEX(Campaigns!$AA$3:$AA$202,MATCH(SMALL(Campaigns!$AB$3:$AB$202,10),Campaigns!$AB$3:$AB$202,0)),"")</f>
        <v/>
      </c>
      <c r="L24" s="48" t="str">
        <f ca="1">IFERROR(INDEX(Campaigns!$G$3:$G$202,MATCH(SMALL(Campaigns!$AB$3:$AB$202,10),Campaigns!$AB$3:$AB$202,0)),"")</f>
        <v/>
      </c>
    </row>
    <row r="25" spans="1:12" ht="14.5" x14ac:dyDescent="0.35">
      <c r="A25" s="48" t="s">
        <v>191</v>
      </c>
      <c r="B25" s="47">
        <f ca="1">COUNTIFS(ArchiveTable[Completed At],"&gt;="&amp;DATE(YEAR(TODAY()),10,1),ArchiveTable[Completed At],"&lt;"&amp;DATE(YEAR(TODAY()),11,1))</f>
        <v>0</v>
      </c>
      <c r="C25" s="47" t="str">
        <f ca="1">TEXT(INT(ROUND((SUMIFS(ArchiveTable[Time Spent (hrs)],ArchiveTable[Completed At],"&gt;="&amp;DATE(YEAR(TODAY()),10,1),ArchiveTable[Completed At],"&lt;"&amp;DATE(YEAR(TODAY()),11,1)))*60,0)/60),"0")&amp;"h "&amp;TEXT(MOD(ROUND((SUMIFS(ArchiveTable[Time Spent (hrs)],ArchiveTable[Completed At],"&gt;="&amp;DATE(YEAR(TODAY()),10,1),ArchiveTable[Completed At],"&lt;"&amp;DATE(YEAR(TODAY()),11,1)))*60,0),60),"00")&amp;"m"</f>
        <v>0h 00m</v>
      </c>
      <c r="D25" s="3">
        <f ca="1">SUMIFS(ArchiveTable[Time Spent (hrs)],ArchiveTable[Completed At],"&gt;="&amp;DATE(YEAR(TODAY()),10,1),ArchiveTable[Completed At],"&lt;"&amp;DATE(YEAR(TODAY()),11,1))</f>
        <v>0</v>
      </c>
    </row>
    <row r="26" spans="1:12" ht="25" x14ac:dyDescent="0.7">
      <c r="A26" s="48" t="s">
        <v>192</v>
      </c>
      <c r="B26" s="47">
        <f ca="1">COUNTIFS(ArchiveTable[Completed At],"&gt;="&amp;DATE(YEAR(TODAY()),11,1),ArchiveTable[Completed At],"&lt;"&amp;DATE(YEAR(TODAY()),12,1))</f>
        <v>0</v>
      </c>
      <c r="C26" s="47" t="str">
        <f ca="1">TEXT(INT(ROUND((SUMIFS(ArchiveTable[Time Spent (hrs)],ArchiveTable[Completed At],"&gt;="&amp;DATE(YEAR(TODAY()),11,1),ArchiveTable[Completed At],"&lt;"&amp;DATE(YEAR(TODAY()),12,1)))*60,0)/60),"0")&amp;"h "&amp;TEXT(MOD(ROUND((SUMIFS(ArchiveTable[Time Spent (hrs)],ArchiveTable[Completed At],"&gt;="&amp;DATE(YEAR(TODAY()),11,1),ArchiveTable[Completed At],"&lt;"&amp;DATE(YEAR(TODAY()),12,1)))*60,0),60),"00")&amp;"m"</f>
        <v>0h 00m</v>
      </c>
      <c r="D26" s="3">
        <f ca="1">SUMIFS(ArchiveTable[Time Spent (hrs)],ArchiveTable[Completed At],"&gt;="&amp;DATE(YEAR(TODAY()),11,1),ArchiveTable[Completed At],"&lt;"&amp;DATE(YEAR(TODAY()),12,1))</f>
        <v>0</v>
      </c>
      <c r="H26" s="46" t="s">
        <v>193</v>
      </c>
      <c r="I26" s="38"/>
    </row>
    <row r="27" spans="1:12" ht="32" customHeight="1" x14ac:dyDescent="0.35">
      <c r="A27" s="48" t="s">
        <v>194</v>
      </c>
      <c r="B27" s="47">
        <f ca="1">COUNTIFS(ArchiveTable[Completed At],"&gt;="&amp;DATE(YEAR(TODAY()),12,1),ArchiveTable[Completed At],"&lt;"&amp;DATE(YEAR(TODAY())+1,1,1))</f>
        <v>0</v>
      </c>
      <c r="C27" s="47" t="str">
        <f ca="1">TEXT(INT(ROUND((SUMIFS(ArchiveTable[Time Spent (hrs)],ArchiveTable[Completed At],"&gt;="&amp;DATE(YEAR(TODAY()),12,1),ArchiveTable[Completed At],"&lt;"&amp;DATE(YEAR(TODAY())+1,1,1)))*60,0)/60),"0")&amp;"h "&amp;TEXT(MOD(ROUND((SUMIFS(ArchiveTable[Time Spent (hrs)],ArchiveTable[Completed At],"&gt;="&amp;DATE(YEAR(TODAY()),12,1),ArchiveTable[Completed At],"&lt;"&amp;DATE(YEAR(TODAY())+1,1,1)))*60,0),60),"00")&amp;"m"</f>
        <v>0h 00m</v>
      </c>
      <c r="D27" s="3">
        <f ca="1">SUMIFS(ArchiveTable[Time Spent (hrs)],ArchiveTable[Completed At],"&gt;="&amp;DATE(YEAR(TODAY()),12,1),ArchiveTable[Completed At],"&lt;"&amp;DATE(YEAR(TODAY())+1,1,1))</f>
        <v>0</v>
      </c>
      <c r="H27" s="4" t="s">
        <v>195</v>
      </c>
      <c r="I27" s="4" t="s">
        <v>196</v>
      </c>
    </row>
    <row r="28" spans="1:12" ht="14.5" x14ac:dyDescent="0.35">
      <c r="H28" s="48" t="s">
        <v>197</v>
      </c>
      <c r="I28" s="47">
        <f>COUNTIFS(Campaigns!$G$3:$G$202,"Active")</f>
        <v>0</v>
      </c>
    </row>
    <row r="29" spans="1:12" ht="14.5" x14ac:dyDescent="0.35">
      <c r="H29" s="48" t="s">
        <v>198</v>
      </c>
      <c r="I29" s="47">
        <f>COUNTIFS(Campaigns!$G$3:$G$202,"Planned")</f>
        <v>0</v>
      </c>
    </row>
    <row r="30" spans="1:12" ht="14.5" x14ac:dyDescent="0.35">
      <c r="H30" s="48" t="s">
        <v>199</v>
      </c>
      <c r="I30" s="47">
        <f>COUNTA(CampaignsArchiveTable[Campaign Name])</f>
        <v>0</v>
      </c>
    </row>
    <row r="31" spans="1:12" ht="14.5" x14ac:dyDescent="0.35">
      <c r="H31" s="48" t="s">
        <v>200</v>
      </c>
      <c r="I31" s="51">
        <f>TotalPlannedBudgetEUR</f>
        <v>0</v>
      </c>
    </row>
    <row r="32" spans="1:12" ht="14.5" x14ac:dyDescent="0.35">
      <c r="H32" s="48" t="s">
        <v>201</v>
      </c>
      <c r="I32" s="52">
        <f>TotalPlannedBudgetUSD</f>
        <v>0</v>
      </c>
    </row>
  </sheetData>
  <mergeCells count="13">
    <mergeCell ref="P1:Q1"/>
    <mergeCell ref="P2:Q3"/>
    <mergeCell ref="A1:B1"/>
    <mergeCell ref="M1:N1"/>
    <mergeCell ref="A4:C4"/>
    <mergeCell ref="M2:N3"/>
    <mergeCell ref="A2:B3"/>
    <mergeCell ref="D1:E1"/>
    <mergeCell ref="D2:E3"/>
    <mergeCell ref="G1:H1"/>
    <mergeCell ref="G2:H3"/>
    <mergeCell ref="J2:K3"/>
    <mergeCell ref="J1:K1"/>
  </mergeCells>
  <conditionalFormatting sqref="A16:C27">
    <cfRule type="expression" dxfId="7" priority="5">
      <formula>MOD(ROW()-16,2)=0</formula>
    </cfRule>
  </conditionalFormatting>
  <conditionalFormatting sqref="A8:F12">
    <cfRule type="expression" dxfId="6" priority="3">
      <formula>AND($F8&lt;&gt;"",$F8&lt;=2)</formula>
    </cfRule>
    <cfRule type="expression" dxfId="5" priority="4">
      <formula>MOD(ROW()-8,2)=0</formula>
    </cfRule>
  </conditionalFormatting>
  <conditionalFormatting sqref="H8:I11">
    <cfRule type="expression" dxfId="4" priority="6">
      <formula>MOD(ROW()-8,2)=0</formula>
    </cfRule>
  </conditionalFormatting>
  <conditionalFormatting sqref="H28:I32">
    <cfRule type="expression" dxfId="3" priority="8">
      <formula>MOD(ROW()-28,2)=0</formula>
    </cfRule>
  </conditionalFormatting>
  <conditionalFormatting sqref="H15:L24">
    <cfRule type="expression" dxfId="2" priority="7">
      <formula>MOD(ROW()-15,2)=0</formula>
    </cfRule>
  </conditionalFormatting>
  <conditionalFormatting sqref="J2:K3">
    <cfRule type="expression" dxfId="1" priority="1">
      <formula>$J$2&gt;0</formula>
    </cfRule>
  </conditionalFormatting>
  <conditionalFormatting sqref="M1:N1">
    <cfRule type="expression" dxfId="0" priority="2">
      <formula>AND(ISNUMBER($M$2),$M$2&lt;=2)</formula>
    </cfRule>
  </conditionalFormatting>
  <pageMargins left="0.75" right="0.75" top="1" bottom="1" header="0.5" footer="0.5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13</vt:i4>
      </vt:variant>
      <vt:variant>
        <vt:lpstr>Наименувани диапазони</vt:lpstr>
      </vt:variant>
      <vt:variant>
        <vt:i4>22</vt:i4>
      </vt:variant>
    </vt:vector>
  </HeadingPairs>
  <TitlesOfParts>
    <vt:vector size="35" baseType="lpstr">
      <vt:lpstr>Tasks</vt:lpstr>
      <vt:lpstr>Archive</vt:lpstr>
      <vt:lpstr>Campaigns</vt:lpstr>
      <vt:lpstr>Campaigns Archive</vt:lpstr>
      <vt:lpstr>Recurring Tasks</vt:lpstr>
      <vt:lpstr>Calendar</vt:lpstr>
      <vt:lpstr>Monthly Media Plan</vt:lpstr>
      <vt:lpstr>Schedule Data</vt:lpstr>
      <vt:lpstr>Schedule</vt:lpstr>
      <vt:lpstr>Login Information</vt:lpstr>
      <vt:lpstr>Quick Links</vt:lpstr>
      <vt:lpstr>Instructions</vt:lpstr>
      <vt:lpstr>Dashboard</vt:lpstr>
      <vt:lpstr>DayNumberList</vt:lpstr>
      <vt:lpstr>HandoffKey</vt:lpstr>
      <vt:lpstr>HandoffKeyColumn</vt:lpstr>
      <vt:lpstr>HandoffOriginSheet</vt:lpstr>
      <vt:lpstr>HandoffTargetColumn</vt:lpstr>
      <vt:lpstr>MonthlyExchangeRate</vt:lpstr>
      <vt:lpstr>PlanMonth</vt:lpstr>
      <vt:lpstr>PlanYear</vt:lpstr>
      <vt:lpstr>ReminderCount</vt:lpstr>
      <vt:lpstr>ReminderFirstOffset</vt:lpstr>
      <vt:lpstr>ReminderInterval</vt:lpstr>
      <vt:lpstr>ScheduleMonth</vt:lpstr>
      <vt:lpstr>ScheduleYear</vt:lpstr>
      <vt:lpstr>SelectedDate</vt:lpstr>
      <vt:lpstr>SelectedDateTime</vt:lpstr>
      <vt:lpstr>SelectedHour</vt:lpstr>
      <vt:lpstr>SelectedMinute</vt:lpstr>
      <vt:lpstr>SelectedMonth</vt:lpstr>
      <vt:lpstr>SelectedYear</vt:lpstr>
      <vt:lpstr>TotalPlannedBudgetEUR</vt:lpstr>
      <vt:lpstr>TotalPlannedBudgetUSD</vt:lpstr>
      <vt:lpstr>WeekdayList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Toni Totov</cp:lastModifiedBy>
  <dcterms:created xsi:type="dcterms:W3CDTF">2026-07-13T08:59:06Z</dcterms:created>
  <dcterms:modified xsi:type="dcterms:W3CDTF">2026-07-13T09:03:58Z</dcterms:modified>
</cp:coreProperties>
</file>